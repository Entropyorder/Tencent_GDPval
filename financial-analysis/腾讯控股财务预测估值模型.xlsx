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charts/chart16.xml" ContentType="application/vnd.openxmlformats-officedocument.drawingml.chart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harts/chart20.xml" ContentType="application/vnd.openxmlformats-officedocument.drawingml.chart+xml"/>
  <Override PartName="/xl/theme/themeOverride18.xml" ContentType="application/vnd.openxmlformats-officedocument.themeOverride+xml"/>
  <Override PartName="/xl/charts/chart21.xml" ContentType="application/vnd.openxmlformats-officedocument.drawingml.chart+xml"/>
  <Override PartName="/xl/theme/themeOverride19.xml" ContentType="application/vnd.openxmlformats-officedocument.themeOverride+xml"/>
  <Override PartName="/xl/charts/chart22.xml" ContentType="application/vnd.openxmlformats-officedocument.drawingml.chart+xml"/>
  <Override PartName="/xl/theme/themeOverride20.xml" ContentType="application/vnd.openxmlformats-officedocument.themeOverride+xml"/>
  <Override PartName="/xl/charts/chart23.xml" ContentType="application/vnd.openxmlformats-officedocument.drawingml.chart+xml"/>
  <Override PartName="/xl/theme/themeOverride21.xml" ContentType="application/vnd.openxmlformats-officedocument.themeOverride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tables/table1.xml" ContentType="application/vnd.openxmlformats-officedocument.spreadsheetml.table+xml"/>
  <Override PartName="/xl/comments7.xml" ContentType="application/vnd.openxmlformats-officedocument.spreadsheetml.comment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  <Override PartName="/xl/charts/colors15.xml" ContentType="application/vnd.ms-office.chartcolorstyle+xml"/>
  <Override PartName="/xl/charts/style15.xml" ContentType="application/vnd.ms-office.chartstyle+xml"/>
  <Override PartName="/xl/charts/colors16.xml" ContentType="application/vnd.ms-office.chartcolorstyle+xml"/>
  <Override PartName="/xl/charts/style16.xml" ContentType="application/vnd.ms-office.chartstyle+xml"/>
  <Override PartName="/xl/charts/colors17.xml" ContentType="application/vnd.ms-office.chartcolorstyle+xml"/>
  <Override PartName="/xl/charts/style17.xml" ContentType="application/vnd.ms-office.chartstyle+xml"/>
  <Override PartName="/xl/charts/colors18.xml" ContentType="application/vnd.ms-office.chartcolorstyle+xml"/>
  <Override PartName="/xl/charts/style18.xml" ContentType="application/vnd.ms-office.chartstyle+xml"/>
  <Override PartName="/xl/charts/colors19.xml" ContentType="application/vnd.ms-office.chartcolorstyle+xml"/>
  <Override PartName="/xl/charts/style19.xml" ContentType="application/vnd.ms-office.chartstyle+xml"/>
  <Override PartName="/xl/charts/colors20.xml" ContentType="application/vnd.ms-office.chartcolorstyle+xml"/>
  <Override PartName="/xl/charts/style20.xml" ContentType="application/vnd.ms-office.chartstyle+xml"/>
  <Override PartName="/xl/charts/colors21.xml" ContentType="application/vnd.ms-office.chartcolorstyle+xml"/>
  <Override PartName="/xl/charts/style21.xml" ContentType="application/vnd.ms-office.chartstyle+xml"/>
  <Override PartName="/xl/charts/colors22.xml" ContentType="application/vnd.ms-office.chartcolorstyle+xml"/>
  <Override PartName="/xl/charts/style22.xml" ContentType="application/vnd.ms-office.chartstyle+xml"/>
  <Override PartName="/xl/charts/colors23.xml" ContentType="application/vnd.ms-office.chartcolorstyle+xml"/>
  <Override PartName="/xl/charts/style23.xml" ContentType="application/vnd.ms-office.chartstyle+xml"/>
  <Override PartName="/xl/charts/colors24.xml" ContentType="application/vnd.ms-office.chartcolorstyle+xml"/>
  <Override PartName="/xl/charts/style24.xml" ContentType="application/vnd.ms-office.chartstyle+xml"/>
  <Override PartName="/xl/charts/colors25.xml" ContentType="application/vnd.ms-office.chartcolorstyle+xml"/>
  <Override PartName="/xl/charts/style25.xml" ContentType="application/vnd.ms-office.chartstyle+xml"/>
  <Override PartName="/xl/charts/colors26.xml" ContentType="application/vnd.ms-office.chartcolorstyle+xml"/>
  <Override PartName="/xl/charts/style26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 codeName="ThisWorkbook" defaultThemeVersion="124226"/>
  <bookViews>
    <workbookView xWindow="240" yWindow="2985" windowWidth="14805" windowHeight="5130" tabRatio="798" firstSheet="3" activeTab="18"/>
  </bookViews>
  <sheets>
    <sheet name="封面" sheetId="34" r:id="rId1"/>
    <sheet name="使用说明" sheetId="25" state="hidden" r:id="rId2"/>
    <sheet name="核心数据模型" sheetId="38" r:id="rId3"/>
    <sheet name="业务表-季度" sheetId="39" r:id="rId4"/>
    <sheet name="业务表-年度" sheetId="40" r:id="rId5"/>
    <sheet name="资产" sheetId="41" r:id="rId6"/>
    <sheet name="手游" sheetId="42" r:id="rId7"/>
    <sheet name="阅文" sheetId="43" r:id="rId8"/>
    <sheet name="音乐" sheetId="44" r:id="rId9"/>
    <sheet name="广告相关" sheetId="45" r:id="rId10"/>
    <sheet name="资产负债假设" sheetId="14" r:id="rId11"/>
    <sheet name="资本开支假设" sheetId="30" r:id="rId12"/>
    <sheet name="IS" sheetId="1" r:id="rId13"/>
    <sheet name="BS" sheetId="3" r:id="rId14"/>
    <sheet name="CS" sheetId="32" r:id="rId15"/>
    <sheet name="投资业务NAV估值" sheetId="46" r:id="rId16"/>
    <sheet name="DCF估值" sheetId="16" r:id="rId17"/>
    <sheet name="DCF估值结果" sheetId="23" r:id="rId18"/>
    <sheet name="PE估值结果" sheetId="20" r:id="rId19"/>
  </sheets>
  <externalReferences>
    <externalReference r:id="rId20"/>
  </externalReferences>
  <definedNames>
    <definedName name="g">[1]DCF!$F$38</definedName>
    <definedName name="WACC">[1]DCF!$F$19</definedName>
    <definedName name="使用说明" localSheetId="14">#REF!</definedName>
    <definedName name="使用说明" localSheetId="0">#REF!</definedName>
    <definedName name="使用说明">#REF!</definedName>
    <definedName name="一使用说明" localSheetId="14">#REF!</definedName>
    <definedName name="一使用说明" localSheetId="0">#REF!</definedName>
    <definedName name="一使用说明">#REF!</definedName>
  </definedNames>
  <calcPr calcId="144525" iterate="1"/>
  <fileRecoveryPr autoRecover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5" i="16" l="1"/>
  <c r="AC57" i="38" l="1"/>
  <c r="AE52" i="38"/>
  <c r="AF52" i="38"/>
  <c r="AG52" i="38"/>
  <c r="AH52" i="38" s="1"/>
  <c r="AI52" i="38" s="1"/>
  <c r="AJ52" i="38" s="1"/>
  <c r="AK52" i="38" s="1"/>
  <c r="AL52" i="38" s="1"/>
  <c r="AM52" i="38" s="1"/>
  <c r="AN52" i="38" s="1"/>
  <c r="AO52" i="38" s="1"/>
  <c r="AP52" i="38" s="1"/>
  <c r="AQ52" i="38" s="1"/>
  <c r="AR52" i="38" s="1"/>
  <c r="AS52" i="38" s="1"/>
  <c r="AT52" i="38" s="1"/>
  <c r="AU52" i="38" s="1"/>
  <c r="AV52" i="38" s="1"/>
  <c r="AD52" i="38"/>
  <c r="AB52" i="38"/>
  <c r="AB50" i="38"/>
  <c r="AB56" i="38"/>
  <c r="U230" i="38" l="1"/>
  <c r="V230" i="38"/>
  <c r="W230" i="38"/>
  <c r="X230" i="38"/>
  <c r="Y230" i="38"/>
  <c r="Z230" i="38"/>
  <c r="AA230" i="38"/>
  <c r="AB230" i="38"/>
  <c r="U231" i="38"/>
  <c r="V231" i="38"/>
  <c r="W231" i="38"/>
  <c r="X231" i="38"/>
  <c r="Y231" i="38"/>
  <c r="Z231" i="38"/>
  <c r="AA231" i="38"/>
  <c r="AB231" i="38"/>
  <c r="U232" i="38"/>
  <c r="V232" i="38"/>
  <c r="W232" i="38"/>
  <c r="X232" i="38"/>
  <c r="Y232" i="38"/>
  <c r="Z232" i="38"/>
  <c r="AA232" i="38"/>
  <c r="AB232" i="38"/>
  <c r="U233" i="38"/>
  <c r="V233" i="38"/>
  <c r="W233" i="38"/>
  <c r="X233" i="38"/>
  <c r="Y233" i="38"/>
  <c r="Z233" i="38"/>
  <c r="AA233" i="38"/>
  <c r="AB233" i="38"/>
  <c r="U234" i="38"/>
  <c r="V234" i="38"/>
  <c r="W234" i="38"/>
  <c r="X234" i="38"/>
  <c r="Y234" i="38"/>
  <c r="Z234" i="38"/>
  <c r="AA234" i="38"/>
  <c r="AB234" i="38"/>
  <c r="U235" i="38"/>
  <c r="V235" i="38"/>
  <c r="W235" i="38"/>
  <c r="X235" i="38"/>
  <c r="Y235" i="38"/>
  <c r="Z235" i="38"/>
  <c r="AA235" i="38"/>
  <c r="AB235" i="38"/>
  <c r="U236" i="38"/>
  <c r="V236" i="38"/>
  <c r="W236" i="38"/>
  <c r="X236" i="38"/>
  <c r="Y236" i="38"/>
  <c r="Z236" i="38"/>
  <c r="AA236" i="38"/>
  <c r="AB236" i="38"/>
  <c r="U237" i="38"/>
  <c r="V237" i="38"/>
  <c r="W237" i="38"/>
  <c r="X237" i="38"/>
  <c r="Y237" i="38"/>
  <c r="Z237" i="38"/>
  <c r="AA237" i="38"/>
  <c r="AB237" i="38"/>
  <c r="V229" i="38"/>
  <c r="W229" i="38"/>
  <c r="X229" i="38"/>
  <c r="Y229" i="38"/>
  <c r="Z229" i="38"/>
  <c r="AA229" i="38"/>
  <c r="AB229" i="38"/>
  <c r="U229" i="38"/>
  <c r="E230" i="38"/>
  <c r="F230" i="38"/>
  <c r="E231" i="38"/>
  <c r="F231" i="38"/>
  <c r="E232" i="38"/>
  <c r="F232" i="38"/>
  <c r="E233" i="38"/>
  <c r="F233" i="38"/>
  <c r="E234" i="38"/>
  <c r="F234" i="38"/>
  <c r="E235" i="38"/>
  <c r="F235" i="38"/>
  <c r="E236" i="38"/>
  <c r="F236" i="38"/>
  <c r="E237" i="38"/>
  <c r="F237" i="38"/>
  <c r="F229" i="38"/>
  <c r="E229" i="38"/>
  <c r="D219" i="38"/>
  <c r="E219" i="38"/>
  <c r="F219" i="38"/>
  <c r="D220" i="38"/>
  <c r="E220" i="38"/>
  <c r="F220" i="38"/>
  <c r="D221" i="38"/>
  <c r="E221" i="38"/>
  <c r="F221" i="38"/>
  <c r="D222" i="38"/>
  <c r="E222" i="38"/>
  <c r="F222" i="38"/>
  <c r="D223" i="38"/>
  <c r="E223" i="38"/>
  <c r="F223" i="38"/>
  <c r="D224" i="38"/>
  <c r="E224" i="38"/>
  <c r="F224" i="38"/>
  <c r="D225" i="38"/>
  <c r="E225" i="38"/>
  <c r="F225" i="38"/>
  <c r="D226" i="38"/>
  <c r="E226" i="38"/>
  <c r="F226" i="38"/>
  <c r="F218" i="38"/>
  <c r="E218" i="38"/>
  <c r="D218" i="38"/>
  <c r="AK190" i="38"/>
  <c r="AL190" i="38" s="1"/>
  <c r="AM190" i="38" s="1"/>
  <c r="AK189" i="38"/>
  <c r="AL189" i="38" s="1"/>
  <c r="AM189" i="38" s="1"/>
  <c r="AN190" i="38" l="1"/>
  <c r="AN189" i="38"/>
  <c r="AO189" i="38" s="1"/>
  <c r="AO190" i="38" l="1"/>
  <c r="AP190" i="38" s="1"/>
  <c r="AP189" i="38"/>
  <c r="AQ190" i="38" l="1"/>
  <c r="AR190" i="38" s="1"/>
  <c r="AQ189" i="38"/>
  <c r="AR189" i="38" s="1"/>
  <c r="AS190" i="38" l="1"/>
  <c r="AT190" i="38" s="1"/>
  <c r="AS189" i="38"/>
  <c r="AT189" i="38" s="1"/>
  <c r="AU189" i="38" s="1"/>
  <c r="AV189" i="38" s="1"/>
  <c r="AU190" i="38" l="1"/>
  <c r="AV190" i="38" s="1"/>
  <c r="AB128" i="38"/>
  <c r="AB130" i="38"/>
  <c r="AB17" i="38"/>
  <c r="D123" i="40"/>
  <c r="E123" i="40"/>
  <c r="F123" i="40"/>
  <c r="C123" i="40"/>
  <c r="K113" i="40"/>
  <c r="K112" i="40"/>
  <c r="K107" i="40"/>
  <c r="AB131" i="38" l="1"/>
  <c r="AF131" i="38" s="1"/>
  <c r="AJ131" i="38" s="1"/>
  <c r="AN131" i="38" s="1"/>
  <c r="AR131" i="38" s="1"/>
  <c r="AV131" i="38" s="1"/>
  <c r="AC130" i="38"/>
  <c r="AD130" i="38" s="1"/>
  <c r="AE130" i="38" s="1"/>
  <c r="AF130" i="38" s="1"/>
  <c r="AG130" i="38" s="1"/>
  <c r="AH130" i="38" s="1"/>
  <c r="AI130" i="38" s="1"/>
  <c r="AJ130" i="38" s="1"/>
  <c r="AK130" i="38" s="1"/>
  <c r="AL130" i="38" s="1"/>
  <c r="AM130" i="38" s="1"/>
  <c r="AN130" i="38" s="1"/>
  <c r="AO130" i="38" s="1"/>
  <c r="AP130" i="38" s="1"/>
  <c r="AQ130" i="38" s="1"/>
  <c r="AR130" i="38" s="1"/>
  <c r="AS130" i="38" s="1"/>
  <c r="AT130" i="38" s="1"/>
  <c r="AU130" i="38" s="1"/>
  <c r="AV130" i="38" s="1"/>
  <c r="I23" i="3"/>
  <c r="J23" i="3" s="1"/>
  <c r="K23" i="3" s="1"/>
  <c r="L23" i="3" s="1"/>
  <c r="M23" i="3" s="1"/>
  <c r="I22" i="3"/>
  <c r="J22" i="3"/>
  <c r="K22" i="3" s="1"/>
  <c r="L22" i="3" s="1"/>
  <c r="M22" i="3" s="1"/>
  <c r="I21" i="3"/>
  <c r="J21" i="3" s="1"/>
  <c r="K21" i="3" s="1"/>
  <c r="L21" i="3" s="1"/>
  <c r="M21" i="3" s="1"/>
  <c r="I40" i="3"/>
  <c r="J40" i="3" s="1"/>
  <c r="K40" i="3" s="1"/>
  <c r="L40" i="3" s="1"/>
  <c r="M40" i="3" s="1"/>
  <c r="H23" i="14"/>
  <c r="H34" i="14"/>
  <c r="H28" i="14"/>
  <c r="H25" i="14"/>
  <c r="H53" i="3"/>
  <c r="H37" i="14" s="1"/>
  <c r="I10" i="3"/>
  <c r="J10" i="3" s="1"/>
  <c r="K10" i="3" s="1"/>
  <c r="L10" i="3" s="1"/>
  <c r="M10" i="3" s="1"/>
  <c r="O84" i="32"/>
  <c r="O63" i="32"/>
  <c r="O52" i="32"/>
  <c r="O43" i="32"/>
  <c r="M52" i="3"/>
  <c r="O100" i="39" l="1"/>
  <c r="P100" i="39"/>
  <c r="Q100" i="39"/>
  <c r="R100" i="39"/>
  <c r="O99" i="39"/>
  <c r="P99" i="39"/>
  <c r="Q99" i="39"/>
  <c r="R99" i="39"/>
  <c r="W39" i="41" l="1"/>
  <c r="W3" i="41" l="1"/>
  <c r="W4" i="41"/>
  <c r="W5" i="41"/>
  <c r="AB210" i="38"/>
  <c r="F210" i="38" s="1"/>
  <c r="F207" i="38"/>
  <c r="K7" i="38"/>
  <c r="I15" i="46"/>
  <c r="I14" i="46"/>
  <c r="W56" i="41"/>
  <c r="W109" i="41"/>
  <c r="W107" i="41"/>
  <c r="W104" i="41"/>
  <c r="W103" i="41"/>
  <c r="W73" i="41"/>
  <c r="W45" i="41"/>
  <c r="W48" i="41"/>
  <c r="F211" i="38" l="1"/>
  <c r="AB211" i="38"/>
  <c r="AB214" i="38"/>
  <c r="F214" i="38" s="1"/>
  <c r="W36" i="41"/>
  <c r="W27" i="41"/>
  <c r="R104" i="39"/>
  <c r="R105" i="39" s="1"/>
  <c r="W37" i="41" l="1"/>
  <c r="W8" i="41" s="1"/>
  <c r="AC13" i="38"/>
  <c r="AB54" i="38"/>
  <c r="AB72" i="38"/>
  <c r="AB75" i="38"/>
  <c r="AB78" i="38"/>
  <c r="W7" i="41" l="1"/>
  <c r="W6" i="41"/>
  <c r="AB40" i="38"/>
  <c r="AB66" i="38"/>
  <c r="AB208" i="38"/>
  <c r="AB209" i="38"/>
  <c r="AB205" i="38"/>
  <c r="F205" i="38" s="1"/>
  <c r="AB204" i="38"/>
  <c r="F204" i="38" s="1"/>
  <c r="AB203" i="38"/>
  <c r="F203" i="38" s="1"/>
  <c r="AB202" i="38"/>
  <c r="F202" i="38" s="1"/>
  <c r="AB200" i="38"/>
  <c r="F200" i="38" s="1"/>
  <c r="AB198" i="38"/>
  <c r="AB201" i="38"/>
  <c r="F201" i="38" s="1"/>
  <c r="AB199" i="38"/>
  <c r="F199" i="38" s="1"/>
  <c r="AB186" i="38"/>
  <c r="AB190" i="38" s="1"/>
  <c r="AB189" i="38"/>
  <c r="AB178" i="38"/>
  <c r="AB176" i="38" s="1"/>
  <c r="AB174" i="38"/>
  <c r="AB170" i="38"/>
  <c r="AB18" i="38"/>
  <c r="AB16" i="38"/>
  <c r="AB12" i="38"/>
  <c r="AB13" i="38"/>
  <c r="AB14" i="38"/>
  <c r="AB82" i="38" l="1"/>
  <c r="AB187" i="38"/>
  <c r="AB191" i="38" s="1"/>
  <c r="F198" i="38"/>
  <c r="AB213" i="38"/>
  <c r="AB215" i="38" s="1"/>
  <c r="K14" i="44"/>
  <c r="O14" i="44"/>
  <c r="S14" i="44"/>
  <c r="W14" i="44"/>
  <c r="AA14" i="44"/>
  <c r="M23" i="44"/>
  <c r="Q23" i="44" s="1"/>
  <c r="N23" i="44"/>
  <c r="R23" i="44" s="1"/>
  <c r="O23" i="44"/>
  <c r="S23" i="44" s="1"/>
  <c r="W23" i="44" s="1"/>
  <c r="L23" i="44"/>
  <c r="P23" i="44" s="1"/>
  <c r="T23" i="44" s="1"/>
  <c r="X23" i="44" s="1"/>
  <c r="K25" i="44"/>
  <c r="K15" i="44"/>
  <c r="K10" i="44"/>
  <c r="AA23" i="44" l="1"/>
  <c r="V23" i="44"/>
  <c r="S34" i="44"/>
  <c r="U23" i="44"/>
  <c r="Y23" i="44" s="1"/>
  <c r="E207" i="38"/>
  <c r="D207" i="38"/>
  <c r="C207" i="38"/>
  <c r="C199" i="38"/>
  <c r="D199" i="38"/>
  <c r="E199" i="38"/>
  <c r="C200" i="38"/>
  <c r="D200" i="38"/>
  <c r="E200" i="38"/>
  <c r="C201" i="38"/>
  <c r="D201" i="38"/>
  <c r="E201" i="38"/>
  <c r="C202" i="38"/>
  <c r="D202" i="38"/>
  <c r="E202" i="38"/>
  <c r="C203" i="38"/>
  <c r="D203" i="38"/>
  <c r="E203" i="38"/>
  <c r="C204" i="38"/>
  <c r="D204" i="38"/>
  <c r="E204" i="38"/>
  <c r="C205" i="38"/>
  <c r="D205" i="38"/>
  <c r="E205" i="38"/>
  <c r="E198" i="38"/>
  <c r="D198" i="38"/>
  <c r="C198" i="38"/>
  <c r="E187" i="38"/>
  <c r="D187" i="38"/>
  <c r="C187" i="38"/>
  <c r="E186" i="38"/>
  <c r="D186" i="38"/>
  <c r="C186" i="38"/>
  <c r="E185" i="38"/>
  <c r="D185" i="38"/>
  <c r="C185" i="38"/>
  <c r="C162" i="38"/>
  <c r="F137" i="38"/>
  <c r="E137" i="38"/>
  <c r="D137" i="38"/>
  <c r="E138" i="38" s="1"/>
  <c r="C137" i="38"/>
  <c r="F121" i="38"/>
  <c r="E121" i="38"/>
  <c r="E115" i="38"/>
  <c r="D109" i="38"/>
  <c r="C109" i="38"/>
  <c r="D102" i="38"/>
  <c r="E102" i="38"/>
  <c r="F102" i="38"/>
  <c r="D101" i="38"/>
  <c r="E68" i="38"/>
  <c r="D68" i="38"/>
  <c r="E66" i="38"/>
  <c r="AB63" i="38"/>
  <c r="E69" i="38" l="1"/>
  <c r="E70" i="38"/>
  <c r="D208" i="38"/>
  <c r="D110" i="38"/>
  <c r="D103" i="38"/>
  <c r="E208" i="38"/>
  <c r="F208" i="38"/>
  <c r="Z23" i="44"/>
  <c r="W34" i="44"/>
  <c r="F138" i="38"/>
  <c r="F122" i="38"/>
  <c r="D138" i="38"/>
  <c r="F59" i="38"/>
  <c r="E59" i="38"/>
  <c r="D59" i="38"/>
  <c r="E48" i="38"/>
  <c r="E40" i="38"/>
  <c r="E38" i="38"/>
  <c r="D38" i="38"/>
  <c r="C38" i="38"/>
  <c r="E37" i="38"/>
  <c r="D37" i="38"/>
  <c r="C37" i="38"/>
  <c r="C5" i="38"/>
  <c r="D5" i="38"/>
  <c r="E5" i="38"/>
  <c r="F5" i="38"/>
  <c r="C6" i="38"/>
  <c r="D6" i="38"/>
  <c r="E6" i="38"/>
  <c r="F6" i="38"/>
  <c r="C7" i="38"/>
  <c r="D7" i="38"/>
  <c r="E7" i="38"/>
  <c r="F7" i="38"/>
  <c r="G7" i="38"/>
  <c r="H7" i="38"/>
  <c r="I7" i="38"/>
  <c r="J7" i="38"/>
  <c r="C8" i="38"/>
  <c r="D8" i="38"/>
  <c r="E8" i="38"/>
  <c r="F8" i="38"/>
  <c r="C9" i="38"/>
  <c r="D9" i="38"/>
  <c r="E9" i="38"/>
  <c r="C10" i="38"/>
  <c r="D10" i="38"/>
  <c r="D18" i="38" s="1"/>
  <c r="E10" i="38"/>
  <c r="F10" i="38"/>
  <c r="F4" i="38"/>
  <c r="E4" i="38"/>
  <c r="D4" i="38"/>
  <c r="C4" i="38"/>
  <c r="D12" i="38" s="1"/>
  <c r="D13" i="38" l="1"/>
  <c r="E61" i="38"/>
  <c r="E60" i="38"/>
  <c r="E14" i="38"/>
  <c r="F60" i="38"/>
  <c r="D16" i="38"/>
  <c r="D15" i="38"/>
  <c r="E16" i="38"/>
  <c r="E15" i="38"/>
  <c r="E13" i="38"/>
  <c r="F13" i="38"/>
  <c r="E12" i="38"/>
  <c r="E18" i="38"/>
  <c r="F14" i="38"/>
  <c r="F18" i="38"/>
  <c r="F12" i="38"/>
  <c r="D14" i="38"/>
  <c r="F16" i="38"/>
  <c r="AA34" i="44"/>
  <c r="AB60" i="38"/>
  <c r="H9" i="46" l="1"/>
  <c r="R96" i="39" l="1"/>
  <c r="Q102" i="39" l="1"/>
  <c r="F113" i="40"/>
  <c r="G113" i="40" s="1"/>
  <c r="H113" i="40" s="1"/>
  <c r="I113" i="40" s="1"/>
  <c r="J113" i="40" s="1"/>
  <c r="E113" i="40"/>
  <c r="E112" i="40"/>
  <c r="F112" i="40"/>
  <c r="G112" i="40" s="1"/>
  <c r="H112" i="40" s="1"/>
  <c r="I112" i="40" s="1"/>
  <c r="J112" i="40" s="1"/>
  <c r="C123" i="39"/>
  <c r="D123" i="39"/>
  <c r="E123" i="39"/>
  <c r="F123" i="39"/>
  <c r="G123" i="39"/>
  <c r="H123" i="39"/>
  <c r="I123" i="39"/>
  <c r="J123" i="39"/>
  <c r="K123" i="39"/>
  <c r="L123" i="39"/>
  <c r="M123" i="39"/>
  <c r="N123" i="39"/>
  <c r="O123" i="39"/>
  <c r="P123" i="39"/>
  <c r="Q123" i="39"/>
  <c r="AA209" i="38"/>
  <c r="Z209" i="38"/>
  <c r="Y209" i="38"/>
  <c r="X209" i="38"/>
  <c r="W209" i="38"/>
  <c r="V209" i="38"/>
  <c r="U209" i="38"/>
  <c r="T209" i="38"/>
  <c r="S209" i="38"/>
  <c r="R209" i="38"/>
  <c r="Q209" i="38"/>
  <c r="P209" i="38"/>
  <c r="O209" i="38"/>
  <c r="N209" i="38"/>
  <c r="AA208" i="38"/>
  <c r="Z208" i="38"/>
  <c r="Y208" i="38"/>
  <c r="X208" i="38"/>
  <c r="W208" i="38"/>
  <c r="V208" i="38"/>
  <c r="U208" i="38"/>
  <c r="T208" i="38"/>
  <c r="S208" i="38"/>
  <c r="R208" i="38"/>
  <c r="Q208" i="38"/>
  <c r="P164" i="38"/>
  <c r="O164" i="38"/>
  <c r="N164" i="38"/>
  <c r="AA139" i="38"/>
  <c r="Z139" i="38"/>
  <c r="Y139" i="38"/>
  <c r="X139" i="38"/>
  <c r="W139" i="38"/>
  <c r="V139" i="38"/>
  <c r="U139" i="38"/>
  <c r="T139" i="38"/>
  <c r="S139" i="38"/>
  <c r="R139" i="38"/>
  <c r="Q139" i="38"/>
  <c r="P139" i="38"/>
  <c r="O139" i="38"/>
  <c r="N139" i="38"/>
  <c r="O111" i="38"/>
  <c r="P111" i="38"/>
  <c r="Q111" i="38"/>
  <c r="R111" i="38"/>
  <c r="S111" i="38"/>
  <c r="T111" i="38"/>
  <c r="N111" i="38"/>
  <c r="N27" i="38"/>
  <c r="O27" i="38"/>
  <c r="P27" i="38"/>
  <c r="Q27" i="38"/>
  <c r="R27" i="38"/>
  <c r="S27" i="38"/>
  <c r="T27" i="38"/>
  <c r="U27" i="38"/>
  <c r="V27" i="38"/>
  <c r="W27" i="38"/>
  <c r="X27" i="38"/>
  <c r="Y27" i="38"/>
  <c r="Z27" i="38"/>
  <c r="AA27" i="38"/>
  <c r="M27" i="38"/>
  <c r="N26" i="38"/>
  <c r="O26" i="38"/>
  <c r="P26" i="38"/>
  <c r="Q26" i="38"/>
  <c r="R26" i="38"/>
  <c r="S26" i="38"/>
  <c r="T26" i="38"/>
  <c r="M26" i="38"/>
  <c r="AD57" i="38"/>
  <c r="AE57" i="38" s="1"/>
  <c r="AF57" i="38" s="1"/>
  <c r="AG57" i="38" s="1"/>
  <c r="AH57" i="38" s="1"/>
  <c r="AI57" i="38" s="1"/>
  <c r="AJ57" i="38" s="1"/>
  <c r="AK57" i="38" s="1"/>
  <c r="AL57" i="38" s="1"/>
  <c r="AM57" i="38" s="1"/>
  <c r="AN57" i="38" s="1"/>
  <c r="AO57" i="38" s="1"/>
  <c r="AP57" i="38" s="1"/>
  <c r="AQ57" i="38" s="1"/>
  <c r="AR57" i="38" s="1"/>
  <c r="AS57" i="38" s="1"/>
  <c r="AT57" i="38" s="1"/>
  <c r="AU57" i="38" s="1"/>
  <c r="AV57" i="38" s="1"/>
  <c r="E118" i="40"/>
  <c r="D118" i="40"/>
  <c r="C118" i="40"/>
  <c r="E114" i="40"/>
  <c r="D114" i="40"/>
  <c r="C114" i="40"/>
  <c r="X38" i="39"/>
  <c r="AB38" i="39" s="1"/>
  <c r="AF38" i="39" s="1"/>
  <c r="AJ38" i="39" s="1"/>
  <c r="Y38" i="39"/>
  <c r="AC38" i="39" s="1"/>
  <c r="AG38" i="39" s="1"/>
  <c r="AK38" i="39" s="1"/>
  <c r="AK39" i="39" s="1"/>
  <c r="Z38" i="39"/>
  <c r="AD38" i="39" s="1"/>
  <c r="AH38" i="39" s="1"/>
  <c r="AL38" i="39" s="1"/>
  <c r="W38" i="39"/>
  <c r="AA38" i="39" s="1"/>
  <c r="AE38" i="39" s="1"/>
  <c r="AI38" i="39" s="1"/>
  <c r="T66" i="39"/>
  <c r="X66" i="39" s="1"/>
  <c r="AB66" i="39" s="1"/>
  <c r="AF66" i="39" s="1"/>
  <c r="AJ66" i="39" s="1"/>
  <c r="U66" i="39"/>
  <c r="Y66" i="39" s="1"/>
  <c r="AC66" i="39" s="1"/>
  <c r="AG66" i="39" s="1"/>
  <c r="AK66" i="39" s="1"/>
  <c r="S66" i="39"/>
  <c r="W66" i="39" s="1"/>
  <c r="AA66" i="39" s="1"/>
  <c r="AE66" i="39" s="1"/>
  <c r="AI66" i="39" s="1"/>
  <c r="D26" i="38" l="1"/>
  <c r="AI39" i="39"/>
  <c r="AI40" i="39"/>
  <c r="AI67" i="39"/>
  <c r="AL40" i="39"/>
  <c r="AL39" i="39"/>
  <c r="AK68" i="39"/>
  <c r="AK67" i="39"/>
  <c r="AK40" i="39"/>
  <c r="AJ40" i="39"/>
  <c r="AJ39" i="39"/>
  <c r="AJ67" i="39"/>
  <c r="AJ68" i="39"/>
  <c r="C26" i="38"/>
  <c r="E27" i="38"/>
  <c r="C27" i="38"/>
  <c r="D27" i="38"/>
  <c r="D115" i="40"/>
  <c r="D119" i="40"/>
  <c r="E119" i="40"/>
  <c r="E115" i="40"/>
  <c r="F27" i="42" l="1"/>
  <c r="AA50" i="38" s="1"/>
  <c r="E27" i="42"/>
  <c r="Z50" i="38" s="1"/>
  <c r="D27" i="42"/>
  <c r="Y50" i="38" s="1"/>
  <c r="C27" i="42"/>
  <c r="X50" i="38" s="1"/>
  <c r="E50" i="38" s="1"/>
  <c r="E52" i="38" s="1"/>
  <c r="D24" i="42"/>
  <c r="Y47" i="38" s="1"/>
  <c r="E24" i="42"/>
  <c r="Z47" i="38" s="1"/>
  <c r="F24" i="42"/>
  <c r="AA47" i="38" s="1"/>
  <c r="G24" i="42"/>
  <c r="AB47" i="38" s="1"/>
  <c r="F47" i="38" s="1"/>
  <c r="C24" i="42"/>
  <c r="X47" i="38" s="1"/>
  <c r="E47" i="38" s="1"/>
  <c r="D3" i="42"/>
  <c r="E3" i="42"/>
  <c r="F3" i="42"/>
  <c r="G3" i="42"/>
  <c r="H3" i="42"/>
  <c r="I3" i="42"/>
  <c r="J3" i="42"/>
  <c r="K3" i="42"/>
  <c r="L3" i="42"/>
  <c r="M3" i="42"/>
  <c r="N3" i="42"/>
  <c r="O3" i="42"/>
  <c r="C3" i="42"/>
  <c r="AA63" i="38"/>
  <c r="AA51" i="38" l="1"/>
  <c r="AA52" i="38"/>
  <c r="Y51" i="38"/>
  <c r="Y52" i="38"/>
  <c r="X52" i="38"/>
  <c r="Z52" i="38"/>
  <c r="Z51" i="38"/>
  <c r="G21" i="42"/>
  <c r="AB44" i="38" s="1"/>
  <c r="F44" i="38" s="1"/>
  <c r="G22" i="42"/>
  <c r="AB45" i="38" s="1"/>
  <c r="F45" i="38" s="1"/>
  <c r="G23" i="42"/>
  <c r="AB46" i="38" s="1"/>
  <c r="F46" i="38" s="1"/>
  <c r="G25" i="42"/>
  <c r="AB48" i="38" s="1"/>
  <c r="F48" i="38" s="1"/>
  <c r="G20" i="42"/>
  <c r="AB43" i="38" s="1"/>
  <c r="F43" i="38" s="1"/>
  <c r="AB42" i="38" l="1"/>
  <c r="F42" i="38" s="1"/>
  <c r="G19" i="45"/>
  <c r="G21" i="45" s="1"/>
  <c r="G27" i="45"/>
  <c r="AF5" i="45" l="1"/>
  <c r="AF6" i="45"/>
  <c r="AF7" i="45"/>
  <c r="AF8" i="45"/>
  <c r="AF9" i="45"/>
  <c r="AF10" i="45"/>
  <c r="AF12" i="45"/>
  <c r="AF13" i="45"/>
  <c r="AF15" i="45"/>
  <c r="AF16" i="45"/>
  <c r="AF4" i="45"/>
  <c r="AE12" i="45"/>
  <c r="AE13" i="45"/>
  <c r="AE15" i="45"/>
  <c r="AE16" i="45"/>
  <c r="F107" i="40" l="1"/>
  <c r="G107" i="40" s="1"/>
  <c r="H107" i="40" s="1"/>
  <c r="I107" i="40" s="1"/>
  <c r="J107" i="40" s="1"/>
  <c r="D104" i="40"/>
  <c r="E104" i="40"/>
  <c r="C104" i="40"/>
  <c r="F106" i="40"/>
  <c r="F96" i="40" s="1"/>
  <c r="C103" i="39"/>
  <c r="D103" i="39"/>
  <c r="E103" i="39"/>
  <c r="F103" i="39"/>
  <c r="G103" i="39"/>
  <c r="H103" i="39"/>
  <c r="I103" i="39"/>
  <c r="J103" i="39"/>
  <c r="K103" i="39"/>
  <c r="K104" i="39" s="1"/>
  <c r="K105" i="39" s="1"/>
  <c r="L103" i="39"/>
  <c r="M103" i="39"/>
  <c r="N103" i="39"/>
  <c r="N104" i="39" s="1"/>
  <c r="N105" i="39" s="1"/>
  <c r="O103" i="39"/>
  <c r="O104" i="39" s="1"/>
  <c r="O105" i="39" s="1"/>
  <c r="P103" i="39"/>
  <c r="Q103" i="39"/>
  <c r="Q104" i="39" s="1"/>
  <c r="C102" i="39"/>
  <c r="D102" i="39"/>
  <c r="E102" i="39"/>
  <c r="F102" i="39"/>
  <c r="G102" i="39"/>
  <c r="H102" i="39"/>
  <c r="I102" i="39"/>
  <c r="J102" i="39"/>
  <c r="L102" i="39"/>
  <c r="M102" i="39"/>
  <c r="P102" i="39"/>
  <c r="C106" i="40"/>
  <c r="M104" i="39" l="1"/>
  <c r="M105" i="39" s="1"/>
  <c r="E104" i="39"/>
  <c r="E105" i="39" s="1"/>
  <c r="G104" i="39"/>
  <c r="G105" i="39" s="1"/>
  <c r="D104" i="39"/>
  <c r="D105" i="39" s="1"/>
  <c r="L104" i="39"/>
  <c r="L105" i="39" s="1"/>
  <c r="C104" i="39"/>
  <c r="C105" i="39" s="1"/>
  <c r="I104" i="39"/>
  <c r="I105" i="39" s="1"/>
  <c r="Q105" i="39"/>
  <c r="F104" i="39"/>
  <c r="F105" i="39" s="1"/>
  <c r="J104" i="39"/>
  <c r="J105" i="39" s="1"/>
  <c r="P104" i="39"/>
  <c r="P105" i="39" s="1"/>
  <c r="H104" i="39"/>
  <c r="H105" i="39" s="1"/>
  <c r="D60" i="46" l="1"/>
  <c r="C60" i="46"/>
  <c r="G59" i="46"/>
  <c r="G58" i="46"/>
  <c r="F58" i="46"/>
  <c r="G57" i="46"/>
  <c r="F57" i="46"/>
  <c r="G56" i="46"/>
  <c r="F56" i="46"/>
  <c r="G55" i="46"/>
  <c r="F55" i="46"/>
  <c r="G54" i="46"/>
  <c r="F54" i="46"/>
  <c r="G53" i="46"/>
  <c r="F53" i="46"/>
  <c r="G52" i="46"/>
  <c r="F52" i="46"/>
  <c r="G51" i="46"/>
  <c r="F51" i="46"/>
  <c r="G50" i="46"/>
  <c r="F50" i="46"/>
  <c r="G49" i="46"/>
  <c r="F49" i="46"/>
  <c r="G48" i="46"/>
  <c r="F48" i="46"/>
  <c r="G47" i="46"/>
  <c r="F47" i="46"/>
  <c r="G46" i="46"/>
  <c r="F46" i="46"/>
  <c r="G45" i="46"/>
  <c r="F45" i="46"/>
  <c r="G44" i="46"/>
  <c r="F44" i="46"/>
  <c r="G43" i="46"/>
  <c r="F43" i="46"/>
  <c r="G42" i="46"/>
  <c r="F42" i="46"/>
  <c r="G41" i="46"/>
  <c r="F41" i="46"/>
  <c r="G40" i="46"/>
  <c r="F40" i="46"/>
  <c r="G39" i="46"/>
  <c r="F39" i="46"/>
  <c r="G38" i="46"/>
  <c r="F38" i="46"/>
  <c r="G37" i="46"/>
  <c r="F37" i="46"/>
  <c r="G36" i="46"/>
  <c r="F36" i="46"/>
  <c r="G35" i="46"/>
  <c r="F35" i="46"/>
  <c r="G34" i="46"/>
  <c r="F34" i="46"/>
  <c r="G33" i="46"/>
  <c r="F33" i="46"/>
  <c r="G32" i="46"/>
  <c r="F32" i="46"/>
  <c r="G31" i="46"/>
  <c r="F31" i="46"/>
  <c r="G30" i="46"/>
  <c r="F30" i="46"/>
  <c r="G29" i="46"/>
  <c r="F29" i="46"/>
  <c r="G28" i="46"/>
  <c r="F28" i="46"/>
  <c r="G27" i="46"/>
  <c r="F27" i="46"/>
  <c r="G26" i="46"/>
  <c r="F26" i="46"/>
  <c r="G25" i="46"/>
  <c r="F25" i="46"/>
  <c r="G62" i="46" l="1"/>
  <c r="F60" i="46"/>
  <c r="G60" i="46"/>
  <c r="G63" i="46" l="1"/>
  <c r="I21" i="46" l="1"/>
  <c r="I22" i="46" s="1"/>
  <c r="H4" i="46" s="1"/>
  <c r="H21" i="46"/>
  <c r="H22" i="46" s="1"/>
  <c r="G21" i="46"/>
  <c r="F21" i="46" s="1"/>
  <c r="H15" i="46"/>
  <c r="G15" i="46"/>
  <c r="F15" i="46"/>
  <c r="D15" i="46"/>
  <c r="G9" i="46"/>
  <c r="F9" i="46"/>
  <c r="E9" i="46"/>
  <c r="D9" i="46"/>
  <c r="K11" i="20" l="1"/>
  <c r="G4" i="46"/>
  <c r="G11" i="46" s="1"/>
  <c r="G22" i="46"/>
  <c r="F4" i="46" s="1"/>
  <c r="F11" i="46" s="1"/>
  <c r="E21" i="46"/>
  <c r="F22" i="46"/>
  <c r="F20" i="46"/>
  <c r="E4" i="46" l="1"/>
  <c r="E11" i="46" s="1"/>
  <c r="G5" i="46"/>
  <c r="E20" i="46"/>
  <c r="D21" i="46"/>
  <c r="E22" i="46"/>
  <c r="F5" i="46" l="1"/>
  <c r="H5" i="46"/>
  <c r="F48" i="16"/>
  <c r="H11" i="46"/>
  <c r="D4" i="46"/>
  <c r="D11" i="46" s="1"/>
  <c r="D22" i="46"/>
  <c r="D20" i="46"/>
  <c r="E5" i="46" l="1"/>
  <c r="C4" i="46"/>
  <c r="C11" i="46" s="1"/>
  <c r="D5" i="46" l="1"/>
  <c r="I41" i="3"/>
  <c r="J41" i="3" s="1"/>
  <c r="K41" i="3" s="1"/>
  <c r="L41" i="3" s="1"/>
  <c r="M41" i="3" s="1"/>
  <c r="I38" i="3"/>
  <c r="J38" i="3" s="1"/>
  <c r="D15" i="14"/>
  <c r="E15" i="14"/>
  <c r="F15" i="14"/>
  <c r="G15" i="14"/>
  <c r="D14" i="14"/>
  <c r="I14" i="14" s="1"/>
  <c r="E14" i="14"/>
  <c r="F14" i="14"/>
  <c r="G14" i="14"/>
  <c r="I28" i="3"/>
  <c r="I27" i="3"/>
  <c r="K52" i="32"/>
  <c r="L52" i="32"/>
  <c r="M52" i="32"/>
  <c r="N52" i="32"/>
  <c r="K43" i="32"/>
  <c r="L43" i="32"/>
  <c r="M43" i="32"/>
  <c r="N43" i="32"/>
  <c r="I25" i="3"/>
  <c r="G36" i="30"/>
  <c r="H36" i="30" s="1"/>
  <c r="I36" i="30" s="1"/>
  <c r="J36" i="30" s="1"/>
  <c r="K36" i="30" s="1"/>
  <c r="L36" i="30" s="1"/>
  <c r="E64" i="30"/>
  <c r="F64" i="30"/>
  <c r="D64" i="30"/>
  <c r="E56" i="30"/>
  <c r="F56" i="30"/>
  <c r="D56" i="30"/>
  <c r="G43" i="30"/>
  <c r="E48" i="30"/>
  <c r="F48" i="30"/>
  <c r="D48" i="30"/>
  <c r="E42" i="30"/>
  <c r="F42" i="30"/>
  <c r="D42" i="30"/>
  <c r="I18" i="3"/>
  <c r="J18" i="3" s="1"/>
  <c r="K18" i="3" s="1"/>
  <c r="L18" i="3" s="1"/>
  <c r="M18" i="3" s="1"/>
  <c r="D9" i="16"/>
  <c r="I15" i="14" l="1"/>
  <c r="K54" i="32"/>
  <c r="K55" i="32"/>
  <c r="K38" i="3"/>
  <c r="J28" i="3"/>
  <c r="J27" i="3"/>
  <c r="J25" i="3"/>
  <c r="L46" i="32" s="1"/>
  <c r="K46" i="32"/>
  <c r="I14" i="3"/>
  <c r="D43" i="30"/>
  <c r="F43" i="30"/>
  <c r="E43" i="30"/>
  <c r="G42" i="30"/>
  <c r="I8" i="3"/>
  <c r="J8" i="3" s="1"/>
  <c r="K8" i="3" s="1"/>
  <c r="L8" i="3" s="1"/>
  <c r="K58" i="32" l="1"/>
  <c r="K28" i="3"/>
  <c r="M55" i="32" s="1"/>
  <c r="L55" i="32"/>
  <c r="L54" i="32"/>
  <c r="K27" i="3"/>
  <c r="M8" i="3"/>
  <c r="O62" i="32" s="1"/>
  <c r="L38" i="3"/>
  <c r="M38" i="3" s="1"/>
  <c r="J14" i="3"/>
  <c r="L58" i="32" s="1"/>
  <c r="K25" i="3"/>
  <c r="M46" i="32" s="1"/>
  <c r="D46" i="30"/>
  <c r="D9" i="30"/>
  <c r="E46" i="30"/>
  <c r="E9" i="30"/>
  <c r="F46" i="30"/>
  <c r="F9" i="30"/>
  <c r="I9" i="3"/>
  <c r="M54" i="32" l="1"/>
  <c r="L28" i="3"/>
  <c r="N55" i="32" s="1"/>
  <c r="L27" i="3"/>
  <c r="L25" i="3"/>
  <c r="K14" i="3"/>
  <c r="J9" i="3"/>
  <c r="L33" i="32" s="1"/>
  <c r="K33" i="32"/>
  <c r="P60" i="45"/>
  <c r="O60" i="45"/>
  <c r="N60" i="45"/>
  <c r="M60" i="45"/>
  <c r="L60" i="45"/>
  <c r="K60" i="45"/>
  <c r="J60" i="45"/>
  <c r="I60" i="45"/>
  <c r="H60" i="45"/>
  <c r="G60" i="45"/>
  <c r="F60" i="45"/>
  <c r="E60" i="45"/>
  <c r="D60" i="45"/>
  <c r="C60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P51" i="45"/>
  <c r="O51" i="45"/>
  <c r="N51" i="45"/>
  <c r="M51" i="45"/>
  <c r="L51" i="45"/>
  <c r="K51" i="45"/>
  <c r="J51" i="45"/>
  <c r="I51" i="45"/>
  <c r="H51" i="45"/>
  <c r="G51" i="45"/>
  <c r="F51" i="45"/>
  <c r="E51" i="45"/>
  <c r="D51" i="45"/>
  <c r="C51" i="45"/>
  <c r="P45" i="45"/>
  <c r="O45" i="45"/>
  <c r="N45" i="45"/>
  <c r="M45" i="45"/>
  <c r="L45" i="45"/>
  <c r="K45" i="45"/>
  <c r="J45" i="45"/>
  <c r="I45" i="45"/>
  <c r="H45" i="45"/>
  <c r="G45" i="45"/>
  <c r="F45" i="45"/>
  <c r="E45" i="45"/>
  <c r="D45" i="45"/>
  <c r="C45" i="45"/>
  <c r="P39" i="45"/>
  <c r="O39" i="45"/>
  <c r="N39" i="45"/>
  <c r="M39" i="45"/>
  <c r="L39" i="45"/>
  <c r="K39" i="45"/>
  <c r="J39" i="45"/>
  <c r="I39" i="45"/>
  <c r="H39" i="45"/>
  <c r="G39" i="45"/>
  <c r="F39" i="45"/>
  <c r="E39" i="45"/>
  <c r="D39" i="45"/>
  <c r="C39" i="45"/>
  <c r="AD38" i="45"/>
  <c r="AC38" i="45"/>
  <c r="AB38" i="45"/>
  <c r="AA38" i="45"/>
  <c r="AD37" i="45"/>
  <c r="AC37" i="45"/>
  <c r="AB37" i="45"/>
  <c r="AA37" i="45"/>
  <c r="AD36" i="45"/>
  <c r="AC36" i="45"/>
  <c r="AB36" i="45"/>
  <c r="AA36" i="45"/>
  <c r="AD35" i="45"/>
  <c r="AC35" i="45"/>
  <c r="AB35" i="45"/>
  <c r="AA35" i="45"/>
  <c r="AD34" i="45"/>
  <c r="AC34" i="45"/>
  <c r="AB34" i="45"/>
  <c r="AA34" i="45"/>
  <c r="AD33" i="45"/>
  <c r="AC33" i="45"/>
  <c r="AB33" i="45"/>
  <c r="AA33" i="45"/>
  <c r="F27" i="45"/>
  <c r="E27" i="45"/>
  <c r="D27" i="45"/>
  <c r="F21" i="45"/>
  <c r="Z126" i="38" s="1"/>
  <c r="E21" i="45"/>
  <c r="Y126" i="38" s="1"/>
  <c r="D21" i="45"/>
  <c r="C21" i="45"/>
  <c r="W126" i="38" s="1"/>
  <c r="AA126" i="38" s="1"/>
  <c r="AD16" i="45"/>
  <c r="AC16" i="45"/>
  <c r="AB16" i="45"/>
  <c r="AD15" i="45"/>
  <c r="AC15" i="45"/>
  <c r="AB15" i="45"/>
  <c r="AA15" i="45"/>
  <c r="AD13" i="45"/>
  <c r="AC13" i="45"/>
  <c r="AB13" i="45"/>
  <c r="AA13" i="45"/>
  <c r="AD12" i="45"/>
  <c r="AC12" i="45"/>
  <c r="AB12" i="45"/>
  <c r="AA12" i="45"/>
  <c r="AE10" i="45"/>
  <c r="AD10" i="45"/>
  <c r="AC10" i="45"/>
  <c r="AB10" i="45"/>
  <c r="AE9" i="45"/>
  <c r="AD9" i="45"/>
  <c r="AC9" i="45"/>
  <c r="AB9" i="45"/>
  <c r="AA9" i="45"/>
  <c r="AE8" i="45"/>
  <c r="AD8" i="45"/>
  <c r="AC8" i="45"/>
  <c r="AB8" i="45"/>
  <c r="AA8" i="45"/>
  <c r="AE7" i="45"/>
  <c r="AA130" i="38" s="1"/>
  <c r="AD7" i="45"/>
  <c r="AC7" i="45"/>
  <c r="Y130" i="38" s="1"/>
  <c r="AB7" i="45"/>
  <c r="X130" i="38" s="1"/>
  <c r="AA7" i="45"/>
  <c r="W130" i="38" s="1"/>
  <c r="AE6" i="45"/>
  <c r="G23" i="45" s="1"/>
  <c r="AD6" i="45"/>
  <c r="AC6" i="45"/>
  <c r="AB6" i="45"/>
  <c r="AA6" i="45"/>
  <c r="AE5" i="45"/>
  <c r="AD5" i="45"/>
  <c r="AC5" i="45"/>
  <c r="AB5" i="45"/>
  <c r="AA5" i="45"/>
  <c r="AE4" i="45"/>
  <c r="AD4" i="45"/>
  <c r="AC4" i="45"/>
  <c r="AB4" i="45"/>
  <c r="AA4" i="45"/>
  <c r="K37" i="44"/>
  <c r="O38" i="44" s="1"/>
  <c r="I37" i="44"/>
  <c r="H37" i="44"/>
  <c r="G37" i="44"/>
  <c r="X84" i="38" s="1"/>
  <c r="F37" i="44"/>
  <c r="F36" i="44" s="1"/>
  <c r="E37" i="44"/>
  <c r="V84" i="38" s="1"/>
  <c r="D37" i="44"/>
  <c r="D36" i="44" s="1"/>
  <c r="C37" i="44"/>
  <c r="C36" i="44" s="1"/>
  <c r="B37" i="44"/>
  <c r="B36" i="44" s="1"/>
  <c r="K35" i="44"/>
  <c r="J35" i="44"/>
  <c r="I35" i="44"/>
  <c r="H35" i="44"/>
  <c r="G35" i="44"/>
  <c r="F35" i="44"/>
  <c r="AH34" i="44"/>
  <c r="I28" i="44"/>
  <c r="H28" i="44"/>
  <c r="H31" i="44" s="1"/>
  <c r="G28" i="44"/>
  <c r="F28" i="44"/>
  <c r="F31" i="44" s="1"/>
  <c r="E28" i="44"/>
  <c r="D28" i="44"/>
  <c r="D31" i="44" s="1"/>
  <c r="C28" i="44"/>
  <c r="C31" i="44" s="1"/>
  <c r="B28" i="44"/>
  <c r="B31" i="44" s="1"/>
  <c r="I27" i="44"/>
  <c r="H27" i="44"/>
  <c r="G27" i="44"/>
  <c r="F27" i="44"/>
  <c r="K27" i="44"/>
  <c r="J25" i="44"/>
  <c r="I25" i="44"/>
  <c r="H25" i="44"/>
  <c r="G25" i="44"/>
  <c r="F25" i="44"/>
  <c r="E25" i="44"/>
  <c r="D25" i="44"/>
  <c r="C25" i="44"/>
  <c r="AH23" i="44"/>
  <c r="K22" i="44"/>
  <c r="J22" i="44"/>
  <c r="I22" i="44"/>
  <c r="H22" i="44"/>
  <c r="G22" i="44"/>
  <c r="F22" i="44"/>
  <c r="E22" i="44"/>
  <c r="D22" i="44"/>
  <c r="C22" i="44"/>
  <c r="K21" i="44"/>
  <c r="J21" i="44"/>
  <c r="I21" i="44"/>
  <c r="H21" i="44"/>
  <c r="G21" i="44"/>
  <c r="F21" i="44"/>
  <c r="AH20" i="44"/>
  <c r="O20" i="44"/>
  <c r="O31" i="44" s="1"/>
  <c r="N20" i="44"/>
  <c r="M20" i="44"/>
  <c r="L20" i="44"/>
  <c r="I19" i="44"/>
  <c r="H19" i="44"/>
  <c r="G19" i="44"/>
  <c r="F19" i="44"/>
  <c r="E19" i="44"/>
  <c r="D19" i="44"/>
  <c r="C19" i="44"/>
  <c r="J17" i="44"/>
  <c r="K17" i="44" s="1"/>
  <c r="AA16" i="44"/>
  <c r="Z16" i="44" s="1"/>
  <c r="Y16" i="44" s="1"/>
  <c r="X16" i="44" s="1"/>
  <c r="X13" i="44" s="1"/>
  <c r="W16" i="44"/>
  <c r="V16" i="44" s="1"/>
  <c r="U16" i="44" s="1"/>
  <c r="T16" i="44" s="1"/>
  <c r="T13" i="44" s="1"/>
  <c r="S16" i="44"/>
  <c r="R16" i="44" s="1"/>
  <c r="Q16" i="44" s="1"/>
  <c r="P16" i="44" s="1"/>
  <c r="P13" i="44" s="1"/>
  <c r="AA15" i="44"/>
  <c r="W15" i="44"/>
  <c r="S15" i="44"/>
  <c r="I15" i="44"/>
  <c r="H15" i="44"/>
  <c r="G15" i="44"/>
  <c r="F15" i="44"/>
  <c r="I14" i="44"/>
  <c r="H14" i="44"/>
  <c r="G14" i="44"/>
  <c r="F14" i="44"/>
  <c r="E14" i="44"/>
  <c r="D14" i="44"/>
  <c r="C14" i="44"/>
  <c r="B14" i="44"/>
  <c r="AA12" i="44"/>
  <c r="W12" i="44"/>
  <c r="S12" i="44"/>
  <c r="R12" i="44" s="1"/>
  <c r="Q12" i="44" s="1"/>
  <c r="P12" i="44" s="1"/>
  <c r="P9" i="44" s="1"/>
  <c r="AA11" i="44"/>
  <c r="W11" i="44"/>
  <c r="S11" i="44"/>
  <c r="I11" i="44"/>
  <c r="H11" i="44"/>
  <c r="G11" i="44"/>
  <c r="F11" i="44"/>
  <c r="AA10" i="44"/>
  <c r="W10" i="44"/>
  <c r="S10" i="44"/>
  <c r="I10" i="44"/>
  <c r="H10" i="44"/>
  <c r="G10" i="44"/>
  <c r="F10" i="44"/>
  <c r="E10" i="44"/>
  <c r="D10" i="44"/>
  <c r="C10" i="44"/>
  <c r="B10" i="44"/>
  <c r="X9" i="44"/>
  <c r="Y9" i="44" s="1"/>
  <c r="Z9" i="44" s="1"/>
  <c r="T9" i="44"/>
  <c r="U9" i="44" s="1"/>
  <c r="U28" i="44" s="1"/>
  <c r="O12" i="44"/>
  <c r="N12" i="44" s="1"/>
  <c r="M12" i="44" s="1"/>
  <c r="L12" i="44" s="1"/>
  <c r="AA8" i="44"/>
  <c r="Z8" i="44" s="1"/>
  <c r="Y8" i="44" s="1"/>
  <c r="X8" i="44" s="1"/>
  <c r="X6" i="44" s="1"/>
  <c r="W8" i="44"/>
  <c r="V8" i="44" s="1"/>
  <c r="U8" i="44" s="1"/>
  <c r="T8" i="44" s="1"/>
  <c r="T6" i="44" s="1"/>
  <c r="S8" i="44"/>
  <c r="R8" i="44" s="1"/>
  <c r="Q8" i="44" s="1"/>
  <c r="P8" i="44" s="1"/>
  <c r="P6" i="44" s="1"/>
  <c r="P14" i="44" s="1"/>
  <c r="AA7" i="44"/>
  <c r="W7" i="44"/>
  <c r="S7" i="44"/>
  <c r="I7" i="44"/>
  <c r="H7" i="44"/>
  <c r="G7" i="44"/>
  <c r="F7" i="44"/>
  <c r="O8" i="44"/>
  <c r="N8" i="44" s="1"/>
  <c r="M8" i="44" s="1"/>
  <c r="L8" i="44" s="1"/>
  <c r="J6" i="44"/>
  <c r="AA5" i="44"/>
  <c r="W5" i="44"/>
  <c r="AA4" i="44"/>
  <c r="W4" i="44"/>
  <c r="I4" i="44"/>
  <c r="H4" i="44"/>
  <c r="G4" i="44"/>
  <c r="F4" i="44"/>
  <c r="X3" i="44"/>
  <c r="T3" i="44"/>
  <c r="U3" i="44" s="1"/>
  <c r="V3" i="44" s="1"/>
  <c r="L3" i="44"/>
  <c r="J3" i="44"/>
  <c r="J9" i="44" s="1"/>
  <c r="H11" i="43"/>
  <c r="I11" i="43" s="1"/>
  <c r="F11" i="43"/>
  <c r="D11" i="43"/>
  <c r="G10" i="43"/>
  <c r="E10" i="43"/>
  <c r="G9" i="43"/>
  <c r="E9" i="43"/>
  <c r="G8" i="43"/>
  <c r="E8" i="43"/>
  <c r="G7" i="43"/>
  <c r="E7" i="43"/>
  <c r="G6" i="43"/>
  <c r="E6" i="43"/>
  <c r="G5" i="43"/>
  <c r="E5" i="43"/>
  <c r="H4" i="43"/>
  <c r="F4" i="43"/>
  <c r="D4" i="43"/>
  <c r="N47" i="42"/>
  <c r="M47" i="42"/>
  <c r="L47" i="42"/>
  <c r="N45" i="42"/>
  <c r="M45" i="42"/>
  <c r="L45" i="42"/>
  <c r="N36" i="42"/>
  <c r="M36" i="42"/>
  <c r="L36" i="42"/>
  <c r="K36" i="42"/>
  <c r="F25" i="42"/>
  <c r="AA48" i="38" s="1"/>
  <c r="E25" i="42"/>
  <c r="Z48" i="38" s="1"/>
  <c r="D25" i="42"/>
  <c r="Y48" i="38" s="1"/>
  <c r="F23" i="42"/>
  <c r="AA46" i="38" s="1"/>
  <c r="E23" i="42"/>
  <c r="Z46" i="38" s="1"/>
  <c r="D23" i="42"/>
  <c r="Y46" i="38" s="1"/>
  <c r="C23" i="42"/>
  <c r="X46" i="38" s="1"/>
  <c r="E46" i="38" s="1"/>
  <c r="F22" i="42"/>
  <c r="AA45" i="38" s="1"/>
  <c r="E22" i="42"/>
  <c r="Z45" i="38" s="1"/>
  <c r="D22" i="42"/>
  <c r="Y45" i="38" s="1"/>
  <c r="C22" i="42"/>
  <c r="X45" i="38" s="1"/>
  <c r="E45" i="38" s="1"/>
  <c r="F21" i="42"/>
  <c r="AA44" i="38" s="1"/>
  <c r="E21" i="42"/>
  <c r="Z44" i="38" s="1"/>
  <c r="D21" i="42"/>
  <c r="Y44" i="38" s="1"/>
  <c r="C21" i="42"/>
  <c r="X44" i="38" s="1"/>
  <c r="E44" i="38" s="1"/>
  <c r="F20" i="42"/>
  <c r="AA43" i="38" s="1"/>
  <c r="E20" i="42"/>
  <c r="Z43" i="38" s="1"/>
  <c r="D20" i="42"/>
  <c r="Y43" i="38" s="1"/>
  <c r="C20" i="42"/>
  <c r="X43" i="38" s="1"/>
  <c r="E43" i="38" s="1"/>
  <c r="U126" i="41"/>
  <c r="T126" i="41"/>
  <c r="S126" i="41"/>
  <c r="R126" i="41"/>
  <c r="Q126" i="41"/>
  <c r="P126" i="41"/>
  <c r="O126" i="41"/>
  <c r="N126" i="41"/>
  <c r="M126" i="41"/>
  <c r="L126" i="41"/>
  <c r="K126" i="41"/>
  <c r="J126" i="41"/>
  <c r="I126" i="41"/>
  <c r="H126" i="41"/>
  <c r="G126" i="41"/>
  <c r="F126" i="41"/>
  <c r="E126" i="41"/>
  <c r="D126" i="41"/>
  <c r="C123" i="41"/>
  <c r="C125" i="41" s="1"/>
  <c r="B122" i="41"/>
  <c r="U118" i="41"/>
  <c r="T118" i="41"/>
  <c r="S118" i="41"/>
  <c r="R118" i="41"/>
  <c r="Q118" i="41"/>
  <c r="P118" i="41"/>
  <c r="O118" i="41"/>
  <c r="N118" i="41"/>
  <c r="M118" i="41"/>
  <c r="L118" i="41"/>
  <c r="K118" i="41"/>
  <c r="J118" i="41"/>
  <c r="I118" i="41"/>
  <c r="H118" i="41"/>
  <c r="G118" i="41"/>
  <c r="F118" i="41"/>
  <c r="E118" i="41"/>
  <c r="D118" i="41"/>
  <c r="C118" i="41"/>
  <c r="C117" i="41"/>
  <c r="B113" i="41"/>
  <c r="V109" i="41"/>
  <c r="S109" i="41"/>
  <c r="R109" i="41"/>
  <c r="Q109" i="41"/>
  <c r="P109" i="41"/>
  <c r="O109" i="41"/>
  <c r="N109" i="41"/>
  <c r="M109" i="41"/>
  <c r="L109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I107" i="41"/>
  <c r="H107" i="41"/>
  <c r="H64" i="41" s="1"/>
  <c r="G107" i="41"/>
  <c r="F107" i="41"/>
  <c r="E107" i="41"/>
  <c r="D107" i="41"/>
  <c r="R105" i="41"/>
  <c r="R124" i="41" s="1"/>
  <c r="Q105" i="41"/>
  <c r="Q124" i="41" s="1"/>
  <c r="P105" i="41"/>
  <c r="P124" i="41" s="1"/>
  <c r="O105" i="41"/>
  <c r="O124" i="41" s="1"/>
  <c r="N105" i="41"/>
  <c r="N124" i="41" s="1"/>
  <c r="M105" i="41"/>
  <c r="M124" i="41" s="1"/>
  <c r="L105" i="41"/>
  <c r="L124" i="41" s="1"/>
  <c r="K105" i="41"/>
  <c r="K124" i="41" s="1"/>
  <c r="J105" i="41"/>
  <c r="J124" i="41" s="1"/>
  <c r="I105" i="41"/>
  <c r="I124" i="41" s="1"/>
  <c r="H105" i="41"/>
  <c r="H124" i="41" s="1"/>
  <c r="G105" i="41"/>
  <c r="G124" i="41" s="1"/>
  <c r="F105" i="41"/>
  <c r="F124" i="41" s="1"/>
  <c r="E105" i="41"/>
  <c r="E124" i="41" s="1"/>
  <c r="D105" i="41"/>
  <c r="D124" i="41" s="1"/>
  <c r="F104" i="41"/>
  <c r="E104" i="41"/>
  <c r="D104" i="41"/>
  <c r="V103" i="41"/>
  <c r="V123" i="41" s="1"/>
  <c r="U103" i="41"/>
  <c r="U123" i="41" s="1"/>
  <c r="T103" i="41"/>
  <c r="T123" i="41" s="1"/>
  <c r="S103" i="41"/>
  <c r="S123" i="41" s="1"/>
  <c r="R103" i="41"/>
  <c r="R123" i="41" s="1"/>
  <c r="Q103" i="41"/>
  <c r="Q123" i="41" s="1"/>
  <c r="P103" i="41"/>
  <c r="P123" i="41" s="1"/>
  <c r="O103" i="41"/>
  <c r="O123" i="41" s="1"/>
  <c r="N103" i="41"/>
  <c r="N123" i="41" s="1"/>
  <c r="M103" i="41"/>
  <c r="M123" i="41" s="1"/>
  <c r="L103" i="41"/>
  <c r="L123" i="41" s="1"/>
  <c r="K103" i="41"/>
  <c r="K123" i="41" s="1"/>
  <c r="J103" i="41"/>
  <c r="J123" i="41" s="1"/>
  <c r="I103" i="41"/>
  <c r="I123" i="41" s="1"/>
  <c r="H103" i="41"/>
  <c r="H123" i="41" s="1"/>
  <c r="G103" i="41"/>
  <c r="G123" i="41" s="1"/>
  <c r="F103" i="41"/>
  <c r="F123" i="41" s="1"/>
  <c r="E103" i="41"/>
  <c r="E123" i="41" s="1"/>
  <c r="D103" i="41"/>
  <c r="D123" i="41" s="1"/>
  <c r="V86" i="41"/>
  <c r="U86" i="41"/>
  <c r="T86" i="41"/>
  <c r="T83" i="41"/>
  <c r="T82" i="41"/>
  <c r="V75" i="41"/>
  <c r="U75" i="41"/>
  <c r="T75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B73" i="41"/>
  <c r="O71" i="41"/>
  <c r="K71" i="41"/>
  <c r="G71" i="41"/>
  <c r="O68" i="41"/>
  <c r="O67" i="41"/>
  <c r="K67" i="41"/>
  <c r="G67" i="41"/>
  <c r="V64" i="41"/>
  <c r="U64" i="41"/>
  <c r="T64" i="41"/>
  <c r="U60" i="41"/>
  <c r="K59" i="41"/>
  <c r="J59" i="41"/>
  <c r="J107" i="41" s="1"/>
  <c r="V56" i="41"/>
  <c r="W108" i="41" s="1"/>
  <c r="U56" i="41"/>
  <c r="T56" i="41"/>
  <c r="S56" i="41"/>
  <c r="R56" i="41"/>
  <c r="Q56" i="41"/>
  <c r="P56" i="41"/>
  <c r="O56" i="41"/>
  <c r="N56" i="41"/>
  <c r="M56" i="41"/>
  <c r="L56" i="41"/>
  <c r="K56" i="41"/>
  <c r="J56" i="41"/>
  <c r="I56" i="41"/>
  <c r="H56" i="41"/>
  <c r="G56" i="41"/>
  <c r="F56" i="41"/>
  <c r="E56" i="41"/>
  <c r="E60" i="41" s="1"/>
  <c r="D56" i="41"/>
  <c r="B56" i="41"/>
  <c r="U52" i="41"/>
  <c r="T52" i="41"/>
  <c r="S52" i="41"/>
  <c r="R52" i="41"/>
  <c r="Q52" i="41"/>
  <c r="P52" i="41"/>
  <c r="F49" i="41"/>
  <c r="E49" i="41"/>
  <c r="D49" i="41"/>
  <c r="V48" i="41"/>
  <c r="U48" i="41"/>
  <c r="T48" i="41"/>
  <c r="T105" i="41" s="1"/>
  <c r="T124" i="41" s="1"/>
  <c r="S48" i="41"/>
  <c r="S105" i="41" s="1"/>
  <c r="S124" i="41" s="1"/>
  <c r="U45" i="41"/>
  <c r="T45" i="41"/>
  <c r="I45" i="41"/>
  <c r="G45" i="41"/>
  <c r="F45" i="41"/>
  <c r="E45" i="41"/>
  <c r="D45" i="41"/>
  <c r="U41" i="41"/>
  <c r="T41" i="41"/>
  <c r="S41" i="41"/>
  <c r="W49" i="41" s="1"/>
  <c r="R41" i="41"/>
  <c r="Q41" i="41"/>
  <c r="P41" i="41"/>
  <c r="O41" i="41"/>
  <c r="N41" i="41"/>
  <c r="M41" i="41"/>
  <c r="L41" i="41"/>
  <c r="K41" i="41"/>
  <c r="J41" i="41"/>
  <c r="I41" i="41"/>
  <c r="H41" i="41"/>
  <c r="G41" i="41"/>
  <c r="V39" i="41"/>
  <c r="U39" i="41"/>
  <c r="T39" i="41"/>
  <c r="S39" i="41"/>
  <c r="R39" i="41"/>
  <c r="Q39" i="41"/>
  <c r="P39" i="41"/>
  <c r="O39" i="41"/>
  <c r="N39" i="41"/>
  <c r="M39" i="41"/>
  <c r="L39" i="41"/>
  <c r="K39" i="41"/>
  <c r="J39" i="41"/>
  <c r="I39" i="41"/>
  <c r="H39" i="41"/>
  <c r="G39" i="41"/>
  <c r="F39" i="41"/>
  <c r="E39" i="41"/>
  <c r="D39" i="41"/>
  <c r="B39" i="41"/>
  <c r="V36" i="41"/>
  <c r="G36" i="41"/>
  <c r="F36" i="41"/>
  <c r="E36" i="41"/>
  <c r="D36" i="41"/>
  <c r="C36" i="41"/>
  <c r="B36" i="41"/>
  <c r="V27" i="41"/>
  <c r="G27" i="41"/>
  <c r="F27" i="41"/>
  <c r="E27" i="41"/>
  <c r="D27" i="41"/>
  <c r="C27" i="41"/>
  <c r="B27" i="41"/>
  <c r="V5" i="41"/>
  <c r="U5" i="41"/>
  <c r="U8" i="41" s="1"/>
  <c r="T5" i="41"/>
  <c r="T8" i="41" s="1"/>
  <c r="S5" i="41"/>
  <c r="S8" i="41" s="1"/>
  <c r="R5" i="41"/>
  <c r="R8" i="41" s="1"/>
  <c r="Q5" i="41"/>
  <c r="Q8" i="41" s="1"/>
  <c r="P5" i="41"/>
  <c r="P8" i="41" s="1"/>
  <c r="O5" i="41"/>
  <c r="O8" i="41" s="1"/>
  <c r="N5" i="41"/>
  <c r="N8" i="41" s="1"/>
  <c r="M5" i="41"/>
  <c r="M8" i="41" s="1"/>
  <c r="L5" i="41"/>
  <c r="L8" i="41" s="1"/>
  <c r="K5" i="41"/>
  <c r="K8" i="41" s="1"/>
  <c r="J5" i="41"/>
  <c r="J8" i="41" s="1"/>
  <c r="I5" i="41"/>
  <c r="I8" i="41" s="1"/>
  <c r="H5" i="41"/>
  <c r="H8" i="41" s="1"/>
  <c r="G5" i="41"/>
  <c r="F5" i="41"/>
  <c r="E5" i="41"/>
  <c r="D5" i="41"/>
  <c r="B5" i="41"/>
  <c r="V4" i="41"/>
  <c r="AA214" i="38" s="1"/>
  <c r="U4" i="41"/>
  <c r="U7" i="41" s="1"/>
  <c r="T4" i="41"/>
  <c r="T7" i="41" s="1"/>
  <c r="S4" i="41"/>
  <c r="S7" i="41" s="1"/>
  <c r="R4" i="41"/>
  <c r="R7" i="41" s="1"/>
  <c r="Q4" i="41"/>
  <c r="Q7" i="41" s="1"/>
  <c r="P4" i="41"/>
  <c r="P7" i="41" s="1"/>
  <c r="O4" i="41"/>
  <c r="O7" i="41" s="1"/>
  <c r="N4" i="41"/>
  <c r="N7" i="41" s="1"/>
  <c r="M4" i="41"/>
  <c r="M7" i="41" s="1"/>
  <c r="L4" i="41"/>
  <c r="L7" i="41" s="1"/>
  <c r="K4" i="41"/>
  <c r="K7" i="41" s="1"/>
  <c r="J4" i="41"/>
  <c r="J7" i="41" s="1"/>
  <c r="I4" i="41"/>
  <c r="I7" i="41" s="1"/>
  <c r="H4" i="41"/>
  <c r="H7" i="41" s="1"/>
  <c r="G4" i="41"/>
  <c r="F4" i="41"/>
  <c r="E4" i="41"/>
  <c r="D4" i="41"/>
  <c r="B4" i="41"/>
  <c r="V3" i="41"/>
  <c r="U3" i="41"/>
  <c r="U6" i="41" s="1"/>
  <c r="T3" i="41"/>
  <c r="T6" i="41" s="1"/>
  <c r="S3" i="41"/>
  <c r="S6" i="41" s="1"/>
  <c r="R3" i="41"/>
  <c r="R6" i="41" s="1"/>
  <c r="Q3" i="41"/>
  <c r="Q6" i="41" s="1"/>
  <c r="P3" i="41"/>
  <c r="P6" i="41" s="1"/>
  <c r="O3" i="41"/>
  <c r="O6" i="41" s="1"/>
  <c r="N3" i="41"/>
  <c r="N6" i="41" s="1"/>
  <c r="M3" i="41"/>
  <c r="M6" i="41" s="1"/>
  <c r="L3" i="41"/>
  <c r="L6" i="41" s="1"/>
  <c r="K3" i="41"/>
  <c r="K6" i="41" s="1"/>
  <c r="J3" i="41"/>
  <c r="J6" i="41" s="1"/>
  <c r="I3" i="41"/>
  <c r="I6" i="41" s="1"/>
  <c r="H3" i="41"/>
  <c r="H6" i="41" s="1"/>
  <c r="G3" i="41"/>
  <c r="F3" i="41"/>
  <c r="E3" i="41"/>
  <c r="D3" i="41"/>
  <c r="B3" i="41"/>
  <c r="E96" i="40"/>
  <c r="D96" i="40"/>
  <c r="C96" i="40"/>
  <c r="E94" i="40"/>
  <c r="D94" i="40"/>
  <c r="C94" i="40"/>
  <c r="E93" i="40"/>
  <c r="D93" i="40"/>
  <c r="C93" i="40"/>
  <c r="F86" i="40"/>
  <c r="E84" i="40"/>
  <c r="D84" i="40"/>
  <c r="D89" i="40" s="1"/>
  <c r="C84" i="40"/>
  <c r="E78" i="40"/>
  <c r="D78" i="40"/>
  <c r="C78" i="40"/>
  <c r="E70" i="40"/>
  <c r="D70" i="40"/>
  <c r="C70" i="40"/>
  <c r="E66" i="40"/>
  <c r="D66" i="40"/>
  <c r="C66" i="40"/>
  <c r="E42" i="40"/>
  <c r="E105" i="40" s="1"/>
  <c r="D42" i="40"/>
  <c r="D105" i="40" s="1"/>
  <c r="C42" i="40"/>
  <c r="C105" i="40" s="1"/>
  <c r="E38" i="40"/>
  <c r="D38" i="40"/>
  <c r="C38" i="40"/>
  <c r="Q120" i="39"/>
  <c r="P120" i="39"/>
  <c r="O120" i="39"/>
  <c r="N120" i="39"/>
  <c r="M120" i="39"/>
  <c r="L120" i="39"/>
  <c r="K120" i="39"/>
  <c r="J120" i="39"/>
  <c r="I120" i="39"/>
  <c r="H120" i="39"/>
  <c r="G120" i="39"/>
  <c r="F120" i="39"/>
  <c r="E120" i="39"/>
  <c r="D120" i="39"/>
  <c r="Q119" i="39"/>
  <c r="P119" i="39"/>
  <c r="O119" i="39"/>
  <c r="N119" i="39"/>
  <c r="M119" i="39"/>
  <c r="L119" i="39"/>
  <c r="K119" i="39"/>
  <c r="J119" i="39"/>
  <c r="I119" i="39"/>
  <c r="H119" i="39"/>
  <c r="G119" i="39"/>
  <c r="Q116" i="39"/>
  <c r="P116" i="39"/>
  <c r="O116" i="39"/>
  <c r="N116" i="39"/>
  <c r="M116" i="39"/>
  <c r="L116" i="39"/>
  <c r="K116" i="39"/>
  <c r="J116" i="39"/>
  <c r="I116" i="39"/>
  <c r="H116" i="39"/>
  <c r="G116" i="39"/>
  <c r="F116" i="39"/>
  <c r="E116" i="39"/>
  <c r="D116" i="39"/>
  <c r="Q115" i="39"/>
  <c r="P115" i="39"/>
  <c r="O115" i="39"/>
  <c r="N115" i="39"/>
  <c r="M115" i="39"/>
  <c r="L115" i="39"/>
  <c r="K115" i="39"/>
  <c r="J115" i="39"/>
  <c r="I115" i="39"/>
  <c r="H115" i="39"/>
  <c r="G115" i="39"/>
  <c r="J110" i="39"/>
  <c r="I110" i="39"/>
  <c r="H110" i="39"/>
  <c r="G110" i="39"/>
  <c r="F110" i="39"/>
  <c r="E110" i="39"/>
  <c r="D110" i="39"/>
  <c r="J109" i="39"/>
  <c r="I109" i="39"/>
  <c r="H109" i="39"/>
  <c r="G109" i="39"/>
  <c r="Q89" i="39"/>
  <c r="P89" i="39"/>
  <c r="O89" i="39"/>
  <c r="N89" i="39"/>
  <c r="M89" i="39"/>
  <c r="L89" i="39"/>
  <c r="K89" i="39"/>
  <c r="J89" i="39"/>
  <c r="I89" i="39"/>
  <c r="H89" i="39"/>
  <c r="G89" i="39"/>
  <c r="F89" i="39"/>
  <c r="E89" i="39"/>
  <c r="D89" i="39"/>
  <c r="C89" i="39"/>
  <c r="Q88" i="39"/>
  <c r="P88" i="39"/>
  <c r="O88" i="39"/>
  <c r="N88" i="39"/>
  <c r="M88" i="39"/>
  <c r="L88" i="39"/>
  <c r="K88" i="39"/>
  <c r="J88" i="39"/>
  <c r="I88" i="39"/>
  <c r="H88" i="39"/>
  <c r="G88" i="39"/>
  <c r="F88" i="39"/>
  <c r="E88" i="39"/>
  <c r="D88" i="39"/>
  <c r="C88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Q71" i="39"/>
  <c r="P71" i="39"/>
  <c r="O71" i="39"/>
  <c r="N71" i="39"/>
  <c r="M71" i="39"/>
  <c r="L71" i="39"/>
  <c r="K71" i="39"/>
  <c r="J71" i="39"/>
  <c r="I71" i="39"/>
  <c r="H71" i="39"/>
  <c r="G71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Q67" i="39"/>
  <c r="P67" i="39"/>
  <c r="O67" i="39"/>
  <c r="N67" i="39"/>
  <c r="M67" i="39"/>
  <c r="L67" i="39"/>
  <c r="K67" i="39"/>
  <c r="J67" i="39"/>
  <c r="I67" i="39"/>
  <c r="H67" i="39"/>
  <c r="G67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Q50" i="39"/>
  <c r="P50" i="39"/>
  <c r="O50" i="39"/>
  <c r="N50" i="39"/>
  <c r="M50" i="39"/>
  <c r="L50" i="39"/>
  <c r="K50" i="39"/>
  <c r="J50" i="39"/>
  <c r="I50" i="39"/>
  <c r="H50" i="39"/>
  <c r="G50" i="39"/>
  <c r="F50" i="39"/>
  <c r="E50" i="39"/>
  <c r="D50" i="39"/>
  <c r="C50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Q43" i="39"/>
  <c r="P43" i="39"/>
  <c r="O43" i="39"/>
  <c r="N43" i="39"/>
  <c r="M43" i="39"/>
  <c r="L43" i="39"/>
  <c r="K43" i="39"/>
  <c r="J43" i="39"/>
  <c r="I43" i="39"/>
  <c r="H43" i="39"/>
  <c r="G43" i="39"/>
  <c r="Q40" i="39"/>
  <c r="P40" i="39"/>
  <c r="O40" i="39"/>
  <c r="N40" i="39"/>
  <c r="M40" i="39"/>
  <c r="L40" i="39"/>
  <c r="K40" i="39"/>
  <c r="J40" i="39"/>
  <c r="I40" i="39"/>
  <c r="H40" i="39"/>
  <c r="G40" i="39"/>
  <c r="F40" i="39"/>
  <c r="E40" i="39"/>
  <c r="D40" i="39"/>
  <c r="Q39" i="39"/>
  <c r="P39" i="39"/>
  <c r="O39" i="39"/>
  <c r="N39" i="39"/>
  <c r="M39" i="39"/>
  <c r="L39" i="39"/>
  <c r="K39" i="39"/>
  <c r="J39" i="39"/>
  <c r="I39" i="39"/>
  <c r="H39" i="39"/>
  <c r="G39" i="39"/>
  <c r="Q30" i="39"/>
  <c r="Q26" i="39"/>
  <c r="Q22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J10" i="39"/>
  <c r="I10" i="39"/>
  <c r="H10" i="39"/>
  <c r="G10" i="39"/>
  <c r="F10" i="39"/>
  <c r="E10" i="39"/>
  <c r="D10" i="39"/>
  <c r="C10" i="39"/>
  <c r="AA213" i="38"/>
  <c r="Z213" i="38"/>
  <c r="Y213" i="38"/>
  <c r="X213" i="38"/>
  <c r="W213" i="38"/>
  <c r="V213" i="38"/>
  <c r="U213" i="38"/>
  <c r="T213" i="38"/>
  <c r="S213" i="38"/>
  <c r="R213" i="38"/>
  <c r="Q213" i="38"/>
  <c r="P213" i="38"/>
  <c r="O213" i="38"/>
  <c r="N213" i="38"/>
  <c r="M213" i="38"/>
  <c r="AA210" i="38"/>
  <c r="AA211" i="38" s="1"/>
  <c r="Z210" i="38"/>
  <c r="Z211" i="38" s="1"/>
  <c r="Y210" i="38"/>
  <c r="Y211" i="38" s="1"/>
  <c r="X210" i="38"/>
  <c r="W210" i="38"/>
  <c r="W211" i="38" s="1"/>
  <c r="V210" i="38"/>
  <c r="V211" i="38" s="1"/>
  <c r="U210" i="38"/>
  <c r="U211" i="38" s="1"/>
  <c r="T210" i="38"/>
  <c r="S210" i="38"/>
  <c r="S211" i="38" s="1"/>
  <c r="R210" i="38"/>
  <c r="R211" i="38" s="1"/>
  <c r="Q210" i="38"/>
  <c r="Q211" i="38" s="1"/>
  <c r="P210" i="38"/>
  <c r="O210" i="38"/>
  <c r="O211" i="38" s="1"/>
  <c r="N210" i="38"/>
  <c r="N211" i="38" s="1"/>
  <c r="M210" i="38"/>
  <c r="M211" i="38" s="1"/>
  <c r="AA194" i="38"/>
  <c r="AB196" i="38" s="1"/>
  <c r="Z194" i="38"/>
  <c r="Y194" i="38"/>
  <c r="X194" i="38"/>
  <c r="AB195" i="38" s="1"/>
  <c r="W194" i="38"/>
  <c r="V194" i="38"/>
  <c r="U194" i="38"/>
  <c r="T194" i="38"/>
  <c r="S194" i="38"/>
  <c r="R194" i="38"/>
  <c r="Q194" i="38"/>
  <c r="P194" i="38"/>
  <c r="O194" i="38"/>
  <c r="N194" i="38"/>
  <c r="M194" i="38"/>
  <c r="AA181" i="38"/>
  <c r="Z181" i="38"/>
  <c r="Y181" i="38"/>
  <c r="X181" i="38"/>
  <c r="W181" i="38"/>
  <c r="V181" i="38"/>
  <c r="U181" i="38"/>
  <c r="T181" i="38"/>
  <c r="S181" i="38"/>
  <c r="R181" i="38"/>
  <c r="Q181" i="38"/>
  <c r="P181" i="38"/>
  <c r="O181" i="38"/>
  <c r="N181" i="38"/>
  <c r="M181" i="38"/>
  <c r="AA162" i="38"/>
  <c r="AA178" i="38"/>
  <c r="AA176" i="38" s="1"/>
  <c r="Z178" i="38"/>
  <c r="Y178" i="38"/>
  <c r="X178" i="38"/>
  <c r="W178" i="38"/>
  <c r="V178" i="38"/>
  <c r="U178" i="38"/>
  <c r="T178" i="38"/>
  <c r="S178" i="38"/>
  <c r="R178" i="38"/>
  <c r="Q178" i="38"/>
  <c r="Z177" i="38"/>
  <c r="P30" i="39" s="1"/>
  <c r="Y177" i="38"/>
  <c r="O30" i="39" s="1"/>
  <c r="X177" i="38"/>
  <c r="N30" i="39" s="1"/>
  <c r="W177" i="38"/>
  <c r="V177" i="38"/>
  <c r="L30" i="39" s="1"/>
  <c r="U177" i="38"/>
  <c r="T177" i="38"/>
  <c r="J30" i="39" s="1"/>
  <c r="S177" i="38"/>
  <c r="R177" i="38"/>
  <c r="H30" i="39" s="1"/>
  <c r="Q177" i="38"/>
  <c r="T174" i="38"/>
  <c r="S174" i="38"/>
  <c r="R174" i="38"/>
  <c r="Q174" i="38"/>
  <c r="P174" i="38"/>
  <c r="O174" i="38"/>
  <c r="N174" i="38"/>
  <c r="M174" i="38"/>
  <c r="T173" i="38"/>
  <c r="J26" i="39" s="1"/>
  <c r="S173" i="38"/>
  <c r="I26" i="39" s="1"/>
  <c r="R173" i="38"/>
  <c r="H26" i="39" s="1"/>
  <c r="Q173" i="38"/>
  <c r="P173" i="38"/>
  <c r="O173" i="38"/>
  <c r="E26" i="39" s="1"/>
  <c r="N173" i="38"/>
  <c r="D26" i="39" s="1"/>
  <c r="M173" i="38"/>
  <c r="AG155" i="38"/>
  <c r="AH155" i="38" s="1"/>
  <c r="AI155" i="38" s="1"/>
  <c r="AJ155" i="38" s="1"/>
  <c r="AK155" i="38" s="1"/>
  <c r="AL155" i="38" s="1"/>
  <c r="AM155" i="38" s="1"/>
  <c r="AN155" i="38" s="1"/>
  <c r="AO155" i="38" s="1"/>
  <c r="AP155" i="38" s="1"/>
  <c r="AQ155" i="38" s="1"/>
  <c r="AR155" i="38" s="1"/>
  <c r="T155" i="38"/>
  <c r="S155" i="38" s="1"/>
  <c r="R155" i="38" s="1"/>
  <c r="Q155" i="38" s="1"/>
  <c r="P155" i="38" s="1"/>
  <c r="O155" i="38" s="1"/>
  <c r="N155" i="38" s="1"/>
  <c r="M155" i="38" s="1"/>
  <c r="Z154" i="38"/>
  <c r="AA154" i="38" s="1"/>
  <c r="T154" i="38"/>
  <c r="U154" i="38" s="1"/>
  <c r="Z153" i="38"/>
  <c r="AA153" i="38" s="1"/>
  <c r="T153" i="38"/>
  <c r="U153" i="38" s="1"/>
  <c r="AA142" i="38"/>
  <c r="AA149" i="38" s="1"/>
  <c r="AE149" i="38" s="1"/>
  <c r="AI149" i="38" s="1"/>
  <c r="AM149" i="38" s="1"/>
  <c r="AQ149" i="38" s="1"/>
  <c r="AU149" i="38" s="1"/>
  <c r="Z143" i="38"/>
  <c r="Z147" i="38" s="1"/>
  <c r="AA147" i="38"/>
  <c r="Z141" i="38"/>
  <c r="Y141" i="38" s="1"/>
  <c r="AA145" i="38"/>
  <c r="AA138" i="38"/>
  <c r="Z138" i="38"/>
  <c r="Y138" i="38"/>
  <c r="X138" i="38"/>
  <c r="W138" i="38"/>
  <c r="V138" i="38"/>
  <c r="U138" i="38"/>
  <c r="T138" i="38"/>
  <c r="S138" i="38"/>
  <c r="R138" i="38"/>
  <c r="Q138" i="38"/>
  <c r="T110" i="38"/>
  <c r="S110" i="38"/>
  <c r="R110" i="38"/>
  <c r="Q110" i="38"/>
  <c r="AA109" i="38"/>
  <c r="Z109" i="38"/>
  <c r="Y109" i="38"/>
  <c r="X109" i="38"/>
  <c r="W109" i="38"/>
  <c r="V109" i="38"/>
  <c r="U109" i="38"/>
  <c r="X126" i="38"/>
  <c r="Z125" i="38"/>
  <c r="Y125" i="38"/>
  <c r="X125" i="38"/>
  <c r="E125" i="38" s="1"/>
  <c r="T125" i="38"/>
  <c r="D125" i="38" s="1"/>
  <c r="AA122" i="38"/>
  <c r="Z122" i="38"/>
  <c r="Y122" i="38"/>
  <c r="T121" i="38"/>
  <c r="X122" i="38" s="1"/>
  <c r="S121" i="38"/>
  <c r="R121" i="38"/>
  <c r="Q121" i="38"/>
  <c r="P121" i="38"/>
  <c r="O121" i="38"/>
  <c r="N121" i="38"/>
  <c r="M121" i="38"/>
  <c r="AA117" i="38"/>
  <c r="AA118" i="38" s="1"/>
  <c r="Z117" i="38"/>
  <c r="Z118" i="38" s="1"/>
  <c r="Y117" i="38"/>
  <c r="Y118" i="38" s="1"/>
  <c r="X117" i="38"/>
  <c r="W117" i="38"/>
  <c r="W118" i="38" s="1"/>
  <c r="V117" i="38"/>
  <c r="V118" i="38" s="1"/>
  <c r="U117" i="38"/>
  <c r="U118" i="38" s="1"/>
  <c r="T117" i="38"/>
  <c r="D117" i="38" s="1"/>
  <c r="S117" i="38"/>
  <c r="R117" i="38"/>
  <c r="Q117" i="38"/>
  <c r="P117" i="38"/>
  <c r="C117" i="38" s="1"/>
  <c r="O117" i="38"/>
  <c r="N117" i="38"/>
  <c r="M117" i="38"/>
  <c r="AA116" i="38"/>
  <c r="Z116" i="38"/>
  <c r="Y116" i="38"/>
  <c r="T115" i="38"/>
  <c r="S115" i="38"/>
  <c r="R115" i="38"/>
  <c r="Q115" i="38"/>
  <c r="P115" i="38"/>
  <c r="O115" i="38"/>
  <c r="N115" i="38"/>
  <c r="M115" i="38"/>
  <c r="AB105" i="38"/>
  <c r="AC105" i="38" s="1"/>
  <c r="T103" i="38"/>
  <c r="Y102" i="38"/>
  <c r="V102" i="38"/>
  <c r="Z101" i="38"/>
  <c r="Z103" i="38" s="1"/>
  <c r="Y101" i="38"/>
  <c r="X101" i="38"/>
  <c r="E101" i="38" s="1"/>
  <c r="E103" i="38" s="1"/>
  <c r="W101" i="38"/>
  <c r="V101" i="38"/>
  <c r="V125" i="38" s="1"/>
  <c r="AA86" i="38"/>
  <c r="X86" i="38"/>
  <c r="AA78" i="38"/>
  <c r="Z78" i="38"/>
  <c r="Y78" i="38"/>
  <c r="X78" i="38"/>
  <c r="W78" i="38"/>
  <c r="V78" i="38"/>
  <c r="U78" i="38"/>
  <c r="T78" i="38"/>
  <c r="S78" i="38"/>
  <c r="R78" i="38"/>
  <c r="Q78" i="38"/>
  <c r="P78" i="38"/>
  <c r="O78" i="38"/>
  <c r="N78" i="38"/>
  <c r="M78" i="38"/>
  <c r="AA75" i="38"/>
  <c r="Z75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AA72" i="38"/>
  <c r="Z72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Y69" i="38"/>
  <c r="X69" i="38"/>
  <c r="W69" i="38"/>
  <c r="V69" i="38"/>
  <c r="U69" i="38"/>
  <c r="AA60" i="38"/>
  <c r="Z60" i="38"/>
  <c r="Y60" i="38"/>
  <c r="X60" i="38"/>
  <c r="W60" i="38"/>
  <c r="V60" i="38"/>
  <c r="U60" i="38"/>
  <c r="Y70" i="38"/>
  <c r="X70" i="38"/>
  <c r="W70" i="38"/>
  <c r="V70" i="38"/>
  <c r="U70" i="38"/>
  <c r="AC68" i="38"/>
  <c r="AB68" i="38"/>
  <c r="AA68" i="38"/>
  <c r="AA70" i="38" s="1"/>
  <c r="Z68" i="38"/>
  <c r="Z62" i="38"/>
  <c r="Z63" i="38" s="1"/>
  <c r="Y62" i="38"/>
  <c r="X62" i="38"/>
  <c r="X63" i="38" s="1"/>
  <c r="W62" i="38"/>
  <c r="W63" i="38" s="1"/>
  <c r="V62" i="38"/>
  <c r="V63" i="38" s="1"/>
  <c r="U62" i="38"/>
  <c r="AA61" i="38"/>
  <c r="AA64" i="38" s="1"/>
  <c r="Z61" i="38"/>
  <c r="Y61" i="38"/>
  <c r="X61" i="38"/>
  <c r="W61" i="38"/>
  <c r="V61" i="38"/>
  <c r="U61" i="38"/>
  <c r="AA54" i="38"/>
  <c r="Z54" i="38"/>
  <c r="Y54" i="38"/>
  <c r="X54" i="38"/>
  <c r="AB55" i="38" s="1"/>
  <c r="W54" i="38"/>
  <c r="V54" i="38"/>
  <c r="U54" i="38"/>
  <c r="T54" i="38"/>
  <c r="S54" i="38"/>
  <c r="R54" i="38"/>
  <c r="Q54" i="38"/>
  <c r="P54" i="38"/>
  <c r="O54" i="38"/>
  <c r="N54" i="38"/>
  <c r="M54" i="38"/>
  <c r="T34" i="38"/>
  <c r="S34" i="38"/>
  <c r="R34" i="38"/>
  <c r="Q34" i="38"/>
  <c r="P34" i="38"/>
  <c r="O34" i="38"/>
  <c r="N34" i="38"/>
  <c r="M34" i="38"/>
  <c r="AA67" i="38"/>
  <c r="Z67" i="38"/>
  <c r="Y67" i="38"/>
  <c r="AA41" i="38"/>
  <c r="Z41" i="38"/>
  <c r="Y41" i="38"/>
  <c r="AA82" i="38"/>
  <c r="AA106" i="38" s="1"/>
  <c r="Z82" i="38"/>
  <c r="Z34" i="38" s="1"/>
  <c r="Y82" i="38"/>
  <c r="X82" i="38"/>
  <c r="X34" i="38" s="1"/>
  <c r="W82" i="38"/>
  <c r="W106" i="38" s="1"/>
  <c r="V82" i="38"/>
  <c r="V34" i="38" s="1"/>
  <c r="U82" i="38"/>
  <c r="AA18" i="38"/>
  <c r="Z18" i="38"/>
  <c r="Y18" i="38"/>
  <c r="X18" i="38"/>
  <c r="W18" i="38"/>
  <c r="V18" i="38"/>
  <c r="U18" i="38"/>
  <c r="T18" i="38"/>
  <c r="S18" i="38"/>
  <c r="R18" i="38"/>
  <c r="Q18" i="38"/>
  <c r="Z17" i="38"/>
  <c r="AA16" i="38"/>
  <c r="Z16" i="38"/>
  <c r="Y16" i="38"/>
  <c r="X16" i="38"/>
  <c r="W16" i="38"/>
  <c r="V16" i="38"/>
  <c r="U16" i="38"/>
  <c r="T16" i="38"/>
  <c r="S16" i="38"/>
  <c r="R16" i="38"/>
  <c r="Q16" i="38"/>
  <c r="Z15" i="38"/>
  <c r="Y15" i="38"/>
  <c r="X15" i="38"/>
  <c r="W15" i="38"/>
  <c r="V15" i="38"/>
  <c r="U15" i="38"/>
  <c r="T15" i="38"/>
  <c r="S15" i="38"/>
  <c r="R15" i="38"/>
  <c r="Q15" i="38"/>
  <c r="AA14" i="38"/>
  <c r="Z14" i="38"/>
  <c r="Y14" i="38"/>
  <c r="X14" i="38"/>
  <c r="W14" i="38"/>
  <c r="V14" i="38"/>
  <c r="U14" i="38"/>
  <c r="T14" i="38"/>
  <c r="S14" i="38"/>
  <c r="R14" i="38"/>
  <c r="Q14" i="38"/>
  <c r="AA13" i="38"/>
  <c r="Z13" i="38"/>
  <c r="Y13" i="38"/>
  <c r="X13" i="38"/>
  <c r="W13" i="38"/>
  <c r="V13" i="38"/>
  <c r="U13" i="38"/>
  <c r="T13" i="38"/>
  <c r="S13" i="38"/>
  <c r="R13" i="38"/>
  <c r="Q13" i="38"/>
  <c r="AA12" i="38"/>
  <c r="Z12" i="38"/>
  <c r="Y12" i="38"/>
  <c r="X12" i="38"/>
  <c r="W12" i="38"/>
  <c r="V12" i="38"/>
  <c r="U12" i="38"/>
  <c r="T12" i="38"/>
  <c r="S12" i="38"/>
  <c r="R12" i="38"/>
  <c r="Q12" i="38"/>
  <c r="AE10" i="38"/>
  <c r="AI10" i="38" s="1"/>
  <c r="AM10" i="38" s="1"/>
  <c r="AQ10" i="38" s="1"/>
  <c r="AU10" i="38" s="1"/>
  <c r="AD10" i="38"/>
  <c r="AH10" i="38" s="1"/>
  <c r="AL10" i="38" s="1"/>
  <c r="AP10" i="38" s="1"/>
  <c r="AT10" i="38" s="1"/>
  <c r="AC10" i="38"/>
  <c r="AG10" i="38" s="1"/>
  <c r="AK10" i="38" s="1"/>
  <c r="AO10" i="38" s="1"/>
  <c r="AS10" i="38" s="1"/>
  <c r="AF10" i="38"/>
  <c r="AD9" i="38"/>
  <c r="AH9" i="38" s="1"/>
  <c r="AC9" i="38"/>
  <c r="AC125" i="38" s="1"/>
  <c r="AE8" i="38"/>
  <c r="AI8" i="38" s="1"/>
  <c r="AM8" i="38" s="1"/>
  <c r="AQ8" i="38" s="1"/>
  <c r="AU8" i="38" s="1"/>
  <c r="AD8" i="38"/>
  <c r="AH8" i="38" s="1"/>
  <c r="AL8" i="38" s="1"/>
  <c r="AP8" i="38" s="1"/>
  <c r="AT8" i="38" s="1"/>
  <c r="AC8" i="38"/>
  <c r="AG8" i="38" s="1"/>
  <c r="AK8" i="38" s="1"/>
  <c r="AO8" i="38" s="1"/>
  <c r="AS8" i="38" s="1"/>
  <c r="AF8" i="38"/>
  <c r="AE6" i="38"/>
  <c r="AD6" i="38"/>
  <c r="AC6" i="38"/>
  <c r="F194" i="38" l="1"/>
  <c r="AA127" i="38"/>
  <c r="AE126" i="38"/>
  <c r="AI126" i="38" s="1"/>
  <c r="AM126" i="38" s="1"/>
  <c r="AQ126" i="38" s="1"/>
  <c r="AU126" i="38" s="1"/>
  <c r="AC126" i="38"/>
  <c r="AG126" i="38" s="1"/>
  <c r="AK126" i="38" s="1"/>
  <c r="AO126" i="38" s="1"/>
  <c r="AS126" i="38" s="1"/>
  <c r="AD126" i="38"/>
  <c r="AH126" i="38" s="1"/>
  <c r="AL126" i="38" s="1"/>
  <c r="AP126" i="38" s="1"/>
  <c r="AT126" i="38" s="1"/>
  <c r="AF68" i="38"/>
  <c r="AJ68" i="38" s="1"/>
  <c r="AB70" i="38"/>
  <c r="C194" i="38"/>
  <c r="E194" i="38"/>
  <c r="N183" i="38"/>
  <c r="C115" i="38"/>
  <c r="C118" i="38" s="1"/>
  <c r="D194" i="38"/>
  <c r="X14" i="44"/>
  <c r="C174" i="38"/>
  <c r="C172" i="38" s="1"/>
  <c r="O196" i="38"/>
  <c r="M58" i="32"/>
  <c r="M28" i="3"/>
  <c r="O55" i="32" s="1"/>
  <c r="N54" i="32"/>
  <c r="M27" i="3"/>
  <c r="O54" i="32" s="1"/>
  <c r="N46" i="32"/>
  <c r="M25" i="3"/>
  <c r="O46" i="32" s="1"/>
  <c r="Q13" i="44"/>
  <c r="P34" i="44"/>
  <c r="Y13" i="44"/>
  <c r="X34" i="44"/>
  <c r="U13" i="44"/>
  <c r="T34" i="44"/>
  <c r="I4" i="43"/>
  <c r="K11" i="43"/>
  <c r="V126" i="41"/>
  <c r="V129" i="41" s="1"/>
  <c r="V130" i="41" s="1"/>
  <c r="W105" i="41"/>
  <c r="AF9" i="38"/>
  <c r="AF101" i="38" s="1"/>
  <c r="G101" i="38" s="1"/>
  <c r="F9" i="38"/>
  <c r="F17" i="38" s="1"/>
  <c r="U34" i="38"/>
  <c r="U35" i="38" s="1"/>
  <c r="E82" i="38"/>
  <c r="E106" i="38" s="1"/>
  <c r="E178" i="38"/>
  <c r="E176" i="38" s="1"/>
  <c r="C181" i="38"/>
  <c r="E181" i="38"/>
  <c r="D34" i="38"/>
  <c r="C121" i="38"/>
  <c r="C113" i="38" s="1"/>
  <c r="E109" i="38"/>
  <c r="D213" i="38"/>
  <c r="F213" i="38"/>
  <c r="F215" i="38" s="1"/>
  <c r="C26" i="39"/>
  <c r="D28" i="39" s="1"/>
  <c r="C173" i="38"/>
  <c r="U63" i="38"/>
  <c r="U64" i="38" s="1"/>
  <c r="E62" i="38"/>
  <c r="E63" i="38" s="1"/>
  <c r="E64" i="38" s="1"/>
  <c r="U102" i="38"/>
  <c r="U86" i="38" s="1"/>
  <c r="U116" i="38"/>
  <c r="D115" i="38"/>
  <c r="F195" i="38"/>
  <c r="G30" i="39"/>
  <c r="H32" i="39" s="1"/>
  <c r="D177" i="38"/>
  <c r="Z86" i="38"/>
  <c r="AA92" i="38" s="1"/>
  <c r="D178" i="38"/>
  <c r="D176" i="38" s="1"/>
  <c r="D181" i="38"/>
  <c r="Y63" i="38"/>
  <c r="Y64" i="38" s="1"/>
  <c r="F62" i="38"/>
  <c r="F63" i="38" s="1"/>
  <c r="M25" i="38"/>
  <c r="C34" i="38"/>
  <c r="X118" i="38"/>
  <c r="E117" i="38"/>
  <c r="E118" i="38" s="1"/>
  <c r="D121" i="38"/>
  <c r="C213" i="38"/>
  <c r="E213" i="38"/>
  <c r="G26" i="39"/>
  <c r="H28" i="39" s="1"/>
  <c r="D173" i="38"/>
  <c r="D174" i="38"/>
  <c r="D172" i="38" s="1"/>
  <c r="K30" i="39"/>
  <c r="O31" i="39" s="1"/>
  <c r="E177" i="38"/>
  <c r="I36" i="44"/>
  <c r="M38" i="44"/>
  <c r="U6" i="44"/>
  <c r="T14" i="44"/>
  <c r="H36" i="44"/>
  <c r="L38" i="44"/>
  <c r="P211" i="38"/>
  <c r="C210" i="38"/>
  <c r="C211" i="38" s="1"/>
  <c r="T211" i="38"/>
  <c r="D210" i="38"/>
  <c r="D211" i="38" s="1"/>
  <c r="X211" i="38"/>
  <c r="E210" i="38"/>
  <c r="E211" i="38" s="1"/>
  <c r="AJ10" i="38"/>
  <c r="G10" i="38"/>
  <c r="G18" i="38" s="1"/>
  <c r="AJ8" i="38"/>
  <c r="G8" i="38"/>
  <c r="G16" i="38" s="1"/>
  <c r="Z70" i="38"/>
  <c r="F68" i="38"/>
  <c r="P196" i="38"/>
  <c r="P183" i="38"/>
  <c r="R195" i="38"/>
  <c r="R196" i="38"/>
  <c r="Z195" i="38"/>
  <c r="Z196" i="38"/>
  <c r="S195" i="38"/>
  <c r="S196" i="38"/>
  <c r="AA195" i="38"/>
  <c r="AA196" i="38"/>
  <c r="T195" i="38"/>
  <c r="T196" i="38"/>
  <c r="U196" i="38"/>
  <c r="U195" i="38"/>
  <c r="Q195" i="38"/>
  <c r="Q196" i="38"/>
  <c r="N196" i="38"/>
  <c r="V196" i="38"/>
  <c r="V195" i="38"/>
  <c r="Y195" i="38"/>
  <c r="Y196" i="38"/>
  <c r="W195" i="38"/>
  <c r="W196" i="38"/>
  <c r="X196" i="38"/>
  <c r="X195" i="38"/>
  <c r="Y182" i="38"/>
  <c r="Y183" i="38"/>
  <c r="X182" i="38"/>
  <c r="X183" i="38"/>
  <c r="R182" i="38"/>
  <c r="R183" i="38"/>
  <c r="Z182" i="38"/>
  <c r="Z183" i="38"/>
  <c r="S183" i="38"/>
  <c r="S182" i="38"/>
  <c r="AA183" i="38"/>
  <c r="AA182" i="38"/>
  <c r="T183" i="38"/>
  <c r="T182" i="38"/>
  <c r="Q182" i="38"/>
  <c r="Q183" i="38"/>
  <c r="U183" i="38"/>
  <c r="U182" i="38"/>
  <c r="V182" i="38"/>
  <c r="V183" i="38"/>
  <c r="O183" i="38"/>
  <c r="W182" i="38"/>
  <c r="W183" i="38"/>
  <c r="Y112" i="38"/>
  <c r="Y26" i="38"/>
  <c r="Y111" i="38"/>
  <c r="N25" i="38"/>
  <c r="N36" i="38"/>
  <c r="X26" i="38"/>
  <c r="X111" i="38"/>
  <c r="U36" i="38"/>
  <c r="U25" i="38"/>
  <c r="P25" i="38"/>
  <c r="P36" i="38"/>
  <c r="Z173" i="38"/>
  <c r="P26" i="39" s="1"/>
  <c r="Q28" i="39" s="1"/>
  <c r="Z111" i="38"/>
  <c r="Z26" i="38"/>
  <c r="V25" i="38"/>
  <c r="V35" i="38"/>
  <c r="V36" i="38"/>
  <c r="Q35" i="38"/>
  <c r="Q25" i="38"/>
  <c r="Q36" i="38"/>
  <c r="AA174" i="38"/>
  <c r="AA172" i="38" s="1"/>
  <c r="AA26" i="38"/>
  <c r="AA111" i="38"/>
  <c r="O25" i="38"/>
  <c r="O36" i="38"/>
  <c r="R35" i="38"/>
  <c r="R36" i="38"/>
  <c r="R25" i="38"/>
  <c r="X25" i="38"/>
  <c r="X35" i="38"/>
  <c r="S35" i="38"/>
  <c r="S36" i="38"/>
  <c r="S25" i="38"/>
  <c r="U26" i="38"/>
  <c r="U111" i="38"/>
  <c r="T35" i="38"/>
  <c r="T36" i="38"/>
  <c r="T25" i="38"/>
  <c r="V113" i="38"/>
  <c r="V26" i="38"/>
  <c r="V111" i="38"/>
  <c r="Z35" i="38"/>
  <c r="Z25" i="38"/>
  <c r="W26" i="38"/>
  <c r="W111" i="38"/>
  <c r="AA42" i="38"/>
  <c r="AA53" i="38" s="1"/>
  <c r="Z42" i="38"/>
  <c r="Z53" i="38" s="1"/>
  <c r="V56" i="38"/>
  <c r="V55" i="38"/>
  <c r="X56" i="38"/>
  <c r="X55" i="38"/>
  <c r="AF54" i="38"/>
  <c r="AJ54" i="38" s="1"/>
  <c r="AN54" i="38" s="1"/>
  <c r="AR54" i="38" s="1"/>
  <c r="AV54" i="38" s="1"/>
  <c r="Y56" i="38"/>
  <c r="Y57" i="38" s="1"/>
  <c r="Y55" i="38"/>
  <c r="AC54" i="38"/>
  <c r="AG54" i="38" s="1"/>
  <c r="AK54" i="38" s="1"/>
  <c r="AO54" i="38" s="1"/>
  <c r="AS54" i="38" s="1"/>
  <c r="Z55" i="38"/>
  <c r="AD54" i="38"/>
  <c r="AH54" i="38" s="1"/>
  <c r="AL54" i="38" s="1"/>
  <c r="AP54" i="38" s="1"/>
  <c r="AT54" i="38" s="1"/>
  <c r="AA56" i="38"/>
  <c r="AA57" i="38" s="1"/>
  <c r="AE54" i="38"/>
  <c r="AI54" i="38" s="1"/>
  <c r="AM54" i="38" s="1"/>
  <c r="AQ54" i="38" s="1"/>
  <c r="AU54" i="38" s="1"/>
  <c r="AA55" i="38"/>
  <c r="W56" i="38"/>
  <c r="W55" i="38"/>
  <c r="U56" i="38"/>
  <c r="U55" i="38"/>
  <c r="Y42" i="38"/>
  <c r="Y53" i="38" s="1"/>
  <c r="X42" i="38"/>
  <c r="Z130" i="38"/>
  <c r="G30" i="45"/>
  <c r="F12" i="43"/>
  <c r="AC117" i="38"/>
  <c r="AE117" i="38"/>
  <c r="H12" i="43"/>
  <c r="J11" i="43"/>
  <c r="Y214" i="38"/>
  <c r="Y215" i="38" s="1"/>
  <c r="AC5" i="38"/>
  <c r="V86" i="38"/>
  <c r="V92" i="38" s="1"/>
  <c r="W86" i="38"/>
  <c r="S214" i="38"/>
  <c r="S215" i="38" s="1"/>
  <c r="W84" i="38"/>
  <c r="X90" i="38" s="1"/>
  <c r="O118" i="38"/>
  <c r="Y84" i="38"/>
  <c r="Y96" i="38" s="1"/>
  <c r="R214" i="38"/>
  <c r="R215" i="38" s="1"/>
  <c r="Z214" i="38"/>
  <c r="Z215" i="38" s="1"/>
  <c r="L14" i="3"/>
  <c r="F23" i="45"/>
  <c r="Q214" i="38"/>
  <c r="Q215" i="38" s="1"/>
  <c r="G15" i="39"/>
  <c r="D33" i="44"/>
  <c r="N15" i="39"/>
  <c r="D39" i="40"/>
  <c r="U84" i="38"/>
  <c r="P214" i="38"/>
  <c r="G46" i="39"/>
  <c r="O46" i="39"/>
  <c r="N16" i="39"/>
  <c r="K38" i="44"/>
  <c r="U109" i="41"/>
  <c r="J46" i="39"/>
  <c r="Y123" i="38"/>
  <c r="Y128" i="38" s="1"/>
  <c r="K9" i="3"/>
  <c r="M33" i="32" s="1"/>
  <c r="P32" i="39"/>
  <c r="U105" i="41"/>
  <c r="U124" i="41" s="1"/>
  <c r="H51" i="39"/>
  <c r="P51" i="39"/>
  <c r="I55" i="39"/>
  <c r="Q55" i="39"/>
  <c r="T84" i="38"/>
  <c r="P118" i="38"/>
  <c r="C58" i="40"/>
  <c r="E58" i="40"/>
  <c r="U126" i="38"/>
  <c r="Y127" i="38" s="1"/>
  <c r="Q18" i="39"/>
  <c r="R118" i="38"/>
  <c r="V119" i="38" s="1"/>
  <c r="H108" i="41"/>
  <c r="K52" i="39"/>
  <c r="D46" i="39"/>
  <c r="L46" i="39"/>
  <c r="E60" i="39"/>
  <c r="M46" i="39"/>
  <c r="E62" i="45"/>
  <c r="E67" i="45" s="1"/>
  <c r="T116" i="38"/>
  <c r="J104" i="41"/>
  <c r="D54" i="40"/>
  <c r="G37" i="41"/>
  <c r="G8" i="41" s="1"/>
  <c r="AB84" i="38"/>
  <c r="S84" i="38"/>
  <c r="I64" i="41"/>
  <c r="J64" i="41" s="1"/>
  <c r="K64" i="41" s="1"/>
  <c r="AI20" i="44"/>
  <c r="AA215" i="38"/>
  <c r="U214" i="38"/>
  <c r="U215" i="38" s="1"/>
  <c r="M108" i="41"/>
  <c r="M214" i="38"/>
  <c r="M215" i="38" s="1"/>
  <c r="V214" i="38"/>
  <c r="V215" i="38" s="1"/>
  <c r="N214" i="38"/>
  <c r="N215" i="38" s="1"/>
  <c r="W214" i="38"/>
  <c r="W215" i="38" s="1"/>
  <c r="O214" i="38"/>
  <c r="O215" i="38" s="1"/>
  <c r="X214" i="38"/>
  <c r="F16" i="39"/>
  <c r="O15" i="39"/>
  <c r="P59" i="39"/>
  <c r="Q15" i="39"/>
  <c r="E46" i="39"/>
  <c r="H55" i="39"/>
  <c r="P55" i="39"/>
  <c r="I59" i="39"/>
  <c r="Q59" i="39"/>
  <c r="Y86" i="38"/>
  <c r="Y103" i="38"/>
  <c r="X64" i="38"/>
  <c r="M118" i="38"/>
  <c r="F30" i="45"/>
  <c r="D30" i="45"/>
  <c r="Z84" i="38"/>
  <c r="X4" i="44"/>
  <c r="G29" i="44"/>
  <c r="I38" i="44"/>
  <c r="I30" i="44"/>
  <c r="C30" i="44"/>
  <c r="F13" i="43"/>
  <c r="D37" i="41"/>
  <c r="D6" i="41" s="1"/>
  <c r="E37" i="41"/>
  <c r="E8" i="41" s="1"/>
  <c r="J108" i="41"/>
  <c r="R108" i="41"/>
  <c r="V37" i="41"/>
  <c r="V6" i="41" s="1"/>
  <c r="V49" i="41"/>
  <c r="L108" i="41"/>
  <c r="T108" i="41"/>
  <c r="C37" i="41"/>
  <c r="N108" i="41"/>
  <c r="E16" i="39"/>
  <c r="I11" i="39"/>
  <c r="J11" i="39"/>
  <c r="Y143" i="38"/>
  <c r="X143" i="38" s="1"/>
  <c r="W143" i="38" s="1"/>
  <c r="Z64" i="38"/>
  <c r="AI6" i="38"/>
  <c r="R122" i="38"/>
  <c r="N118" i="38"/>
  <c r="S122" i="38"/>
  <c r="V64" i="38"/>
  <c r="E30" i="45"/>
  <c r="J62" i="45"/>
  <c r="J69" i="45" s="1"/>
  <c r="M62" i="45"/>
  <c r="M64" i="45" s="1"/>
  <c r="X123" i="38"/>
  <c r="X128" i="38" s="1"/>
  <c r="X131" i="38" s="1"/>
  <c r="AB132" i="38" s="1"/>
  <c r="D23" i="45"/>
  <c r="Z123" i="38"/>
  <c r="Z128" i="38" s="1"/>
  <c r="E23" i="45"/>
  <c r="Q6" i="44"/>
  <c r="F30" i="44"/>
  <c r="F38" i="44"/>
  <c r="K30" i="44"/>
  <c r="T7" i="44"/>
  <c r="G31" i="44"/>
  <c r="G32" i="44" s="1"/>
  <c r="P20" i="44"/>
  <c r="P31" i="44" s="1"/>
  <c r="H32" i="44"/>
  <c r="I31" i="44"/>
  <c r="AH31" i="44" s="1"/>
  <c r="E36" i="44"/>
  <c r="B33" i="44"/>
  <c r="K29" i="44"/>
  <c r="Y3" i="44"/>
  <c r="Z3" i="44" s="1"/>
  <c r="Z10" i="44" s="1"/>
  <c r="C33" i="44"/>
  <c r="B30" i="44"/>
  <c r="D13" i="43"/>
  <c r="G4" i="43"/>
  <c r="H13" i="43"/>
  <c r="E4" i="43"/>
  <c r="F108" i="41"/>
  <c r="V108" i="41"/>
  <c r="D125" i="41"/>
  <c r="E125" i="41" s="1"/>
  <c r="F125" i="41" s="1"/>
  <c r="G125" i="41" s="1"/>
  <c r="H125" i="41" s="1"/>
  <c r="I125" i="41" s="1"/>
  <c r="J125" i="41" s="1"/>
  <c r="K125" i="41" s="1"/>
  <c r="L125" i="41" s="1"/>
  <c r="M125" i="41" s="1"/>
  <c r="N125" i="41" s="1"/>
  <c r="O125" i="41" s="1"/>
  <c r="P125" i="41" s="1"/>
  <c r="Q125" i="41" s="1"/>
  <c r="R125" i="41" s="1"/>
  <c r="S125" i="41" s="1"/>
  <c r="T125" i="41" s="1"/>
  <c r="F37" i="41"/>
  <c r="F6" i="41" s="1"/>
  <c r="P108" i="41"/>
  <c r="C126" i="41"/>
  <c r="T214" i="38"/>
  <c r="D127" i="41"/>
  <c r="E127" i="41" s="1"/>
  <c r="F127" i="41" s="1"/>
  <c r="G127" i="41" s="1"/>
  <c r="H127" i="41" s="1"/>
  <c r="I127" i="41" s="1"/>
  <c r="J127" i="41" s="1"/>
  <c r="K127" i="41" s="1"/>
  <c r="L127" i="41" s="1"/>
  <c r="M127" i="41" s="1"/>
  <c r="N127" i="41" s="1"/>
  <c r="O127" i="41" s="1"/>
  <c r="P127" i="41" s="1"/>
  <c r="Q127" i="41" s="1"/>
  <c r="R127" i="41" s="1"/>
  <c r="S127" i="41" s="1"/>
  <c r="T127" i="41" s="1"/>
  <c r="B37" i="41"/>
  <c r="B6" i="41" s="1"/>
  <c r="R104" i="41"/>
  <c r="D88" i="40"/>
  <c r="G16" i="39"/>
  <c r="H56" i="39"/>
  <c r="I12" i="39"/>
  <c r="O16" i="39"/>
  <c r="K51" i="39"/>
  <c r="P56" i="39"/>
  <c r="J59" i="39"/>
  <c r="L51" i="39"/>
  <c r="L55" i="39"/>
  <c r="M55" i="39"/>
  <c r="L59" i="39"/>
  <c r="J60" i="39"/>
  <c r="N55" i="39"/>
  <c r="M59" i="39"/>
  <c r="Q60" i="39"/>
  <c r="J12" i="39"/>
  <c r="J15" i="39"/>
  <c r="AC59" i="38"/>
  <c r="AD59" i="38"/>
  <c r="X141" i="38"/>
  <c r="X145" i="38" s="1"/>
  <c r="AB146" i="38" s="1"/>
  <c r="AC146" i="38" s="1"/>
  <c r="AD146" i="38" s="1"/>
  <c r="AE146" i="38" s="1"/>
  <c r="AF146" i="38" s="1"/>
  <c r="AG146" i="38" s="1"/>
  <c r="AH146" i="38" s="1"/>
  <c r="AI146" i="38" s="1"/>
  <c r="AJ146" i="38" s="1"/>
  <c r="AK146" i="38" s="1"/>
  <c r="AL146" i="38" s="1"/>
  <c r="AM146" i="38" s="1"/>
  <c r="AN146" i="38" s="1"/>
  <c r="AO146" i="38" s="1"/>
  <c r="AP146" i="38" s="1"/>
  <c r="AQ146" i="38" s="1"/>
  <c r="AR146" i="38" s="1"/>
  <c r="Y145" i="38"/>
  <c r="AB153" i="38"/>
  <c r="AC153" i="38" s="1"/>
  <c r="AA152" i="38"/>
  <c r="AA151" i="38" s="1"/>
  <c r="AG6" i="38"/>
  <c r="V116" i="38"/>
  <c r="W122" i="38"/>
  <c r="V110" i="38"/>
  <c r="Y113" i="38"/>
  <c r="U106" i="38"/>
  <c r="X116" i="38"/>
  <c r="Q118" i="38"/>
  <c r="X110" i="38"/>
  <c r="AA113" i="38"/>
  <c r="Z145" i="38"/>
  <c r="Z149" i="38" s="1"/>
  <c r="AD149" i="38" s="1"/>
  <c r="AH149" i="38" s="1"/>
  <c r="AL149" i="38" s="1"/>
  <c r="AP149" i="38" s="1"/>
  <c r="AT149" i="38" s="1"/>
  <c r="S154" i="38"/>
  <c r="R154" i="38" s="1"/>
  <c r="W64" i="38"/>
  <c r="U101" i="38"/>
  <c r="U125" i="38" s="1"/>
  <c r="V112" i="38"/>
  <c r="X112" i="38"/>
  <c r="AC123" i="38"/>
  <c r="Q116" i="38"/>
  <c r="Q122" i="38"/>
  <c r="AA112" i="38"/>
  <c r="S153" i="38"/>
  <c r="S152" i="38" s="1"/>
  <c r="AE68" i="38"/>
  <c r="AI68" i="38" s="1"/>
  <c r="AI66" i="38" s="1"/>
  <c r="U85" i="38"/>
  <c r="R116" i="38"/>
  <c r="AG9" i="38"/>
  <c r="AG125" i="38" s="1"/>
  <c r="W85" i="38"/>
  <c r="W97" i="38" s="1"/>
  <c r="V122" i="38"/>
  <c r="X113" i="38"/>
  <c r="X169" i="38"/>
  <c r="N22" i="39" s="1"/>
  <c r="X170" i="38"/>
  <c r="N6" i="39"/>
  <c r="Z169" i="38"/>
  <c r="P22" i="39" s="1"/>
  <c r="Q24" i="39" s="1"/>
  <c r="Z170" i="38"/>
  <c r="P6" i="39"/>
  <c r="Z85" i="38"/>
  <c r="Z83" i="38"/>
  <c r="Z106" i="38"/>
  <c r="AA119" i="38"/>
  <c r="AE118" i="38"/>
  <c r="AI118" i="38" s="1"/>
  <c r="AM118" i="38" s="1"/>
  <c r="AQ118" i="38" s="1"/>
  <c r="AU118" i="38" s="1"/>
  <c r="AC4" i="38"/>
  <c r="AD12" i="38"/>
  <c r="AD13" i="38" s="1"/>
  <c r="AD5" i="38" s="1"/>
  <c r="P169" i="38"/>
  <c r="F22" i="39" s="1"/>
  <c r="P21" i="38"/>
  <c r="P170" i="38"/>
  <c r="F6" i="39"/>
  <c r="X106" i="38"/>
  <c r="X85" i="38"/>
  <c r="AB117" i="38"/>
  <c r="F117" i="38" s="1"/>
  <c r="AF6" i="38"/>
  <c r="K6" i="39"/>
  <c r="U169" i="38"/>
  <c r="U170" i="38"/>
  <c r="AH125" i="38"/>
  <c r="AH101" i="38"/>
  <c r="AL9" i="38"/>
  <c r="AG68" i="38"/>
  <c r="AC66" i="38"/>
  <c r="AD117" i="38"/>
  <c r="AH6" i="38"/>
  <c r="L6" i="39"/>
  <c r="V169" i="38"/>
  <c r="L22" i="39" s="1"/>
  <c r="V170" i="38"/>
  <c r="Z56" i="38"/>
  <c r="Z57" i="38" s="1"/>
  <c r="X103" i="38"/>
  <c r="Y119" i="38"/>
  <c r="AC118" i="38"/>
  <c r="Y106" i="38"/>
  <c r="Y83" i="38"/>
  <c r="Q169" i="38"/>
  <c r="Q21" i="38"/>
  <c r="Q170" i="38"/>
  <c r="G6" i="39"/>
  <c r="Y34" i="38"/>
  <c r="AD68" i="38"/>
  <c r="V85" i="38"/>
  <c r="W116" i="38"/>
  <c r="S116" i="38"/>
  <c r="Z119" i="38"/>
  <c r="AD118" i="38"/>
  <c r="AH118" i="38" s="1"/>
  <c r="AL118" i="38" s="1"/>
  <c r="AP118" i="38" s="1"/>
  <c r="AT118" i="38" s="1"/>
  <c r="AB101" i="38"/>
  <c r="AB125" i="38"/>
  <c r="AB126" i="38" s="1"/>
  <c r="AF126" i="38" s="1"/>
  <c r="AJ126" i="38" s="1"/>
  <c r="AN126" i="38" s="1"/>
  <c r="AR126" i="38" s="1"/>
  <c r="AV126" i="38" s="1"/>
  <c r="AJ9" i="38"/>
  <c r="H9" i="38" s="1"/>
  <c r="AA83" i="38"/>
  <c r="S169" i="38"/>
  <c r="I22" i="39" s="1"/>
  <c r="S21" i="38"/>
  <c r="S170" i="38"/>
  <c r="I6" i="39"/>
  <c r="AA34" i="38"/>
  <c r="AA98" i="38"/>
  <c r="X96" i="38"/>
  <c r="X98" i="38"/>
  <c r="AC101" i="38"/>
  <c r="AD105" i="38"/>
  <c r="V106" i="38"/>
  <c r="V126" i="38"/>
  <c r="Z127" i="38" s="1"/>
  <c r="F130" i="38"/>
  <c r="AD176" i="38"/>
  <c r="AE176" i="38" s="1"/>
  <c r="AF176" i="38" s="1"/>
  <c r="AK176" i="38" s="1"/>
  <c r="AL176" i="38" s="1"/>
  <c r="AM176" i="38" s="1"/>
  <c r="AN176" i="38" s="1"/>
  <c r="AO176" i="38" s="1"/>
  <c r="AP176" i="38" s="1"/>
  <c r="AQ176" i="38" s="1"/>
  <c r="AR176" i="38" s="1"/>
  <c r="AS176" i="38" s="1"/>
  <c r="T170" i="38"/>
  <c r="J6" i="39"/>
  <c r="T169" i="38"/>
  <c r="J22" i="39" s="1"/>
  <c r="T21" i="38"/>
  <c r="V96" i="38"/>
  <c r="Q85" i="38"/>
  <c r="Y85" i="38"/>
  <c r="V154" i="38"/>
  <c r="AD101" i="38"/>
  <c r="AD125" i="38"/>
  <c r="C6" i="39"/>
  <c r="M169" i="38"/>
  <c r="M21" i="38"/>
  <c r="M170" i="38"/>
  <c r="R85" i="38"/>
  <c r="S118" i="38"/>
  <c r="D6" i="39"/>
  <c r="N169" i="38"/>
  <c r="N21" i="38"/>
  <c r="N170" i="38"/>
  <c r="S85" i="38"/>
  <c r="R169" i="38"/>
  <c r="H22" i="39" s="1"/>
  <c r="R21" i="38"/>
  <c r="R170" i="38"/>
  <c r="H6" i="39"/>
  <c r="E6" i="39"/>
  <c r="O169" i="38"/>
  <c r="E22" i="39" s="1"/>
  <c r="O21" i="38"/>
  <c r="O170" i="38"/>
  <c r="W34" i="38"/>
  <c r="X36" i="38" s="1"/>
  <c r="T85" i="38"/>
  <c r="W125" i="38"/>
  <c r="W123" i="38" s="1"/>
  <c r="W128" i="38" s="1"/>
  <c r="W131" i="38" s="1"/>
  <c r="W103" i="38"/>
  <c r="V103" i="38"/>
  <c r="T118" i="38"/>
  <c r="T122" i="38"/>
  <c r="U173" i="38"/>
  <c r="K10" i="39"/>
  <c r="U174" i="38"/>
  <c r="U21" i="38"/>
  <c r="Y110" i="38"/>
  <c r="U122" i="38"/>
  <c r="T126" i="38"/>
  <c r="X127" i="38" s="1"/>
  <c r="V173" i="38"/>
  <c r="L26" i="39" s="1"/>
  <c r="L10" i="39"/>
  <c r="V174" i="38"/>
  <c r="V21" i="38"/>
  <c r="V31" i="38" s="1"/>
  <c r="Z110" i="38"/>
  <c r="Z112" i="38"/>
  <c r="Z113" i="38"/>
  <c r="H27" i="39"/>
  <c r="I30" i="39"/>
  <c r="W173" i="38"/>
  <c r="M26" i="39" s="1"/>
  <c r="M10" i="39"/>
  <c r="W174" i="38"/>
  <c r="AA110" i="38"/>
  <c r="N10" i="39"/>
  <c r="X173" i="38"/>
  <c r="X174" i="38"/>
  <c r="X21" i="38"/>
  <c r="X31" i="38" s="1"/>
  <c r="O10" i="39"/>
  <c r="Y173" i="38"/>
  <c r="O26" i="39" s="1"/>
  <c r="Y174" i="38"/>
  <c r="U110" i="38"/>
  <c r="U112" i="38"/>
  <c r="U113" i="38"/>
  <c r="Z174" i="38"/>
  <c r="Z21" i="38"/>
  <c r="Z31" i="38" s="1"/>
  <c r="P10" i="39"/>
  <c r="V153" i="38"/>
  <c r="U152" i="38"/>
  <c r="Q10" i="39"/>
  <c r="W110" i="38"/>
  <c r="W112" i="38"/>
  <c r="W113" i="38"/>
  <c r="I51" i="39"/>
  <c r="I52" i="39"/>
  <c r="M51" i="39"/>
  <c r="I46" i="39"/>
  <c r="Q51" i="39"/>
  <c r="Q52" i="39"/>
  <c r="Q46" i="39"/>
  <c r="I27" i="39"/>
  <c r="I28" i="39"/>
  <c r="J28" i="39"/>
  <c r="C10" i="40"/>
  <c r="H15" i="39"/>
  <c r="H16" i="39"/>
  <c r="P15" i="39"/>
  <c r="P16" i="39"/>
  <c r="D12" i="39"/>
  <c r="I16" i="39"/>
  <c r="Q16" i="39"/>
  <c r="F26" i="39"/>
  <c r="J27" i="39" s="1"/>
  <c r="L31" i="39"/>
  <c r="E28" i="39"/>
  <c r="N31" i="39"/>
  <c r="E12" i="39"/>
  <c r="I15" i="39"/>
  <c r="J16" i="39"/>
  <c r="O32" i="39"/>
  <c r="G11" i="39"/>
  <c r="H12" i="39"/>
  <c r="L15" i="39"/>
  <c r="M16" i="39"/>
  <c r="M30" i="39"/>
  <c r="N32" i="39" s="1"/>
  <c r="P31" i="39"/>
  <c r="H11" i="39"/>
  <c r="M15" i="39"/>
  <c r="C14" i="40"/>
  <c r="E14" i="40"/>
  <c r="D10" i="40"/>
  <c r="F12" i="39"/>
  <c r="K16" i="39"/>
  <c r="G12" i="39"/>
  <c r="D14" i="40"/>
  <c r="K15" i="39"/>
  <c r="D16" i="39"/>
  <c r="L16" i="39"/>
  <c r="C54" i="40"/>
  <c r="C46" i="39"/>
  <c r="G55" i="39"/>
  <c r="E54" i="40"/>
  <c r="K55" i="39"/>
  <c r="K56" i="39"/>
  <c r="K46" i="39"/>
  <c r="O55" i="39"/>
  <c r="Q32" i="39"/>
  <c r="H60" i="39"/>
  <c r="H46" i="39"/>
  <c r="H59" i="39"/>
  <c r="P60" i="39"/>
  <c r="P46" i="39"/>
  <c r="F46" i="39"/>
  <c r="F52" i="39"/>
  <c r="N46" i="39"/>
  <c r="N51" i="39"/>
  <c r="N52" i="39"/>
  <c r="J51" i="39"/>
  <c r="D50" i="40"/>
  <c r="D52" i="39"/>
  <c r="L52" i="39"/>
  <c r="I56" i="39"/>
  <c r="Q56" i="39"/>
  <c r="G60" i="39"/>
  <c r="E52" i="39"/>
  <c r="M52" i="39"/>
  <c r="J56" i="39"/>
  <c r="I60" i="39"/>
  <c r="J55" i="39"/>
  <c r="G49" i="41"/>
  <c r="G104" i="41"/>
  <c r="J49" i="41"/>
  <c r="H49" i="41"/>
  <c r="O49" i="41"/>
  <c r="O104" i="41"/>
  <c r="R49" i="41"/>
  <c r="P49" i="41"/>
  <c r="G52" i="39"/>
  <c r="O52" i="39"/>
  <c r="D56" i="39"/>
  <c r="L56" i="39"/>
  <c r="K60" i="39"/>
  <c r="C50" i="40"/>
  <c r="E50" i="40"/>
  <c r="G51" i="39"/>
  <c r="O51" i="39"/>
  <c r="H52" i="39"/>
  <c r="P52" i="39"/>
  <c r="E56" i="39"/>
  <c r="M56" i="39"/>
  <c r="K59" i="39"/>
  <c r="L60" i="39"/>
  <c r="F56" i="39"/>
  <c r="N56" i="39"/>
  <c r="F60" i="39"/>
  <c r="N60" i="39"/>
  <c r="M60" i="39"/>
  <c r="J52" i="39"/>
  <c r="G56" i="39"/>
  <c r="O56" i="39"/>
  <c r="D58" i="40"/>
  <c r="G59" i="39"/>
  <c r="O59" i="39"/>
  <c r="N59" i="39"/>
  <c r="D60" i="39"/>
  <c r="O60" i="39"/>
  <c r="E39" i="40"/>
  <c r="D43" i="40"/>
  <c r="C89" i="40"/>
  <c r="C88" i="40"/>
  <c r="I49" i="41"/>
  <c r="Q49" i="41"/>
  <c r="D108" i="41"/>
  <c r="D60" i="41"/>
  <c r="E43" i="40"/>
  <c r="E108" i="41"/>
  <c r="E89" i="40"/>
  <c r="E88" i="40"/>
  <c r="K104" i="41"/>
  <c r="L49" i="41"/>
  <c r="K49" i="41"/>
  <c r="S104" i="41"/>
  <c r="T49" i="41"/>
  <c r="S49" i="41"/>
  <c r="E67" i="40"/>
  <c r="M104" i="41"/>
  <c r="M49" i="41"/>
  <c r="U104" i="41"/>
  <c r="V104" i="41"/>
  <c r="U49" i="41"/>
  <c r="N49" i="41"/>
  <c r="I108" i="41"/>
  <c r="Q108" i="41"/>
  <c r="N104" i="41"/>
  <c r="D71" i="40"/>
  <c r="H104" i="41"/>
  <c r="P104" i="41"/>
  <c r="T109" i="41"/>
  <c r="D117" i="41"/>
  <c r="E117" i="41" s="1"/>
  <c r="F117" i="41" s="1"/>
  <c r="G117" i="41" s="1"/>
  <c r="H117" i="41" s="1"/>
  <c r="I117" i="41" s="1"/>
  <c r="J117" i="41" s="1"/>
  <c r="K117" i="41" s="1"/>
  <c r="L117" i="41" s="1"/>
  <c r="M117" i="41" s="1"/>
  <c r="N117" i="41" s="1"/>
  <c r="O117" i="41" s="1"/>
  <c r="P117" i="41" s="1"/>
  <c r="Q117" i="41" s="1"/>
  <c r="R117" i="41" s="1"/>
  <c r="S117" i="41" s="1"/>
  <c r="T117" i="41" s="1"/>
  <c r="U117" i="41" s="1"/>
  <c r="V117" i="41" s="1"/>
  <c r="V118" i="41"/>
  <c r="E31" i="44"/>
  <c r="E33" i="44" s="1"/>
  <c r="E30" i="44"/>
  <c r="D67" i="40"/>
  <c r="E71" i="40"/>
  <c r="Q104" i="41"/>
  <c r="P28" i="44"/>
  <c r="Q9" i="44"/>
  <c r="F32" i="44"/>
  <c r="J32" i="44"/>
  <c r="G62" i="45"/>
  <c r="O62" i="45"/>
  <c r="O66" i="45" s="1"/>
  <c r="K108" i="41"/>
  <c r="S108" i="41"/>
  <c r="E11" i="43"/>
  <c r="X7" i="44"/>
  <c r="Y6" i="44"/>
  <c r="Y14" i="44" s="1"/>
  <c r="T11" i="44"/>
  <c r="F33" i="44"/>
  <c r="U108" i="41"/>
  <c r="T15" i="44"/>
  <c r="H33" i="44"/>
  <c r="I62" i="45"/>
  <c r="I63" i="45" s="1"/>
  <c r="L104" i="41"/>
  <c r="T104" i="41"/>
  <c r="I104" i="41"/>
  <c r="G11" i="43"/>
  <c r="J28" i="44"/>
  <c r="AH28" i="44" s="1"/>
  <c r="J11" i="44"/>
  <c r="Y11" i="44"/>
  <c r="Y28" i="44"/>
  <c r="L4" i="44"/>
  <c r="M3" i="44"/>
  <c r="AA28" i="44"/>
  <c r="Z28" i="44"/>
  <c r="C62" i="45"/>
  <c r="C64" i="45" s="1"/>
  <c r="K62" i="45"/>
  <c r="K64" i="45" s="1"/>
  <c r="G108" i="41"/>
  <c r="O108" i="41"/>
  <c r="V105" i="41"/>
  <c r="V124" i="41" s="1"/>
  <c r="G36" i="44"/>
  <c r="G30" i="44"/>
  <c r="G38" i="44"/>
  <c r="C23" i="45"/>
  <c r="T10" i="44"/>
  <c r="Q20" i="44"/>
  <c r="F29" i="44"/>
  <c r="D30" i="44"/>
  <c r="F62" i="45"/>
  <c r="F69" i="45" s="1"/>
  <c r="N62" i="45"/>
  <c r="N69" i="45" s="1"/>
  <c r="O7" i="44"/>
  <c r="U10" i="44"/>
  <c r="O11" i="44"/>
  <c r="R20" i="44"/>
  <c r="X28" i="44"/>
  <c r="K36" i="44"/>
  <c r="H38" i="44"/>
  <c r="X11" i="44"/>
  <c r="S20" i="44"/>
  <c r="H29" i="44"/>
  <c r="H62" i="45"/>
  <c r="H69" i="45" s="1"/>
  <c r="P62" i="45"/>
  <c r="P69" i="45" s="1"/>
  <c r="I29" i="44"/>
  <c r="L9" i="44"/>
  <c r="L31" i="44" s="1"/>
  <c r="V9" i="44"/>
  <c r="X10" i="44"/>
  <c r="H30" i="44"/>
  <c r="K33" i="44"/>
  <c r="K11" i="44"/>
  <c r="T28" i="44"/>
  <c r="L6" i="44"/>
  <c r="D62" i="45"/>
  <c r="D69" i="45" s="1"/>
  <c r="L62" i="45"/>
  <c r="L69" i="45" s="1"/>
  <c r="E23" i="30"/>
  <c r="F23" i="30"/>
  <c r="D23" i="30"/>
  <c r="Z98" i="38" l="1"/>
  <c r="Z92" i="38"/>
  <c r="E195" i="38"/>
  <c r="D195" i="38"/>
  <c r="AF66" i="38"/>
  <c r="AB127" i="38"/>
  <c r="Y131" i="38"/>
  <c r="AC131" i="38" s="1"/>
  <c r="AG131" i="38" s="1"/>
  <c r="AK131" i="38" s="1"/>
  <c r="AO131" i="38" s="1"/>
  <c r="AS131" i="38" s="1"/>
  <c r="Z131" i="38"/>
  <c r="AD131" i="38" s="1"/>
  <c r="AH131" i="38" s="1"/>
  <c r="AL131" i="38" s="1"/>
  <c r="AP131" i="38" s="1"/>
  <c r="AT131" i="38" s="1"/>
  <c r="Z134" i="38"/>
  <c r="AC124" i="38"/>
  <c r="Z87" i="38"/>
  <c r="Z99" i="38" s="1"/>
  <c r="Y133" i="38"/>
  <c r="X87" i="38"/>
  <c r="X99" i="38" s="1"/>
  <c r="AB124" i="38"/>
  <c r="D26" i="40"/>
  <c r="G27" i="39"/>
  <c r="C112" i="38"/>
  <c r="D182" i="38"/>
  <c r="K32" i="39"/>
  <c r="E174" i="38"/>
  <c r="E172" i="38" s="1"/>
  <c r="U14" i="44"/>
  <c r="L32" i="39"/>
  <c r="K31" i="39"/>
  <c r="E26" i="38"/>
  <c r="D170" i="38"/>
  <c r="D168" i="38" s="1"/>
  <c r="N58" i="32"/>
  <c r="M14" i="3"/>
  <c r="O58" i="32" s="1"/>
  <c r="U34" i="44"/>
  <c r="V13" i="44"/>
  <c r="V34" i="44" s="1"/>
  <c r="Z13" i="44"/>
  <c r="Z34" i="44" s="1"/>
  <c r="Y34" i="44"/>
  <c r="V6" i="44"/>
  <c r="R13" i="44"/>
  <c r="R34" i="44" s="1"/>
  <c r="Q34" i="44"/>
  <c r="M11" i="43"/>
  <c r="K4" i="43"/>
  <c r="H16" i="43" s="1"/>
  <c r="L16" i="43" s="1"/>
  <c r="P16" i="43" s="1"/>
  <c r="T16" i="43" s="1"/>
  <c r="X16" i="43" s="1"/>
  <c r="AV85" i="38" s="1"/>
  <c r="C170" i="38"/>
  <c r="C168" i="38" s="1"/>
  <c r="F125" i="38"/>
  <c r="E122" i="38"/>
  <c r="D113" i="38"/>
  <c r="D122" i="38"/>
  <c r="D118" i="38"/>
  <c r="D119" i="38" s="1"/>
  <c r="D112" i="38"/>
  <c r="D116" i="38"/>
  <c r="E116" i="38"/>
  <c r="E182" i="38"/>
  <c r="M29" i="38"/>
  <c r="C21" i="38"/>
  <c r="AB103" i="38"/>
  <c r="AC103" i="38" s="1"/>
  <c r="F101" i="38"/>
  <c r="F103" i="38" s="1"/>
  <c r="U97" i="38"/>
  <c r="E85" i="38"/>
  <c r="D85" i="38"/>
  <c r="C22" i="39"/>
  <c r="C169" i="38"/>
  <c r="F145" i="38"/>
  <c r="E113" i="38"/>
  <c r="E112" i="38"/>
  <c r="E110" i="38"/>
  <c r="E86" i="38"/>
  <c r="U31" i="38"/>
  <c r="D21" i="38"/>
  <c r="C25" i="38"/>
  <c r="D35" i="38"/>
  <c r="E34" i="38"/>
  <c r="E35" i="38" s="1"/>
  <c r="K22" i="39"/>
  <c r="L24" i="39" s="1"/>
  <c r="G22" i="39"/>
  <c r="G24" i="39" s="1"/>
  <c r="D169" i="38"/>
  <c r="AT176" i="38"/>
  <c r="U98" i="38"/>
  <c r="D25" i="38"/>
  <c r="K26" i="39"/>
  <c r="O27" i="39" s="1"/>
  <c r="E173" i="38"/>
  <c r="AF125" i="38"/>
  <c r="G9" i="38"/>
  <c r="G17" i="38" s="1"/>
  <c r="R6" i="44"/>
  <c r="Q14" i="44"/>
  <c r="U96" i="38"/>
  <c r="E84" i="38"/>
  <c r="E96" i="38" s="1"/>
  <c r="X53" i="38"/>
  <c r="E42" i="38"/>
  <c r="E53" i="38" s="1"/>
  <c r="Y134" i="38"/>
  <c r="T215" i="38"/>
  <c r="D214" i="38"/>
  <c r="D215" i="38" s="1"/>
  <c r="X215" i="38"/>
  <c r="E214" i="38"/>
  <c r="E215" i="38" s="1"/>
  <c r="P215" i="38"/>
  <c r="C214" i="38"/>
  <c r="C215" i="38" s="1"/>
  <c r="AN10" i="38"/>
  <c r="H10" i="38"/>
  <c r="H18" i="38" s="1"/>
  <c r="AN8" i="38"/>
  <c r="H8" i="38"/>
  <c r="H16" i="38" s="1"/>
  <c r="G6" i="38"/>
  <c r="G14" i="38" s="1"/>
  <c r="X57" i="38"/>
  <c r="E56" i="38"/>
  <c r="AB67" i="38"/>
  <c r="F66" i="38"/>
  <c r="F67" i="38" s="1"/>
  <c r="G68" i="38"/>
  <c r="G69" i="38" s="1"/>
  <c r="F69" i="38"/>
  <c r="AL28" i="44"/>
  <c r="P27" i="39"/>
  <c r="O23" i="38"/>
  <c r="O30" i="38"/>
  <c r="O31" i="38"/>
  <c r="M31" i="38"/>
  <c r="M30" i="38"/>
  <c r="T29" i="38"/>
  <c r="V29" i="38"/>
  <c r="T30" i="38"/>
  <c r="T31" i="38"/>
  <c r="AA21" i="38"/>
  <c r="AA31" i="38" s="1"/>
  <c r="AA35" i="38"/>
  <c r="AA36" i="38"/>
  <c r="AA25" i="38"/>
  <c r="Y21" i="38"/>
  <c r="Y31" i="38" s="1"/>
  <c r="Y35" i="38"/>
  <c r="Y25" i="38"/>
  <c r="Y36" i="38"/>
  <c r="Z29" i="38"/>
  <c r="X29" i="38"/>
  <c r="X30" i="38"/>
  <c r="Z30" i="38"/>
  <c r="Z36" i="38"/>
  <c r="R29" i="38"/>
  <c r="N30" i="38"/>
  <c r="N31" i="38"/>
  <c r="U30" i="38"/>
  <c r="Q29" i="38"/>
  <c r="N29" i="38"/>
  <c r="R31" i="38"/>
  <c r="R30" i="38"/>
  <c r="S31" i="38"/>
  <c r="S30" i="38"/>
  <c r="Q31" i="38"/>
  <c r="Q30" i="38"/>
  <c r="S29" i="38"/>
  <c r="P29" i="38"/>
  <c r="W21" i="38"/>
  <c r="W31" i="38" s="1"/>
  <c r="W25" i="38"/>
  <c r="E25" i="38" s="1"/>
  <c r="W36" i="38"/>
  <c r="W35" i="38"/>
  <c r="P30" i="38"/>
  <c r="P31" i="38"/>
  <c r="V30" i="38"/>
  <c r="U29" i="38"/>
  <c r="O29" i="38"/>
  <c r="Z22" i="38"/>
  <c r="V23" i="38"/>
  <c r="V22" i="38"/>
  <c r="N23" i="38"/>
  <c r="U22" i="38"/>
  <c r="U23" i="38"/>
  <c r="T22" i="38"/>
  <c r="T23" i="38"/>
  <c r="X22" i="38"/>
  <c r="R23" i="38"/>
  <c r="R22" i="38"/>
  <c r="S23" i="38"/>
  <c r="S22" i="38"/>
  <c r="Q23" i="38"/>
  <c r="Q22" i="38"/>
  <c r="P23" i="38"/>
  <c r="AC115" i="38"/>
  <c r="AC116" i="38" s="1"/>
  <c r="AI117" i="38"/>
  <c r="AI115" i="38" s="1"/>
  <c r="AG117" i="38"/>
  <c r="J4" i="43"/>
  <c r="L11" i="43"/>
  <c r="I12" i="43"/>
  <c r="G12" i="43"/>
  <c r="W87" i="38"/>
  <c r="W98" i="38"/>
  <c r="X92" i="38"/>
  <c r="V98" i="38"/>
  <c r="V90" i="38"/>
  <c r="W90" i="38"/>
  <c r="T90" i="38"/>
  <c r="W92" i="38"/>
  <c r="W96" i="38"/>
  <c r="G48" i="39"/>
  <c r="G47" i="39"/>
  <c r="Y90" i="38"/>
  <c r="T20" i="44"/>
  <c r="T31" i="44" s="1"/>
  <c r="Z90" i="38"/>
  <c r="AK6" i="38"/>
  <c r="AF67" i="38"/>
  <c r="AM6" i="38"/>
  <c r="U90" i="38"/>
  <c r="G33" i="44"/>
  <c r="AB152" i="38"/>
  <c r="AB154" i="38" s="1"/>
  <c r="AC154" i="38" s="1"/>
  <c r="D55" i="40"/>
  <c r="J48" i="39"/>
  <c r="E48" i="39"/>
  <c r="Q119" i="38"/>
  <c r="Y98" i="38"/>
  <c r="Y87" i="38"/>
  <c r="O48" i="39"/>
  <c r="U119" i="38"/>
  <c r="U125" i="41"/>
  <c r="V125" i="41" s="1"/>
  <c r="O47" i="39"/>
  <c r="I33" i="44"/>
  <c r="T119" i="38"/>
  <c r="Y92" i="38"/>
  <c r="G13" i="43"/>
  <c r="AE115" i="38"/>
  <c r="AE116" i="38" s="1"/>
  <c r="M66" i="45"/>
  <c r="U103" i="38"/>
  <c r="U127" i="41"/>
  <c r="V127" i="41" s="1"/>
  <c r="M48" i="39"/>
  <c r="L9" i="3"/>
  <c r="G7" i="41"/>
  <c r="K32" i="44"/>
  <c r="W141" i="38"/>
  <c r="W145" i="38" s="1"/>
  <c r="G6" i="41"/>
  <c r="U123" i="38"/>
  <c r="O177" i="38"/>
  <c r="O176" i="38" s="1"/>
  <c r="O178" i="38" s="1"/>
  <c r="Q162" i="38"/>
  <c r="E6" i="41"/>
  <c r="Z96" i="38"/>
  <c r="R119" i="38"/>
  <c r="AE59" i="38"/>
  <c r="E7" i="41"/>
  <c r="Z162" i="38"/>
  <c r="M69" i="45"/>
  <c r="X134" i="38"/>
  <c r="M63" i="45"/>
  <c r="M65" i="45"/>
  <c r="M67" i="45"/>
  <c r="R153" i="38"/>
  <c r="R152" i="38" s="1"/>
  <c r="R151" i="38" s="1"/>
  <c r="E13" i="43"/>
  <c r="E65" i="45"/>
  <c r="E66" i="45"/>
  <c r="E64" i="45"/>
  <c r="E69" i="45"/>
  <c r="E63" i="45"/>
  <c r="U162" i="38"/>
  <c r="D8" i="41"/>
  <c r="O65" i="45"/>
  <c r="J67" i="45"/>
  <c r="J66" i="45"/>
  <c r="Y10" i="44"/>
  <c r="Z4" i="44"/>
  <c r="Y4" i="44"/>
  <c r="D7" i="41"/>
  <c r="X147" i="38"/>
  <c r="R162" i="38"/>
  <c r="P65" i="45"/>
  <c r="N66" i="45"/>
  <c r="D67" i="45"/>
  <c r="I66" i="45"/>
  <c r="Z133" i="38"/>
  <c r="V8" i="41"/>
  <c r="F7" i="41"/>
  <c r="B7" i="41"/>
  <c r="B8" i="41"/>
  <c r="V7" i="41"/>
  <c r="AM68" i="38"/>
  <c r="AM66" i="38" s="1"/>
  <c r="T162" i="38"/>
  <c r="M177" i="38"/>
  <c r="V162" i="38"/>
  <c r="S151" i="38"/>
  <c r="AE66" i="38"/>
  <c r="Y147" i="38"/>
  <c r="X133" i="38"/>
  <c r="H65" i="45"/>
  <c r="N65" i="45"/>
  <c r="F66" i="45"/>
  <c r="F64" i="45"/>
  <c r="F65" i="45"/>
  <c r="D65" i="45"/>
  <c r="F67" i="45"/>
  <c r="L64" i="45"/>
  <c r="L66" i="45"/>
  <c r="J64" i="45"/>
  <c r="J63" i="45"/>
  <c r="D64" i="45"/>
  <c r="P64" i="45"/>
  <c r="J65" i="45"/>
  <c r="N63" i="45"/>
  <c r="U7" i="44"/>
  <c r="F8" i="41"/>
  <c r="J47" i="39"/>
  <c r="G28" i="39"/>
  <c r="S162" i="38"/>
  <c r="AK9" i="38"/>
  <c r="AK125" i="38" s="1"/>
  <c r="AG101" i="38"/>
  <c r="P177" i="38"/>
  <c r="P176" i="38" s="1"/>
  <c r="P178" i="38" s="1"/>
  <c r="T91" i="38"/>
  <c r="R91" i="38"/>
  <c r="L7" i="44"/>
  <c r="P7" i="44"/>
  <c r="M6" i="44"/>
  <c r="V10" i="44"/>
  <c r="W28" i="44"/>
  <c r="V28" i="44"/>
  <c r="V20" i="44"/>
  <c r="Z11" i="44"/>
  <c r="Y7" i="44"/>
  <c r="Z6" i="44"/>
  <c r="G69" i="45"/>
  <c r="G64" i="45"/>
  <c r="G63" i="45"/>
  <c r="G67" i="45"/>
  <c r="T123" i="38"/>
  <c r="X124" i="38" s="1"/>
  <c r="AD153" i="38"/>
  <c r="AC152" i="38"/>
  <c r="AA170" i="38"/>
  <c r="AA168" i="38" s="1"/>
  <c r="Q6" i="39"/>
  <c r="V97" i="38"/>
  <c r="V91" i="38"/>
  <c r="F24" i="39"/>
  <c r="L11" i="44"/>
  <c r="L28" i="44"/>
  <c r="M9" i="44"/>
  <c r="L10" i="44"/>
  <c r="G65" i="45"/>
  <c r="J29" i="44"/>
  <c r="J37" i="44"/>
  <c r="N38" i="44" s="1"/>
  <c r="J26" i="44"/>
  <c r="G66" i="45"/>
  <c r="L65" i="45"/>
  <c r="D66" i="45"/>
  <c r="F48" i="39"/>
  <c r="K47" i="39"/>
  <c r="K48" i="39"/>
  <c r="L48" i="39"/>
  <c r="I47" i="39"/>
  <c r="M47" i="39"/>
  <c r="I48" i="39"/>
  <c r="W153" i="38"/>
  <c r="V152" i="38"/>
  <c r="V151" i="38" s="1"/>
  <c r="O12" i="39"/>
  <c r="O11" i="39"/>
  <c r="X119" i="38"/>
  <c r="M6" i="39"/>
  <c r="E6" i="40" s="1"/>
  <c r="W169" i="38"/>
  <c r="E169" i="38" s="1"/>
  <c r="W170" i="38"/>
  <c r="E170" i="38" s="1"/>
  <c r="H3" i="39"/>
  <c r="H49" i="39" s="1"/>
  <c r="H7" i="39"/>
  <c r="H8" i="39"/>
  <c r="S91" i="38"/>
  <c r="C6" i="40"/>
  <c r="C3" i="39"/>
  <c r="I8" i="39"/>
  <c r="I7" i="39"/>
  <c r="I3" i="39"/>
  <c r="I49" i="39" s="1"/>
  <c r="AH68" i="38"/>
  <c r="H68" i="38" s="1"/>
  <c r="AD66" i="38"/>
  <c r="X104" i="38"/>
  <c r="L18" i="39"/>
  <c r="L23" i="39"/>
  <c r="AL101" i="38"/>
  <c r="AL125" i="38"/>
  <c r="AL123" i="38" s="1"/>
  <c r="AP9" i="38"/>
  <c r="AT9" i="38" s="1"/>
  <c r="I32" i="39"/>
  <c r="L8" i="39"/>
  <c r="L3" i="39"/>
  <c r="L25" i="39" s="1"/>
  <c r="L7" i="39"/>
  <c r="Q31" i="44"/>
  <c r="U20" i="44"/>
  <c r="N64" i="45"/>
  <c r="K67" i="45"/>
  <c r="M4" i="44"/>
  <c r="N3" i="44"/>
  <c r="P63" i="45"/>
  <c r="Q28" i="44"/>
  <c r="R9" i="44"/>
  <c r="V11" i="44" s="1"/>
  <c r="U11" i="44"/>
  <c r="H64" i="45"/>
  <c r="V119" i="41"/>
  <c r="X118" i="41"/>
  <c r="D59" i="40"/>
  <c r="E51" i="40"/>
  <c r="E46" i="40"/>
  <c r="H48" i="39"/>
  <c r="H47" i="39"/>
  <c r="L47" i="39"/>
  <c r="M31" i="39"/>
  <c r="Q31" i="39"/>
  <c r="M32" i="39"/>
  <c r="Q154" i="38"/>
  <c r="AA189" i="38"/>
  <c r="P11" i="39"/>
  <c r="P12" i="39"/>
  <c r="V191" i="38"/>
  <c r="V190" i="38"/>
  <c r="V189" i="38"/>
  <c r="U190" i="38"/>
  <c r="U191" i="38"/>
  <c r="U189" i="38"/>
  <c r="O191" i="38"/>
  <c r="O190" i="38"/>
  <c r="O189" i="38"/>
  <c r="O165" i="38"/>
  <c r="R191" i="38"/>
  <c r="R190" i="38"/>
  <c r="R189" i="38"/>
  <c r="S119" i="38"/>
  <c r="W119" i="38"/>
  <c r="AD123" i="38"/>
  <c r="J24" i="39"/>
  <c r="J23" i="39"/>
  <c r="J18" i="39"/>
  <c r="S191" i="38"/>
  <c r="S190" i="38"/>
  <c r="S189" i="38"/>
  <c r="Y169" i="38"/>
  <c r="O22" i="39" s="1"/>
  <c r="Y170" i="38"/>
  <c r="O6" i="39"/>
  <c r="AH117" i="38"/>
  <c r="AH115" i="38" s="1"/>
  <c r="AL6" i="38"/>
  <c r="AG66" i="38"/>
  <c r="AK68" i="38"/>
  <c r="AH123" i="38"/>
  <c r="AF117" i="38"/>
  <c r="AJ6" i="38"/>
  <c r="D16" i="43"/>
  <c r="D15" i="40"/>
  <c r="T191" i="38"/>
  <c r="T190" i="38"/>
  <c r="T189" i="38"/>
  <c r="AD4" i="38"/>
  <c r="AE12" i="38"/>
  <c r="AE13" i="38" s="1"/>
  <c r="AE5" i="38" s="1"/>
  <c r="I32" i="44"/>
  <c r="K63" i="45"/>
  <c r="H63" i="45"/>
  <c r="C46" i="40"/>
  <c r="E59" i="40"/>
  <c r="J32" i="39"/>
  <c r="Q11" i="39"/>
  <c r="Q12" i="39"/>
  <c r="Z191" i="38"/>
  <c r="Z190" i="38"/>
  <c r="Z189" i="38"/>
  <c r="N26" i="39"/>
  <c r="O28" i="39" s="1"/>
  <c r="X162" i="38"/>
  <c r="H18" i="39"/>
  <c r="V123" i="38"/>
  <c r="N165" i="38"/>
  <c r="N191" i="38"/>
  <c r="N190" i="38"/>
  <c r="N189" i="38"/>
  <c r="J8" i="39"/>
  <c r="J3" i="39"/>
  <c r="J7" i="39"/>
  <c r="I23" i="39"/>
  <c r="I24" i="39"/>
  <c r="I18" i="39"/>
  <c r="W91" i="38"/>
  <c r="D6" i="40"/>
  <c r="G8" i="39"/>
  <c r="G3" i="39"/>
  <c r="G7" i="39"/>
  <c r="AD115" i="38"/>
  <c r="F115" i="38"/>
  <c r="P23" i="39"/>
  <c r="P18" i="39"/>
  <c r="AN68" i="38"/>
  <c r="AJ66" i="38"/>
  <c r="W20" i="44"/>
  <c r="S31" i="44"/>
  <c r="X15" i="44"/>
  <c r="P3" i="39"/>
  <c r="P9" i="39" s="1"/>
  <c r="P7" i="39"/>
  <c r="I67" i="45"/>
  <c r="L63" i="45"/>
  <c r="C67" i="45"/>
  <c r="C63" i="45"/>
  <c r="P66" i="45"/>
  <c r="P67" i="45"/>
  <c r="P11" i="44"/>
  <c r="F63" i="45"/>
  <c r="AJ20" i="44"/>
  <c r="D51" i="40"/>
  <c r="D46" i="40"/>
  <c r="E55" i="40"/>
  <c r="D11" i="40"/>
  <c r="D30" i="40"/>
  <c r="F28" i="39"/>
  <c r="C26" i="40"/>
  <c r="Q47" i="39"/>
  <c r="Q48" i="39"/>
  <c r="N11" i="39"/>
  <c r="N12" i="39"/>
  <c r="L12" i="39"/>
  <c r="L11" i="39"/>
  <c r="E10" i="40"/>
  <c r="K11" i="39"/>
  <c r="K12" i="39"/>
  <c r="E8" i="39"/>
  <c r="E3" i="39"/>
  <c r="E9" i="39" s="1"/>
  <c r="W147" i="38"/>
  <c r="V143" i="38"/>
  <c r="N177" i="38"/>
  <c r="D22" i="39"/>
  <c r="X91" i="38"/>
  <c r="X97" i="38"/>
  <c r="F8" i="39"/>
  <c r="F3" i="39"/>
  <c r="N3" i="39"/>
  <c r="N49" i="39" s="1"/>
  <c r="N7" i="39"/>
  <c r="X191" i="38"/>
  <c r="X190" i="38"/>
  <c r="X189" i="38"/>
  <c r="AC67" i="38"/>
  <c r="O16" i="44"/>
  <c r="N16" i="44" s="1"/>
  <c r="M16" i="44" s="1"/>
  <c r="L16" i="44" s="1"/>
  <c r="L13" i="44" s="1"/>
  <c r="M13" i="44" s="1"/>
  <c r="N13" i="44" s="1"/>
  <c r="O15" i="44"/>
  <c r="K66" i="45"/>
  <c r="K69" i="45"/>
  <c r="K65" i="45"/>
  <c r="L67" i="45"/>
  <c r="D63" i="45"/>
  <c r="C66" i="45"/>
  <c r="C69" i="45"/>
  <c r="C65" i="45"/>
  <c r="H66" i="45"/>
  <c r="H67" i="45"/>
  <c r="N67" i="45"/>
  <c r="N47" i="39"/>
  <c r="N48" i="39"/>
  <c r="E30" i="40"/>
  <c r="M11" i="39"/>
  <c r="M12" i="39"/>
  <c r="L27" i="39"/>
  <c r="D8" i="39"/>
  <c r="D3" i="39"/>
  <c r="U151" i="38"/>
  <c r="Y91" i="38"/>
  <c r="Y97" i="38"/>
  <c r="AJ101" i="38"/>
  <c r="H101" i="38" s="1"/>
  <c r="AJ125" i="38"/>
  <c r="AN9" i="38"/>
  <c r="I9" i="38" s="1"/>
  <c r="I17" i="38" s="1"/>
  <c r="P28" i="39"/>
  <c r="Q191" i="38"/>
  <c r="Q190" i="38"/>
  <c r="Q189" i="38"/>
  <c r="Z91" i="38"/>
  <c r="Z97" i="38"/>
  <c r="I65" i="45"/>
  <c r="I69" i="45"/>
  <c r="I64" i="45"/>
  <c r="O69" i="45"/>
  <c r="O64" i="45"/>
  <c r="O63" i="45"/>
  <c r="O67" i="45"/>
  <c r="P48" i="39"/>
  <c r="P47" i="39"/>
  <c r="E15" i="40"/>
  <c r="D48" i="39"/>
  <c r="Z142" i="38"/>
  <c r="Z156" i="38"/>
  <c r="AA156" i="38" s="1"/>
  <c r="AB156" i="38" s="1"/>
  <c r="AC156" i="38" s="1"/>
  <c r="AD156" i="38" s="1"/>
  <c r="AE156" i="38" s="1"/>
  <c r="AF156" i="38" s="1"/>
  <c r="AG156" i="38" s="1"/>
  <c r="AH156" i="38" s="1"/>
  <c r="AI156" i="38" s="1"/>
  <c r="AJ156" i="38" s="1"/>
  <c r="AK156" i="38" s="1"/>
  <c r="AL156" i="38" s="1"/>
  <c r="AM156" i="38" s="1"/>
  <c r="AN156" i="38" s="1"/>
  <c r="AO156" i="38" s="1"/>
  <c r="AP156" i="38" s="1"/>
  <c r="AQ156" i="38" s="1"/>
  <c r="AR156" i="38" s="1"/>
  <c r="Q27" i="39"/>
  <c r="M27" i="39"/>
  <c r="M28" i="39"/>
  <c r="M165" i="38"/>
  <c r="M190" i="38"/>
  <c r="M191" i="38"/>
  <c r="M189" i="38"/>
  <c r="W154" i="38"/>
  <c r="AE105" i="38"/>
  <c r="AG118" i="38"/>
  <c r="U91" i="38"/>
  <c r="K8" i="39"/>
  <c r="K3" i="39"/>
  <c r="K13" i="39" s="1"/>
  <c r="K7" i="39"/>
  <c r="P191" i="38"/>
  <c r="P190" i="38"/>
  <c r="P189" i="38"/>
  <c r="P165" i="38"/>
  <c r="AG123" i="38"/>
  <c r="N23" i="39"/>
  <c r="E86" i="32"/>
  <c r="AA191" i="38" l="1"/>
  <c r="AA190" i="38"/>
  <c r="AA165" i="38"/>
  <c r="K28" i="39"/>
  <c r="E168" i="38"/>
  <c r="W190" i="38"/>
  <c r="X88" i="38"/>
  <c r="X100" i="38" s="1"/>
  <c r="X149" i="38"/>
  <c r="AB148" i="38"/>
  <c r="Z104" i="38"/>
  <c r="Z88" i="38"/>
  <c r="Z100" i="38" s="1"/>
  <c r="Y124" i="38"/>
  <c r="U128" i="38"/>
  <c r="Y129" i="38" s="1"/>
  <c r="AD124" i="38"/>
  <c r="Z124" i="38"/>
  <c r="V128" i="38"/>
  <c r="Z129" i="38" s="1"/>
  <c r="AG124" i="38"/>
  <c r="AH124" i="38"/>
  <c r="AB129" i="38"/>
  <c r="K23" i="39"/>
  <c r="D27" i="40"/>
  <c r="AL124" i="38"/>
  <c r="G18" i="39"/>
  <c r="H20" i="39" s="1"/>
  <c r="D22" i="40"/>
  <c r="H24" i="39"/>
  <c r="K24" i="39"/>
  <c r="H69" i="38"/>
  <c r="Z14" i="44"/>
  <c r="G23" i="39"/>
  <c r="V14" i="44"/>
  <c r="D29" i="38"/>
  <c r="C25" i="39"/>
  <c r="C22" i="40"/>
  <c r="V7" i="44"/>
  <c r="R14" i="44"/>
  <c r="H17" i="38"/>
  <c r="N33" i="32"/>
  <c r="M9" i="3"/>
  <c r="O33" i="32" s="1"/>
  <c r="M14" i="44"/>
  <c r="L34" i="44"/>
  <c r="L14" i="44"/>
  <c r="O11" i="43"/>
  <c r="M4" i="43"/>
  <c r="K27" i="39"/>
  <c r="L28" i="39"/>
  <c r="K18" i="39"/>
  <c r="AD103" i="38"/>
  <c r="AC102" i="38"/>
  <c r="Y149" i="38"/>
  <c r="AC149" i="38" s="1"/>
  <c r="AG149" i="38" s="1"/>
  <c r="AK149" i="38" s="1"/>
  <c r="AO149" i="38" s="1"/>
  <c r="AS149" i="38" s="1"/>
  <c r="G125" i="38"/>
  <c r="AF123" i="38"/>
  <c r="E105" i="38"/>
  <c r="E98" i="38"/>
  <c r="C165" i="38"/>
  <c r="C190" i="38"/>
  <c r="C189" i="38"/>
  <c r="C191" i="38"/>
  <c r="C31" i="38"/>
  <c r="C30" i="38"/>
  <c r="AJ123" i="38"/>
  <c r="H125" i="38"/>
  <c r="AU176" i="38"/>
  <c r="AT125" i="38"/>
  <c r="AT123" i="38" s="1"/>
  <c r="AT101" i="38"/>
  <c r="E119" i="38"/>
  <c r="C30" i="39"/>
  <c r="C18" i="39" s="1"/>
  <c r="C21" i="39" s="1"/>
  <c r="C177" i="38"/>
  <c r="C29" i="38"/>
  <c r="E97" i="38"/>
  <c r="E91" i="38"/>
  <c r="D190" i="38"/>
  <c r="D191" i="38"/>
  <c r="D189" i="38"/>
  <c r="D22" i="38"/>
  <c r="D30" i="38"/>
  <c r="D31" i="38"/>
  <c r="F141" i="38"/>
  <c r="D162" i="38"/>
  <c r="D165" i="38" s="1"/>
  <c r="E21" i="38"/>
  <c r="E29" i="38" s="1"/>
  <c r="AK28" i="44"/>
  <c r="U87" i="38"/>
  <c r="U99" i="38" s="1"/>
  <c r="E123" i="38"/>
  <c r="E126" i="38" s="1"/>
  <c r="F70" i="38"/>
  <c r="AR10" i="38"/>
  <c r="I10" i="38"/>
  <c r="I18" i="38" s="1"/>
  <c r="AR8" i="38"/>
  <c r="I8" i="38"/>
  <c r="I16" i="38" s="1"/>
  <c r="F118" i="38"/>
  <c r="F119" i="38" s="1"/>
  <c r="F116" i="38"/>
  <c r="G117" i="38"/>
  <c r="H6" i="38"/>
  <c r="H14" i="38" s="1"/>
  <c r="E54" i="38"/>
  <c r="E57" i="38"/>
  <c r="AM67" i="38"/>
  <c r="AE67" i="38"/>
  <c r="AJ67" i="38"/>
  <c r="AD67" i="38"/>
  <c r="G66" i="38"/>
  <c r="N4" i="44"/>
  <c r="O3" i="44"/>
  <c r="AA29" i="38"/>
  <c r="V165" i="38"/>
  <c r="V163" i="38"/>
  <c r="V164" i="38"/>
  <c r="S164" i="38"/>
  <c r="S163" i="38"/>
  <c r="T165" i="38"/>
  <c r="T164" i="38"/>
  <c r="T163" i="38"/>
  <c r="Y191" i="38"/>
  <c r="AD191" i="38" s="1"/>
  <c r="Q165" i="38"/>
  <c r="Q163" i="38"/>
  <c r="Q164" i="38"/>
  <c r="X165" i="38"/>
  <c r="X163" i="38"/>
  <c r="U165" i="38"/>
  <c r="U163" i="38"/>
  <c r="U164" i="38"/>
  <c r="Z165" i="38"/>
  <c r="Z163" i="38"/>
  <c r="AA164" i="38"/>
  <c r="R165" i="38"/>
  <c r="R163" i="38"/>
  <c r="R164" i="38"/>
  <c r="Y189" i="38"/>
  <c r="Y190" i="38"/>
  <c r="Y30" i="38"/>
  <c r="W23" i="38"/>
  <c r="W189" i="38"/>
  <c r="W29" i="38"/>
  <c r="W191" i="38"/>
  <c r="W22" i="38"/>
  <c r="X23" i="38"/>
  <c r="W30" i="38"/>
  <c r="Y22" i="38"/>
  <c r="Y23" i="38"/>
  <c r="AA22" i="38"/>
  <c r="AA23" i="38"/>
  <c r="Y29" i="38"/>
  <c r="Z23" i="38"/>
  <c r="AA30" i="38"/>
  <c r="Y93" i="38"/>
  <c r="Y99" i="38"/>
  <c r="W88" i="38"/>
  <c r="W100" i="38" s="1"/>
  <c r="W99" i="38"/>
  <c r="AB133" i="38"/>
  <c r="AM117" i="38"/>
  <c r="AM115" i="38" s="1"/>
  <c r="AM116" i="38" s="1"/>
  <c r="AK117" i="38"/>
  <c r="C16" i="43"/>
  <c r="AA85" i="38" s="1"/>
  <c r="H17" i="43"/>
  <c r="L4" i="43"/>
  <c r="N11" i="43"/>
  <c r="X20" i="44"/>
  <c r="X31" i="44" s="1"/>
  <c r="X93" i="38"/>
  <c r="W104" i="38"/>
  <c r="Z93" i="38"/>
  <c r="AO6" i="38"/>
  <c r="AS6" i="38" s="1"/>
  <c r="AS117" i="38" s="1"/>
  <c r="Y104" i="38"/>
  <c r="Y88" i="38"/>
  <c r="E30" i="39"/>
  <c r="E18" i="39" s="1"/>
  <c r="I19" i="39" s="1"/>
  <c r="V15" i="44"/>
  <c r="AQ6" i="38"/>
  <c r="AU6" i="38" s="1"/>
  <c r="AU117" i="38" s="1"/>
  <c r="AU115" i="38" s="1"/>
  <c r="P49" i="39"/>
  <c r="V141" i="38"/>
  <c r="V145" i="38" s="1"/>
  <c r="F30" i="39"/>
  <c r="F18" i="39" s="1"/>
  <c r="F21" i="39" s="1"/>
  <c r="AI116" i="38"/>
  <c r="U15" i="44"/>
  <c r="H9" i="39"/>
  <c r="H25" i="39"/>
  <c r="M176" i="38"/>
  <c r="M178" i="38" s="1"/>
  <c r="L13" i="39"/>
  <c r="AK123" i="38"/>
  <c r="C49" i="39"/>
  <c r="AI67" i="38"/>
  <c r="AQ68" i="38"/>
  <c r="AO9" i="38"/>
  <c r="AK101" i="38"/>
  <c r="I33" i="39"/>
  <c r="Q153" i="38"/>
  <c r="Q152" i="38" s="1"/>
  <c r="N18" i="39"/>
  <c r="N19" i="39" s="1"/>
  <c r="E26" i="40"/>
  <c r="E27" i="40" s="1"/>
  <c r="S165" i="38"/>
  <c r="Y162" i="38"/>
  <c r="I9" i="39"/>
  <c r="E25" i="39"/>
  <c r="I25" i="39"/>
  <c r="N9" i="39"/>
  <c r="N13" i="39"/>
  <c r="N25" i="39"/>
  <c r="AA148" i="38"/>
  <c r="O8" i="39"/>
  <c r="O3" i="39"/>
  <c r="O9" i="39" s="1"/>
  <c r="O7" i="39"/>
  <c r="X142" i="38"/>
  <c r="M3" i="39"/>
  <c r="N5" i="39" s="1"/>
  <c r="M7" i="39"/>
  <c r="M8" i="39"/>
  <c r="K9" i="39"/>
  <c r="AK118" i="38"/>
  <c r="AG115" i="38"/>
  <c r="X154" i="38"/>
  <c r="K29" i="39"/>
  <c r="E121" i="39"/>
  <c r="E73" i="39"/>
  <c r="E117" i="39"/>
  <c r="E111" i="39"/>
  <c r="E45" i="39"/>
  <c r="E69" i="39"/>
  <c r="E61" i="39"/>
  <c r="E41" i="39"/>
  <c r="E5" i="39"/>
  <c r="E17" i="39"/>
  <c r="E13" i="39"/>
  <c r="E49" i="39"/>
  <c r="E57" i="39"/>
  <c r="E53" i="39"/>
  <c r="E29" i="39"/>
  <c r="P8" i="39"/>
  <c r="AB116" i="38"/>
  <c r="E24" i="39"/>
  <c r="AO68" i="38"/>
  <c r="AS68" i="38" s="1"/>
  <c r="AK66" i="38"/>
  <c r="E47" i="40"/>
  <c r="Z7" i="44"/>
  <c r="Z15" i="44"/>
  <c r="E31" i="40"/>
  <c r="W31" i="44"/>
  <c r="AA20" i="44"/>
  <c r="AA31" i="44" s="1"/>
  <c r="AL68" i="38"/>
  <c r="I68" i="38" s="1"/>
  <c r="I69" i="38" s="1"/>
  <c r="AH66" i="38"/>
  <c r="D3" i="40"/>
  <c r="D7" i="40"/>
  <c r="V87" i="38"/>
  <c r="V99" i="38" s="1"/>
  <c r="AG67" i="38"/>
  <c r="L19" i="39"/>
  <c r="L21" i="39"/>
  <c r="C121" i="39"/>
  <c r="C117" i="39"/>
  <c r="C73" i="39"/>
  <c r="C111" i="39"/>
  <c r="C69" i="39"/>
  <c r="C45" i="39"/>
  <c r="C53" i="39"/>
  <c r="C41" i="39"/>
  <c r="C17" i="39"/>
  <c r="C13" i="39"/>
  <c r="C29" i="39"/>
  <c r="C61" i="39"/>
  <c r="C57" i="39"/>
  <c r="J38" i="44"/>
  <c r="J33" i="44"/>
  <c r="J36" i="44"/>
  <c r="AA84" i="38"/>
  <c r="F84" i="38" s="1"/>
  <c r="F90" i="38" s="1"/>
  <c r="AH37" i="44"/>
  <c r="Y15" i="44"/>
  <c r="M34" i="44"/>
  <c r="Q7" i="44"/>
  <c r="N6" i="44"/>
  <c r="N14" i="44" s="1"/>
  <c r="M7" i="44"/>
  <c r="AF12" i="38"/>
  <c r="AF13" i="38" s="1"/>
  <c r="AF5" i="38" s="1"/>
  <c r="G5" i="38" s="1"/>
  <c r="G13" i="38" s="1"/>
  <c r="AE4" i="38"/>
  <c r="J21" i="39"/>
  <c r="J20" i="39"/>
  <c r="M28" i="44"/>
  <c r="N9" i="44"/>
  <c r="M10" i="44"/>
  <c r="M11" i="44"/>
  <c r="M31" i="44"/>
  <c r="F121" i="39"/>
  <c r="F117" i="39"/>
  <c r="F111" i="39"/>
  <c r="F69" i="39"/>
  <c r="F45" i="39"/>
  <c r="F73" i="39"/>
  <c r="F41" i="39"/>
  <c r="F17" i="39"/>
  <c r="F5" i="39"/>
  <c r="F13" i="39"/>
  <c r="F57" i="39"/>
  <c r="F61" i="39"/>
  <c r="F53" i="39"/>
  <c r="D47" i="40"/>
  <c r="P91" i="39"/>
  <c r="P121" i="39"/>
  <c r="P117" i="39"/>
  <c r="P69" i="39"/>
  <c r="P73" i="39"/>
  <c r="P45" i="39"/>
  <c r="P57" i="39"/>
  <c r="P41" i="39"/>
  <c r="P34" i="39"/>
  <c r="P4" i="39"/>
  <c r="P29" i="39"/>
  <c r="P17" i="39"/>
  <c r="P33" i="39"/>
  <c r="P53" i="39"/>
  <c r="P61" i="39"/>
  <c r="AR68" i="38"/>
  <c r="AN66" i="38"/>
  <c r="AD116" i="38"/>
  <c r="J121" i="39"/>
  <c r="J117" i="39"/>
  <c r="J111" i="39"/>
  <c r="J73" i="39"/>
  <c r="J61" i="39"/>
  <c r="J69" i="39"/>
  <c r="J41" i="39"/>
  <c r="J34" i="39"/>
  <c r="J4" i="39"/>
  <c r="J5" i="39"/>
  <c r="J45" i="39"/>
  <c r="J13" i="39"/>
  <c r="J57" i="39"/>
  <c r="J53" i="39"/>
  <c r="J29" i="39"/>
  <c r="J17" i="39"/>
  <c r="J49" i="39"/>
  <c r="J33" i="39"/>
  <c r="AB85" i="38"/>
  <c r="AL117" i="38"/>
  <c r="AL115" i="38" s="1"/>
  <c r="AL116" i="38" s="1"/>
  <c r="AP6" i="38"/>
  <c r="AT6" i="38" s="1"/>
  <c r="AT117" i="38" s="1"/>
  <c r="AT115" i="38" s="1"/>
  <c r="S28" i="44"/>
  <c r="R28" i="44"/>
  <c r="L9" i="39"/>
  <c r="C9" i="39"/>
  <c r="F49" i="39"/>
  <c r="G117" i="39"/>
  <c r="G111" i="39"/>
  <c r="G69" i="39"/>
  <c r="G73" i="39"/>
  <c r="G121" i="39"/>
  <c r="G41" i="39"/>
  <c r="G45" i="39"/>
  <c r="G17" i="39"/>
  <c r="G4" i="39"/>
  <c r="G5" i="39"/>
  <c r="G49" i="39"/>
  <c r="G53" i="39"/>
  <c r="G57" i="39"/>
  <c r="G33" i="39"/>
  <c r="G13" i="39"/>
  <c r="G61" i="39"/>
  <c r="G29" i="39"/>
  <c r="G9" i="39"/>
  <c r="O24" i="39"/>
  <c r="O23" i="39"/>
  <c r="O18" i="39"/>
  <c r="D121" i="39"/>
  <c r="D117" i="39"/>
  <c r="D111" i="39"/>
  <c r="D73" i="39"/>
  <c r="D69" i="39"/>
  <c r="D45" i="39"/>
  <c r="D41" i="39"/>
  <c r="D5" i="39"/>
  <c r="D61" i="39"/>
  <c r="D53" i="39"/>
  <c r="D13" i="39"/>
  <c r="D57" i="39"/>
  <c r="D29" i="39"/>
  <c r="D17" i="39"/>
  <c r="D49" i="39"/>
  <c r="D9" i="39"/>
  <c r="D25" i="39"/>
  <c r="D24" i="39"/>
  <c r="P19" i="39"/>
  <c r="P21" i="39"/>
  <c r="Q20" i="39"/>
  <c r="I21" i="39"/>
  <c r="I20" i="39"/>
  <c r="N27" i="39"/>
  <c r="N29" i="39"/>
  <c r="N28" i="39"/>
  <c r="AH116" i="38"/>
  <c r="J25" i="39"/>
  <c r="P154" i="38"/>
  <c r="U31" i="44"/>
  <c r="Y20" i="44"/>
  <c r="Y31" i="44" s="1"/>
  <c r="I111" i="39"/>
  <c r="I69" i="39"/>
  <c r="I121" i="39"/>
  <c r="I73" i="39"/>
  <c r="I45" i="39"/>
  <c r="I117" i="39"/>
  <c r="I34" i="39"/>
  <c r="I13" i="39"/>
  <c r="I4" i="39"/>
  <c r="I5" i="39"/>
  <c r="I41" i="39"/>
  <c r="I61" i="39"/>
  <c r="I57" i="39"/>
  <c r="I53" i="39"/>
  <c r="I29" i="39"/>
  <c r="I17" i="39"/>
  <c r="C3" i="40"/>
  <c r="H121" i="39"/>
  <c r="H117" i="39"/>
  <c r="H111" i="39"/>
  <c r="H69" i="39"/>
  <c r="H73" i="39"/>
  <c r="H45" i="39"/>
  <c r="H41" i="39"/>
  <c r="H57" i="39"/>
  <c r="H34" i="39"/>
  <c r="H4" i="39"/>
  <c r="H5" i="39"/>
  <c r="H53" i="39"/>
  <c r="H61" i="39"/>
  <c r="H33" i="39"/>
  <c r="H29" i="39"/>
  <c r="H17" i="39"/>
  <c r="H13" i="39"/>
  <c r="J30" i="44"/>
  <c r="F25" i="39"/>
  <c r="AB86" i="38"/>
  <c r="F86" i="38" s="1"/>
  <c r="W149" i="38"/>
  <c r="AA146" i="38"/>
  <c r="V31" i="44"/>
  <c r="Z20" i="44"/>
  <c r="Z31" i="44" s="1"/>
  <c r="L15" i="44"/>
  <c r="P15" i="44"/>
  <c r="E3" i="40"/>
  <c r="E7" i="40"/>
  <c r="L121" i="39"/>
  <c r="L117" i="39"/>
  <c r="L73" i="39"/>
  <c r="L69" i="39"/>
  <c r="L45" i="39"/>
  <c r="L34" i="39"/>
  <c r="L41" i="39"/>
  <c r="L4" i="39"/>
  <c r="L5" i="39"/>
  <c r="L57" i="39"/>
  <c r="L61" i="39"/>
  <c r="L33" i="39"/>
  <c r="L49" i="39"/>
  <c r="L53" i="39"/>
  <c r="L17" i="39"/>
  <c r="J27" i="44"/>
  <c r="G25" i="39"/>
  <c r="AF105" i="38"/>
  <c r="L29" i="39"/>
  <c r="N121" i="39"/>
  <c r="N117" i="39"/>
  <c r="N69" i="39"/>
  <c r="N45" i="39"/>
  <c r="N73" i="39"/>
  <c r="N41" i="39"/>
  <c r="N17" i="39"/>
  <c r="N4" i="39"/>
  <c r="N61" i="39"/>
  <c r="N53" i="39"/>
  <c r="N57" i="39"/>
  <c r="N33" i="39"/>
  <c r="F9" i="39"/>
  <c r="D30" i="39"/>
  <c r="N176" i="38"/>
  <c r="N178" i="38" s="1"/>
  <c r="F29" i="39"/>
  <c r="P24" i="39"/>
  <c r="J9" i="39"/>
  <c r="H21" i="39"/>
  <c r="AJ117" i="38"/>
  <c r="AN6" i="38"/>
  <c r="P13" i="39"/>
  <c r="Q11" i="44"/>
  <c r="AP125" i="38"/>
  <c r="AP123" i="38" s="1"/>
  <c r="AP101" i="38"/>
  <c r="R31" i="44"/>
  <c r="AJ31" i="44" s="1"/>
  <c r="K73" i="39"/>
  <c r="K121" i="39"/>
  <c r="K117" i="39"/>
  <c r="K69" i="39"/>
  <c r="K45" i="39"/>
  <c r="K41" i="39"/>
  <c r="K53" i="39"/>
  <c r="K4" i="39"/>
  <c r="K5" i="39"/>
  <c r="K17" i="39"/>
  <c r="K61" i="39"/>
  <c r="K33" i="39"/>
  <c r="K57" i="39"/>
  <c r="K25" i="39"/>
  <c r="AN125" i="38"/>
  <c r="AR9" i="38"/>
  <c r="AN101" i="38"/>
  <c r="I101" i="38" s="1"/>
  <c r="N8" i="39"/>
  <c r="V147" i="38"/>
  <c r="U143" i="38"/>
  <c r="E11" i="40"/>
  <c r="P25" i="39"/>
  <c r="H23" i="39"/>
  <c r="AC151" i="38"/>
  <c r="AD154" i="38"/>
  <c r="M22" i="39"/>
  <c r="W162" i="38"/>
  <c r="E162" i="38" s="1"/>
  <c r="X153" i="38"/>
  <c r="W152" i="38"/>
  <c r="W151" i="38" s="1"/>
  <c r="K49" i="39"/>
  <c r="Q8" i="39"/>
  <c r="Q7" i="39"/>
  <c r="Q3" i="39"/>
  <c r="Q9" i="39" s="1"/>
  <c r="AE153" i="38"/>
  <c r="AD152" i="38"/>
  <c r="E66" i="32"/>
  <c r="E34" i="32"/>
  <c r="D23" i="40" l="1"/>
  <c r="AC148" i="38"/>
  <c r="AD148" i="38" s="1"/>
  <c r="AE148" i="38" s="1"/>
  <c r="AF148" i="38" s="1"/>
  <c r="AG148" i="38" s="1"/>
  <c r="AH148" i="38" s="1"/>
  <c r="AI148" i="38" s="1"/>
  <c r="AJ148" i="38" s="1"/>
  <c r="AK148" i="38" s="1"/>
  <c r="AL148" i="38" s="1"/>
  <c r="AM148" i="38" s="1"/>
  <c r="AN148" i="38" s="1"/>
  <c r="AO148" i="38" s="1"/>
  <c r="AP148" i="38" s="1"/>
  <c r="AQ148" i="38" s="1"/>
  <c r="AR148" i="38" s="1"/>
  <c r="G34" i="39"/>
  <c r="G21" i="39"/>
  <c r="D18" i="40"/>
  <c r="D34" i="40" s="1"/>
  <c r="AF124" i="38"/>
  <c r="AP124" i="38"/>
  <c r="AK124" i="38"/>
  <c r="K19" i="39"/>
  <c r="G31" i="39"/>
  <c r="AT124" i="38"/>
  <c r="C34" i="39"/>
  <c r="C62" i="39" s="1"/>
  <c r="AJ124" i="38"/>
  <c r="K34" i="39"/>
  <c r="K37" i="39" s="1"/>
  <c r="L20" i="39"/>
  <c r="K20" i="39"/>
  <c r="K21" i="39"/>
  <c r="AC86" i="38"/>
  <c r="AC92" i="38" s="1"/>
  <c r="Y142" i="38"/>
  <c r="C33" i="39"/>
  <c r="G19" i="39"/>
  <c r="Q11" i="43"/>
  <c r="Q4" i="43" s="1"/>
  <c r="O4" i="43"/>
  <c r="J10" i="38"/>
  <c r="J18" i="38" s="1"/>
  <c r="AV10" i="38"/>
  <c r="K10" i="38" s="1"/>
  <c r="AR66" i="38"/>
  <c r="AR67" i="38" s="1"/>
  <c r="AV68" i="38"/>
  <c r="AV66" i="38" s="1"/>
  <c r="AO101" i="38"/>
  <c r="AS9" i="38"/>
  <c r="AQ66" i="38"/>
  <c r="AQ67" i="38" s="1"/>
  <c r="AU68" i="38"/>
  <c r="AU66" i="38" s="1"/>
  <c r="J9" i="38"/>
  <c r="J17" i="38" s="1"/>
  <c r="AV9" i="38"/>
  <c r="E189" i="38"/>
  <c r="E190" i="38"/>
  <c r="E165" i="38"/>
  <c r="E22" i="38"/>
  <c r="E191" i="38"/>
  <c r="E31" i="38"/>
  <c r="E30" i="38"/>
  <c r="J8" i="38"/>
  <c r="J16" i="38" s="1"/>
  <c r="AV8" i="38"/>
  <c r="K8" i="38" s="1"/>
  <c r="E163" i="38"/>
  <c r="D163" i="38"/>
  <c r="AN123" i="38"/>
  <c r="I125" i="38"/>
  <c r="AS66" i="38"/>
  <c r="C178" i="38"/>
  <c r="C176" i="38" s="1"/>
  <c r="AV176" i="38"/>
  <c r="AE103" i="38"/>
  <c r="AD102" i="38"/>
  <c r="E87" i="38"/>
  <c r="E104" i="38" s="1"/>
  <c r="U104" i="38"/>
  <c r="U88" i="38"/>
  <c r="F92" i="38"/>
  <c r="F105" i="38"/>
  <c r="H117" i="38"/>
  <c r="I6" i="38"/>
  <c r="I14" i="38" s="1"/>
  <c r="F37" i="38"/>
  <c r="F40" i="38"/>
  <c r="AN67" i="38"/>
  <c r="AH67" i="38"/>
  <c r="H66" i="38"/>
  <c r="G67" i="38"/>
  <c r="G70" i="38"/>
  <c r="AA97" i="38"/>
  <c r="F85" i="38"/>
  <c r="F91" i="38" s="1"/>
  <c r="O10" i="44"/>
  <c r="S4" i="44"/>
  <c r="P3" i="44"/>
  <c r="O4" i="44"/>
  <c r="S5" i="44"/>
  <c r="W163" i="38"/>
  <c r="W164" i="38"/>
  <c r="AA163" i="38"/>
  <c r="X164" i="38"/>
  <c r="Y165" i="38"/>
  <c r="Y163" i="38"/>
  <c r="Y164" i="38"/>
  <c r="Z164" i="38"/>
  <c r="X94" i="38"/>
  <c r="Y94" i="38"/>
  <c r="Y100" i="38"/>
  <c r="AK115" i="38"/>
  <c r="AK116" i="38" s="1"/>
  <c r="E117" i="40"/>
  <c r="E121" i="40"/>
  <c r="C25" i="40"/>
  <c r="C121" i="40"/>
  <c r="C117" i="40"/>
  <c r="D9" i="40"/>
  <c r="D117" i="40"/>
  <c r="D121" i="40"/>
  <c r="AE191" i="38"/>
  <c r="AO117" i="38"/>
  <c r="AQ117" i="38"/>
  <c r="AQ115" i="38" s="1"/>
  <c r="AQ116" i="38" s="1"/>
  <c r="AA91" i="38"/>
  <c r="AP117" i="38"/>
  <c r="AP115" i="38" s="1"/>
  <c r="AP116" i="38" s="1"/>
  <c r="P11" i="43"/>
  <c r="P4" i="43" s="1"/>
  <c r="N4" i="43"/>
  <c r="F33" i="39"/>
  <c r="E34" i="39"/>
  <c r="E62" i="39" s="1"/>
  <c r="I31" i="39"/>
  <c r="J31" i="39"/>
  <c r="F32" i="39"/>
  <c r="Z94" i="38"/>
  <c r="F34" i="39"/>
  <c r="F62" i="39" s="1"/>
  <c r="G32" i="39"/>
  <c r="E21" i="39"/>
  <c r="G20" i="39"/>
  <c r="E32" i="39"/>
  <c r="E33" i="39"/>
  <c r="J19" i="39"/>
  <c r="U141" i="38"/>
  <c r="T141" i="38" s="1"/>
  <c r="F20" i="39"/>
  <c r="AG59" i="38"/>
  <c r="AF59" i="38"/>
  <c r="G59" i="38" s="1"/>
  <c r="G60" i="38" s="1"/>
  <c r="P153" i="38"/>
  <c r="P152" i="38" s="1"/>
  <c r="AO125" i="38"/>
  <c r="AO123" i="38" s="1"/>
  <c r="N34" i="39"/>
  <c r="N62" i="39" s="1"/>
  <c r="N108" i="39" s="1"/>
  <c r="N21" i="39"/>
  <c r="O25" i="39"/>
  <c r="C30" i="40"/>
  <c r="C33" i="40" s="1"/>
  <c r="AB134" i="38"/>
  <c r="AB122" i="38"/>
  <c r="P5" i="39"/>
  <c r="AL31" i="44"/>
  <c r="F16" i="43"/>
  <c r="J16" i="43" s="1"/>
  <c r="N16" i="43" s="1"/>
  <c r="R16" i="43" s="1"/>
  <c r="V16" i="43" s="1"/>
  <c r="AT85" i="38" s="1"/>
  <c r="E16" i="43"/>
  <c r="I16" i="43" s="1"/>
  <c r="M16" i="43" s="1"/>
  <c r="Q16" i="43" s="1"/>
  <c r="U16" i="43" s="1"/>
  <c r="AS85" i="38" s="1"/>
  <c r="D33" i="40"/>
  <c r="D25" i="40"/>
  <c r="AN117" i="38"/>
  <c r="AR6" i="38"/>
  <c r="Y153" i="38"/>
  <c r="Y152" i="38" s="1"/>
  <c r="X152" i="38"/>
  <c r="V149" i="38"/>
  <c r="Z146" i="38"/>
  <c r="N10" i="44"/>
  <c r="O28" i="44"/>
  <c r="N11" i="44"/>
  <c r="N28" i="44"/>
  <c r="N31" i="44"/>
  <c r="AI31" i="44" s="1"/>
  <c r="N34" i="44"/>
  <c r="N7" i="44"/>
  <c r="R7" i="44"/>
  <c r="D4" i="40"/>
  <c r="D41" i="40"/>
  <c r="D57" i="40"/>
  <c r="D45" i="40"/>
  <c r="D69" i="40"/>
  <c r="D73" i="40"/>
  <c r="D61" i="40"/>
  <c r="D53" i="40"/>
  <c r="D29" i="40"/>
  <c r="D17" i="40"/>
  <c r="D13" i="40"/>
  <c r="AE154" i="38"/>
  <c r="AD151" i="38"/>
  <c r="E4" i="40"/>
  <c r="E41" i="40"/>
  <c r="E61" i="40"/>
  <c r="E69" i="40"/>
  <c r="E73" i="40"/>
  <c r="E45" i="40"/>
  <c r="E53" i="40"/>
  <c r="E57" i="40"/>
  <c r="E17" i="40"/>
  <c r="AB87" i="38"/>
  <c r="AB92" i="38"/>
  <c r="M25" i="39"/>
  <c r="M24" i="39"/>
  <c r="M23" i="39"/>
  <c r="M18" i="39"/>
  <c r="M34" i="39" s="1"/>
  <c r="Q23" i="39"/>
  <c r="N24" i="39"/>
  <c r="E22" i="40"/>
  <c r="E13" i="40"/>
  <c r="P62" i="39"/>
  <c r="P108" i="39" s="1"/>
  <c r="P35" i="39"/>
  <c r="P37" i="39"/>
  <c r="AD84" i="38"/>
  <c r="AD128" i="38"/>
  <c r="C37" i="39"/>
  <c r="AP68" i="38"/>
  <c r="AT68" i="38" s="1"/>
  <c r="AT66" i="38" s="1"/>
  <c r="AL66" i="38"/>
  <c r="E49" i="40"/>
  <c r="Y154" i="38"/>
  <c r="AR101" i="38"/>
  <c r="J101" i="38" s="1"/>
  <c r="AR125" i="38"/>
  <c r="C49" i="40"/>
  <c r="U147" i="38"/>
  <c r="E147" i="38" s="1"/>
  <c r="T143" i="38"/>
  <c r="D33" i="39"/>
  <c r="D32" i="39"/>
  <c r="H31" i="39"/>
  <c r="O154" i="38"/>
  <c r="AB91" i="38"/>
  <c r="M15" i="44"/>
  <c r="Q15" i="44"/>
  <c r="AG12" i="38"/>
  <c r="AF4" i="38"/>
  <c r="G4" i="38" s="1"/>
  <c r="G12" i="38" s="1"/>
  <c r="I62" i="39"/>
  <c r="I37" i="39"/>
  <c r="I36" i="39"/>
  <c r="AE152" i="38"/>
  <c r="AF153" i="38"/>
  <c r="Z148" i="38"/>
  <c r="L62" i="39"/>
  <c r="L108" i="39" s="1"/>
  <c r="L37" i="39"/>
  <c r="L35" i="39"/>
  <c r="Q151" i="38"/>
  <c r="D18" i="39"/>
  <c r="AJ28" i="44"/>
  <c r="AG116" i="38"/>
  <c r="AB61" i="38"/>
  <c r="AB64" i="38" s="1"/>
  <c r="AB41" i="38"/>
  <c r="C73" i="40"/>
  <c r="C61" i="40"/>
  <c r="C41" i="40"/>
  <c r="C45" i="40"/>
  <c r="C69" i="40"/>
  <c r="C57" i="40"/>
  <c r="C53" i="40"/>
  <c r="C17" i="40"/>
  <c r="C13" i="40"/>
  <c r="O19" i="39"/>
  <c r="O21" i="39"/>
  <c r="O20" i="39"/>
  <c r="AA90" i="38"/>
  <c r="AA96" i="38"/>
  <c r="AB90" i="38"/>
  <c r="M73" i="39"/>
  <c r="M121" i="39"/>
  <c r="M117" i="39"/>
  <c r="M45" i="39"/>
  <c r="M69" i="39"/>
  <c r="M41" i="39"/>
  <c r="M5" i="39"/>
  <c r="M4" i="39"/>
  <c r="M17" i="39"/>
  <c r="M49" i="39"/>
  <c r="M57" i="39"/>
  <c r="M53" i="39"/>
  <c r="M61" i="39"/>
  <c r="M29" i="39"/>
  <c r="M33" i="39"/>
  <c r="M13" i="39"/>
  <c r="Q69" i="39"/>
  <c r="Q121" i="39"/>
  <c r="Q117" i="39"/>
  <c r="Q91" i="39"/>
  <c r="Q41" i="39"/>
  <c r="Q45" i="39"/>
  <c r="Q73" i="39"/>
  <c r="Q34" i="39"/>
  <c r="Q4" i="39"/>
  <c r="Q5" i="39"/>
  <c r="Q61" i="39"/>
  <c r="Q53" i="39"/>
  <c r="Q17" i="39"/>
  <c r="Q21" i="39"/>
  <c r="Q57" i="39"/>
  <c r="Q29" i="39"/>
  <c r="Q33" i="39"/>
  <c r="Q25" i="39"/>
  <c r="Q13" i="39"/>
  <c r="Q49" i="39"/>
  <c r="AH59" i="38"/>
  <c r="H62" i="39"/>
  <c r="H37" i="39"/>
  <c r="H36" i="39"/>
  <c r="R11" i="44"/>
  <c r="D49" i="40"/>
  <c r="AC84" i="38"/>
  <c r="V93" i="38"/>
  <c r="V104" i="38"/>
  <c r="W93" i="38"/>
  <c r="V88" i="38"/>
  <c r="V100" i="38" s="1"/>
  <c r="E29" i="40"/>
  <c r="AK67" i="38"/>
  <c r="AO118" i="38"/>
  <c r="AS118" i="38" s="1"/>
  <c r="AS115" i="38" s="1"/>
  <c r="O69" i="39"/>
  <c r="O121" i="39"/>
  <c r="O117" i="39"/>
  <c r="O73" i="39"/>
  <c r="O41" i="39"/>
  <c r="O34" i="39"/>
  <c r="O45" i="39"/>
  <c r="O4" i="39"/>
  <c r="O5" i="39"/>
  <c r="O17" i="39"/>
  <c r="O49" i="39"/>
  <c r="O53" i="39"/>
  <c r="O57" i="39"/>
  <c r="O61" i="39"/>
  <c r="O33" i="39"/>
  <c r="O29" i="39"/>
  <c r="O13" i="39"/>
  <c r="W156" i="38"/>
  <c r="W142" i="38"/>
  <c r="AA150" i="38"/>
  <c r="J62" i="39"/>
  <c r="J36" i="39"/>
  <c r="J37" i="39"/>
  <c r="P20" i="39"/>
  <c r="W165" i="38"/>
  <c r="AK31" i="44"/>
  <c r="AG105" i="38"/>
  <c r="E9" i="40"/>
  <c r="C9" i="40"/>
  <c r="G35" i="39"/>
  <c r="G37" i="39"/>
  <c r="G62" i="39"/>
  <c r="C29" i="40"/>
  <c r="E33" i="40"/>
  <c r="AO66" i="38"/>
  <c r="M9" i="39"/>
  <c r="E60" i="1"/>
  <c r="D24" i="1"/>
  <c r="E24" i="1"/>
  <c r="F24" i="1"/>
  <c r="G24" i="1"/>
  <c r="H24" i="1"/>
  <c r="D15" i="1"/>
  <c r="D17" i="1" s="1"/>
  <c r="E12" i="1"/>
  <c r="F12" i="1"/>
  <c r="K36" i="39" l="1"/>
  <c r="D21" i="40"/>
  <c r="AN124" i="38"/>
  <c r="K35" i="39"/>
  <c r="AO124" i="38"/>
  <c r="K62" i="39"/>
  <c r="K108" i="39" s="1"/>
  <c r="K109" i="39" s="1"/>
  <c r="L36" i="39"/>
  <c r="AD129" i="38"/>
  <c r="AD121" i="38"/>
  <c r="AD134" i="38" s="1"/>
  <c r="AC87" i="38"/>
  <c r="AC104" i="38" s="1"/>
  <c r="AU67" i="38"/>
  <c r="AV67" i="38"/>
  <c r="AT91" i="38"/>
  <c r="K18" i="38"/>
  <c r="AT116" i="38"/>
  <c r="AS125" i="38"/>
  <c r="AS123" i="38" s="1"/>
  <c r="AS101" i="38"/>
  <c r="K16" i="38"/>
  <c r="AG13" i="38"/>
  <c r="AG5" i="38" s="1"/>
  <c r="AH12" i="38"/>
  <c r="AR123" i="38"/>
  <c r="J125" i="38"/>
  <c r="K68" i="38"/>
  <c r="E142" i="38"/>
  <c r="AB149" i="38"/>
  <c r="F147" i="38"/>
  <c r="F148" i="38" s="1"/>
  <c r="AS67" i="38"/>
  <c r="K66" i="38"/>
  <c r="AD86" i="38"/>
  <c r="K9" i="38"/>
  <c r="K17" i="38" s="1"/>
  <c r="AV125" i="38"/>
  <c r="AV101" i="38"/>
  <c r="AF103" i="38"/>
  <c r="AU116" i="38"/>
  <c r="E99" i="38"/>
  <c r="J6" i="38"/>
  <c r="J14" i="38" s="1"/>
  <c r="AV6" i="38"/>
  <c r="U100" i="38"/>
  <c r="E88" i="38"/>
  <c r="E100" i="38" s="1"/>
  <c r="I117" i="38"/>
  <c r="AB111" i="38"/>
  <c r="F109" i="38"/>
  <c r="F61" i="38"/>
  <c r="F64" i="38" s="1"/>
  <c r="F41" i="38"/>
  <c r="AP66" i="38"/>
  <c r="AT67" i="38" s="1"/>
  <c r="J68" i="38"/>
  <c r="J69" i="38" s="1"/>
  <c r="H67" i="38"/>
  <c r="H70" i="38"/>
  <c r="AL67" i="38"/>
  <c r="I66" i="38"/>
  <c r="Q3" i="44"/>
  <c r="P4" i="44"/>
  <c r="P10" i="44"/>
  <c r="T4" i="44"/>
  <c r="P109" i="39"/>
  <c r="P111" i="39"/>
  <c r="L109" i="39"/>
  <c r="L111" i="39"/>
  <c r="N109" i="39"/>
  <c r="N111" i="39"/>
  <c r="AB112" i="38"/>
  <c r="AB26" i="38"/>
  <c r="F26" i="38" s="1"/>
  <c r="I35" i="39"/>
  <c r="AF191" i="38"/>
  <c r="AG191" i="38" s="1"/>
  <c r="AH191" i="38" s="1"/>
  <c r="AR117" i="38"/>
  <c r="E37" i="39"/>
  <c r="U145" i="38"/>
  <c r="G36" i="39"/>
  <c r="J35" i="39"/>
  <c r="F36" i="39"/>
  <c r="F37" i="39"/>
  <c r="O153" i="38"/>
  <c r="O152" i="38" s="1"/>
  <c r="O151" i="38" s="1"/>
  <c r="N35" i="39"/>
  <c r="N36" i="39"/>
  <c r="N37" i="39"/>
  <c r="D31" i="40"/>
  <c r="AB113" i="38"/>
  <c r="R10" i="39"/>
  <c r="R11" i="39" s="1"/>
  <c r="AB110" i="38"/>
  <c r="O34" i="44"/>
  <c r="AI28" i="44"/>
  <c r="P151" i="38"/>
  <c r="AE84" i="38"/>
  <c r="AE90" i="38" s="1"/>
  <c r="AC85" i="38"/>
  <c r="AD85" i="38"/>
  <c r="G16" i="43"/>
  <c r="K16" i="43" s="1"/>
  <c r="O16" i="43" s="1"/>
  <c r="S16" i="43" s="1"/>
  <c r="W16" i="43" s="1"/>
  <c r="AU85" i="38" s="1"/>
  <c r="AB104" i="38"/>
  <c r="X151" i="38"/>
  <c r="X156" i="38" s="1"/>
  <c r="AC90" i="38"/>
  <c r="L63" i="39"/>
  <c r="L65" i="39"/>
  <c r="L64" i="39"/>
  <c r="L74" i="39"/>
  <c r="L95" i="39"/>
  <c r="L97" i="39" s="1"/>
  <c r="AD90" i="38"/>
  <c r="V156" i="38"/>
  <c r="V142" i="38"/>
  <c r="Z150" i="38"/>
  <c r="O62" i="39"/>
  <c r="O35" i="39"/>
  <c r="O37" i="39"/>
  <c r="O36" i="39"/>
  <c r="E95" i="39"/>
  <c r="E97" i="39" s="1"/>
  <c r="E65" i="39"/>
  <c r="E74" i="39"/>
  <c r="F74" i="39"/>
  <c r="F95" i="39"/>
  <c r="F97" i="39" s="1"/>
  <c r="F65" i="39"/>
  <c r="F64" i="39"/>
  <c r="AH105" i="38"/>
  <c r="Q62" i="39"/>
  <c r="Q37" i="39"/>
  <c r="Q36" i="39"/>
  <c r="Q35" i="39"/>
  <c r="T147" i="38"/>
  <c r="S143" i="38"/>
  <c r="P36" i="39"/>
  <c r="D37" i="40"/>
  <c r="D62" i="40"/>
  <c r="D108" i="40" s="1"/>
  <c r="D111" i="40" s="1"/>
  <c r="AO67" i="38"/>
  <c r="V94" i="38"/>
  <c r="W94" i="38"/>
  <c r="AI23" i="44"/>
  <c r="AC147" i="38"/>
  <c r="D21" i="39"/>
  <c r="D20" i="39"/>
  <c r="D34" i="39"/>
  <c r="E20" i="39"/>
  <c r="C18" i="40"/>
  <c r="H19" i="39"/>
  <c r="AE151" i="38"/>
  <c r="AF154" i="38"/>
  <c r="I95" i="39"/>
  <c r="I97" i="39" s="1"/>
  <c r="I74" i="39"/>
  <c r="I65" i="39"/>
  <c r="I64" i="39"/>
  <c r="I63" i="39"/>
  <c r="Y148" i="38"/>
  <c r="G95" i="39"/>
  <c r="G65" i="39"/>
  <c r="G64" i="39"/>
  <c r="G63" i="39"/>
  <c r="G74" i="39"/>
  <c r="J95" i="39"/>
  <c r="J97" i="39" s="1"/>
  <c r="J63" i="39"/>
  <c r="J65" i="39"/>
  <c r="J64" i="39"/>
  <c r="J74" i="39"/>
  <c r="AC145" i="38"/>
  <c r="AI59" i="38"/>
  <c r="M62" i="39"/>
  <c r="M108" i="39" s="1"/>
  <c r="M35" i="39"/>
  <c r="M36" i="39"/>
  <c r="M37" i="39"/>
  <c r="T145" i="38"/>
  <c r="S141" i="38"/>
  <c r="P95" i="39"/>
  <c r="P97" i="39" s="1"/>
  <c r="P65" i="39"/>
  <c r="P74" i="39"/>
  <c r="P63" i="39"/>
  <c r="H95" i="39"/>
  <c r="H97" i="39" s="1"/>
  <c r="H65" i="39"/>
  <c r="H64" i="39"/>
  <c r="H74" i="39"/>
  <c r="N154" i="38"/>
  <c r="E25" i="40"/>
  <c r="E23" i="40"/>
  <c r="AG153" i="38"/>
  <c r="AF152" i="38"/>
  <c r="C95" i="39"/>
  <c r="C65" i="39"/>
  <c r="C74" i="39"/>
  <c r="M19" i="39"/>
  <c r="M21" i="39"/>
  <c r="M20" i="39"/>
  <c r="Q19" i="39"/>
  <c r="N20" i="39"/>
  <c r="E18" i="40"/>
  <c r="AG4" i="38"/>
  <c r="K95" i="39"/>
  <c r="K63" i="39"/>
  <c r="K64" i="39"/>
  <c r="G130" i="38"/>
  <c r="R15" i="44"/>
  <c r="N74" i="39"/>
  <c r="N95" i="39"/>
  <c r="N97" i="39" s="1"/>
  <c r="N63" i="39"/>
  <c r="N65" i="39"/>
  <c r="AO115" i="38"/>
  <c r="AS116" i="38" s="1"/>
  <c r="Y151" i="38"/>
  <c r="Y156" i="38" s="1"/>
  <c r="Z155" i="38"/>
  <c r="D26" i="1"/>
  <c r="D33" i="1" s="1"/>
  <c r="D37" i="1" s="1"/>
  <c r="D58" i="1" s="1"/>
  <c r="K111" i="39" l="1"/>
  <c r="K74" i="39"/>
  <c r="K65" i="39"/>
  <c r="L110" i="39"/>
  <c r="AC93" i="38"/>
  <c r="AS124" i="38"/>
  <c r="AR124" i="38"/>
  <c r="K110" i="39"/>
  <c r="AP67" i="38"/>
  <c r="K69" i="38"/>
  <c r="AU91" i="38"/>
  <c r="AV91" i="38"/>
  <c r="K85" i="38"/>
  <c r="U149" i="38"/>
  <c r="E149" i="38" s="1"/>
  <c r="E143" i="38" s="1"/>
  <c r="E145" i="38"/>
  <c r="AD87" i="38"/>
  <c r="AD93" i="38" s="1"/>
  <c r="AD92" i="38"/>
  <c r="K6" i="38"/>
  <c r="K14" i="38" s="1"/>
  <c r="AV117" i="38"/>
  <c r="K117" i="38" s="1"/>
  <c r="AG103" i="38"/>
  <c r="AF102" i="38"/>
  <c r="K101" i="38"/>
  <c r="F142" i="38"/>
  <c r="K70" i="38"/>
  <c r="K125" i="38"/>
  <c r="AV123" i="38"/>
  <c r="AB150" i="38"/>
  <c r="AF149" i="38"/>
  <c r="F149" i="38"/>
  <c r="AH13" i="38"/>
  <c r="AH5" i="38" s="1"/>
  <c r="AI12" i="38"/>
  <c r="AT128" i="38"/>
  <c r="AT121" i="38" s="1"/>
  <c r="F113" i="38"/>
  <c r="F110" i="38"/>
  <c r="F112" i="38"/>
  <c r="J117" i="38"/>
  <c r="R26" i="39"/>
  <c r="R28" i="39" s="1"/>
  <c r="F173" i="38"/>
  <c r="I67" i="38"/>
  <c r="I70" i="38"/>
  <c r="J66" i="38"/>
  <c r="K67" i="38" s="1"/>
  <c r="R3" i="44"/>
  <c r="U4" i="44"/>
  <c r="Q4" i="44"/>
  <c r="Q10" i="44"/>
  <c r="Q95" i="39"/>
  <c r="Q97" i="39" s="1"/>
  <c r="Q108" i="39"/>
  <c r="M110" i="39"/>
  <c r="M109" i="39"/>
  <c r="M111" i="39"/>
  <c r="P64" i="39"/>
  <c r="O108" i="39"/>
  <c r="N110" i="39"/>
  <c r="AB141" i="38"/>
  <c r="AB139" i="38"/>
  <c r="AB27" i="38"/>
  <c r="F27" i="38" s="1"/>
  <c r="AI191" i="38"/>
  <c r="G17" i="43"/>
  <c r="N153" i="38"/>
  <c r="N152" i="38" s="1"/>
  <c r="N151" i="38" s="1"/>
  <c r="Y146" i="38"/>
  <c r="R12" i="39"/>
  <c r="AI34" i="44"/>
  <c r="F10" i="40"/>
  <c r="I9" i="1" s="1"/>
  <c r="AD91" i="38"/>
  <c r="AB143" i="38"/>
  <c r="AE85" i="38"/>
  <c r="AF85" i="38"/>
  <c r="AC91" i="38"/>
  <c r="C77" i="39"/>
  <c r="C80" i="39"/>
  <c r="C79" i="39"/>
  <c r="AF128" i="38"/>
  <c r="AF121" i="38" s="1"/>
  <c r="AD145" i="38"/>
  <c r="I79" i="39"/>
  <c r="I75" i="39"/>
  <c r="I77" i="39"/>
  <c r="I76" i="39"/>
  <c r="I80" i="39"/>
  <c r="AI105" i="38"/>
  <c r="U156" i="38"/>
  <c r="P80" i="39"/>
  <c r="P75" i="39"/>
  <c r="P77" i="39"/>
  <c r="P79" i="39"/>
  <c r="J80" i="39"/>
  <c r="J75" i="39"/>
  <c r="J77" i="39"/>
  <c r="J76" i="39"/>
  <c r="J79" i="39"/>
  <c r="P37" i="44"/>
  <c r="X148" i="38"/>
  <c r="K97" i="39"/>
  <c r="T149" i="38"/>
  <c r="X146" i="38"/>
  <c r="S147" i="38"/>
  <c r="R143" i="38"/>
  <c r="N80" i="39"/>
  <c r="N79" i="39"/>
  <c r="N77" i="39"/>
  <c r="N75" i="39"/>
  <c r="D95" i="40"/>
  <c r="G97" i="39"/>
  <c r="D97" i="40" s="1"/>
  <c r="AD147" i="38"/>
  <c r="Q37" i="44"/>
  <c r="Q74" i="39"/>
  <c r="Q65" i="39"/>
  <c r="Q64" i="39"/>
  <c r="Q63" i="39"/>
  <c r="M154" i="38"/>
  <c r="K79" i="39"/>
  <c r="K77" i="39"/>
  <c r="K76" i="39"/>
  <c r="K80" i="39"/>
  <c r="K75" i="39"/>
  <c r="M95" i="39"/>
  <c r="M97" i="39" s="1"/>
  <c r="M65" i="39"/>
  <c r="M64" i="39"/>
  <c r="M74" i="39"/>
  <c r="N76" i="39" s="1"/>
  <c r="M63" i="39"/>
  <c r="E19" i="40"/>
  <c r="E21" i="40"/>
  <c r="E34" i="40"/>
  <c r="C97" i="39"/>
  <c r="AH153" i="38"/>
  <c r="AG152" i="38"/>
  <c r="AF84" i="38"/>
  <c r="G84" i="38" s="1"/>
  <c r="AI37" i="44"/>
  <c r="F80" i="39"/>
  <c r="F79" i="39"/>
  <c r="F77" i="39"/>
  <c r="F76" i="39"/>
  <c r="L80" i="39"/>
  <c r="L79" i="39"/>
  <c r="L75" i="39"/>
  <c r="L77" i="39"/>
  <c r="L76" i="39"/>
  <c r="AO116" i="38"/>
  <c r="C21" i="40"/>
  <c r="D19" i="40"/>
  <c r="C34" i="40"/>
  <c r="AD122" i="38"/>
  <c r="AD109" i="38"/>
  <c r="AD133" i="38"/>
  <c r="N64" i="39"/>
  <c r="AJ59" i="38"/>
  <c r="H59" i="38" s="1"/>
  <c r="H60" i="38" s="1"/>
  <c r="G75" i="39"/>
  <c r="G80" i="39"/>
  <c r="G79" i="39"/>
  <c r="G77" i="39"/>
  <c r="G76" i="39"/>
  <c r="D62" i="39"/>
  <c r="D37" i="39"/>
  <c r="D36" i="39"/>
  <c r="E36" i="39"/>
  <c r="H35" i="39"/>
  <c r="R14" i="39"/>
  <c r="AB138" i="38"/>
  <c r="F178" i="38"/>
  <c r="F176" i="38" s="1"/>
  <c r="F177" i="38"/>
  <c r="AB142" i="38"/>
  <c r="E79" i="39"/>
  <c r="E80" i="39"/>
  <c r="E77" i="39"/>
  <c r="O95" i="39"/>
  <c r="O97" i="39" s="1"/>
  <c r="O63" i="39"/>
  <c r="O65" i="39"/>
  <c r="O64" i="39"/>
  <c r="O74" i="39"/>
  <c r="H80" i="39"/>
  <c r="H79" i="39"/>
  <c r="H77" i="39"/>
  <c r="H76" i="39"/>
  <c r="R141" i="38"/>
  <c r="S145" i="38"/>
  <c r="AC137" i="38"/>
  <c r="AG154" i="38"/>
  <c r="AF151" i="38"/>
  <c r="D65" i="40"/>
  <c r="D74" i="40"/>
  <c r="AH4" i="38"/>
  <c r="D48" i="1"/>
  <c r="D50" i="1" s="1"/>
  <c r="D39" i="1"/>
  <c r="D52" i="1" s="1"/>
  <c r="AV124" i="38" l="1"/>
  <c r="AF129" i="38"/>
  <c r="Y150" i="38"/>
  <c r="U142" i="38"/>
  <c r="AD104" i="38"/>
  <c r="AJ12" i="38"/>
  <c r="AI13" i="38"/>
  <c r="AI5" i="38" s="1"/>
  <c r="F150" i="38"/>
  <c r="F143" i="38"/>
  <c r="AJ149" i="38"/>
  <c r="G149" i="38"/>
  <c r="G150" i="38" s="1"/>
  <c r="G102" i="38"/>
  <c r="G103" i="38" s="1"/>
  <c r="AH103" i="38"/>
  <c r="AG102" i="38"/>
  <c r="E141" i="38"/>
  <c r="F146" i="38"/>
  <c r="AT134" i="38"/>
  <c r="F26" i="40"/>
  <c r="F27" i="40" s="1"/>
  <c r="R27" i="39"/>
  <c r="J70" i="38"/>
  <c r="J67" i="38"/>
  <c r="AE91" i="38"/>
  <c r="G85" i="38"/>
  <c r="G91" i="38" s="1"/>
  <c r="AH84" i="38"/>
  <c r="Q38" i="44"/>
  <c r="P38" i="44"/>
  <c r="V4" i="44"/>
  <c r="R4" i="44"/>
  <c r="R10" i="44"/>
  <c r="AB99" i="38"/>
  <c r="F82" i="38"/>
  <c r="G90" i="38"/>
  <c r="AI38" i="44"/>
  <c r="O110" i="39"/>
  <c r="O109" i="39"/>
  <c r="O111" i="39"/>
  <c r="P110" i="39"/>
  <c r="Q109" i="39"/>
  <c r="Q110" i="39"/>
  <c r="Q111" i="39"/>
  <c r="AC141" i="38"/>
  <c r="AC27" i="38"/>
  <c r="AC139" i="38"/>
  <c r="AD26" i="38"/>
  <c r="AJ191" i="38"/>
  <c r="AK191" i="38" s="1"/>
  <c r="M153" i="38"/>
  <c r="M152" i="38" s="1"/>
  <c r="F11" i="40"/>
  <c r="D45" i="1"/>
  <c r="D44" i="1"/>
  <c r="AF91" i="38"/>
  <c r="AH85" i="38"/>
  <c r="AI85" i="38"/>
  <c r="AG85" i="38"/>
  <c r="AJ85" i="38"/>
  <c r="D77" i="40"/>
  <c r="D80" i="40"/>
  <c r="D79" i="40"/>
  <c r="D65" i="39"/>
  <c r="D64" i="39"/>
  <c r="D74" i="39"/>
  <c r="D95" i="39"/>
  <c r="E64" i="39"/>
  <c r="H63" i="39"/>
  <c r="T10" i="39"/>
  <c r="AD110" i="38"/>
  <c r="AD112" i="38"/>
  <c r="E62" i="40"/>
  <c r="E108" i="40" s="1"/>
  <c r="E35" i="40"/>
  <c r="E37" i="40"/>
  <c r="Q79" i="39"/>
  <c r="Q75" i="39"/>
  <c r="Q77" i="39"/>
  <c r="Q76" i="39"/>
  <c r="Q80" i="39"/>
  <c r="AE147" i="38"/>
  <c r="P81" i="39"/>
  <c r="P83" i="39"/>
  <c r="G83" i="39"/>
  <c r="G82" i="39"/>
  <c r="G85" i="39"/>
  <c r="G91" i="39" s="1"/>
  <c r="G81" i="39"/>
  <c r="AG84" i="38"/>
  <c r="R147" i="38"/>
  <c r="Q143" i="38"/>
  <c r="AI4" i="38"/>
  <c r="S14" i="39"/>
  <c r="AC178" i="38"/>
  <c r="AC138" i="38"/>
  <c r="AC177" i="38"/>
  <c r="AC142" i="38"/>
  <c r="E83" i="39"/>
  <c r="E85" i="39"/>
  <c r="E91" i="39" s="1"/>
  <c r="AK59" i="38"/>
  <c r="AD113" i="38"/>
  <c r="K83" i="39"/>
  <c r="K82" i="39"/>
  <c r="K85" i="39"/>
  <c r="K91" i="39" s="1"/>
  <c r="K81" i="39"/>
  <c r="W148" i="38"/>
  <c r="E97" i="40"/>
  <c r="E98" i="40" s="1"/>
  <c r="AD137" i="38"/>
  <c r="H85" i="39"/>
  <c r="H91" i="39" s="1"/>
  <c r="H83" i="39"/>
  <c r="H82" i="39"/>
  <c r="O79" i="39"/>
  <c r="O80" i="39"/>
  <c r="O75" i="39"/>
  <c r="O77" i="39"/>
  <c r="O76" i="39"/>
  <c r="R15" i="39"/>
  <c r="R16" i="39"/>
  <c r="F14" i="40"/>
  <c r="I10" i="1" s="1"/>
  <c r="F85" i="39"/>
  <c r="F91" i="39" s="1"/>
  <c r="F83" i="39"/>
  <c r="F82" i="39"/>
  <c r="AF90" i="38"/>
  <c r="E95" i="40"/>
  <c r="AC143" i="38"/>
  <c r="J85" i="39"/>
  <c r="J91" i="39" s="1"/>
  <c r="J81" i="39"/>
  <c r="J83" i="39"/>
  <c r="J82" i="39"/>
  <c r="AE145" i="38"/>
  <c r="C83" i="39"/>
  <c r="C85" i="39"/>
  <c r="C91" i="39" s="1"/>
  <c r="AB106" i="38"/>
  <c r="AB83" i="38"/>
  <c r="AB96" i="38"/>
  <c r="AB97" i="38"/>
  <c r="AB98" i="38"/>
  <c r="AJ105" i="38"/>
  <c r="T156" i="38"/>
  <c r="T142" i="38"/>
  <c r="X150" i="38"/>
  <c r="M79" i="39"/>
  <c r="M80" i="39"/>
  <c r="N82" i="39" s="1"/>
  <c r="M75" i="39"/>
  <c r="M77" i="39"/>
  <c r="M76" i="39"/>
  <c r="P76" i="39"/>
  <c r="I83" i="39"/>
  <c r="I82" i="39"/>
  <c r="I85" i="39"/>
  <c r="I91" i="39" s="1"/>
  <c r="I81" i="39"/>
  <c r="S149" i="38"/>
  <c r="W146" i="38"/>
  <c r="C62" i="40"/>
  <c r="C108" i="40" s="1"/>
  <c r="C37" i="40"/>
  <c r="D35" i="40"/>
  <c r="AH152" i="38"/>
  <c r="AI153" i="38"/>
  <c r="AH154" i="38"/>
  <c r="AG151" i="38"/>
  <c r="R145" i="38"/>
  <c r="Q141" i="38"/>
  <c r="R30" i="39"/>
  <c r="L85" i="39"/>
  <c r="L91" i="39" s="1"/>
  <c r="L81" i="39"/>
  <c r="L83" i="39"/>
  <c r="L82" i="39"/>
  <c r="N85" i="39"/>
  <c r="N91" i="39" s="1"/>
  <c r="N81" i="39"/>
  <c r="N83" i="39"/>
  <c r="K84" i="32"/>
  <c r="L84" i="32"/>
  <c r="M84" i="32"/>
  <c r="N84" i="32"/>
  <c r="AK12" i="38" l="1"/>
  <c r="AJ13" i="38"/>
  <c r="AJ5" i="38" s="1"/>
  <c r="H5" i="38" s="1"/>
  <c r="H13" i="38" s="1"/>
  <c r="AN149" i="38"/>
  <c r="H149" i="38"/>
  <c r="H150" i="38" s="1"/>
  <c r="AI103" i="38"/>
  <c r="AH102" i="38"/>
  <c r="AH86" i="38" s="1"/>
  <c r="AG86" i="38"/>
  <c r="AV128" i="38"/>
  <c r="AV121" i="38" s="1"/>
  <c r="K130" i="38"/>
  <c r="AT109" i="38"/>
  <c r="AT113" i="38" s="1"/>
  <c r="AT133" i="38"/>
  <c r="AF134" i="38"/>
  <c r="H85" i="38"/>
  <c r="H91" i="38" s="1"/>
  <c r="F83" i="38"/>
  <c r="F106" i="38"/>
  <c r="F97" i="38"/>
  <c r="F98" i="38"/>
  <c r="F96" i="38"/>
  <c r="F38" i="38"/>
  <c r="F34" i="38"/>
  <c r="F35" i="38" s="1"/>
  <c r="AH90" i="38"/>
  <c r="AB25" i="38"/>
  <c r="F25" i="38" s="1"/>
  <c r="AB35" i="38"/>
  <c r="AB36" i="38"/>
  <c r="AD141" i="38"/>
  <c r="AD27" i="38"/>
  <c r="AD139" i="38"/>
  <c r="E109" i="40"/>
  <c r="E111" i="40"/>
  <c r="D109" i="40"/>
  <c r="C111" i="40"/>
  <c r="AL191" i="38"/>
  <c r="AM191" i="38" s="1"/>
  <c r="AN191" i="38" s="1"/>
  <c r="M151" i="38"/>
  <c r="AI91" i="38"/>
  <c r="AJ91" i="38"/>
  <c r="AG91" i="38"/>
  <c r="AH91" i="38"/>
  <c r="AH128" i="38"/>
  <c r="O83" i="39"/>
  <c r="O82" i="39"/>
  <c r="O85" i="39"/>
  <c r="O91" i="39" s="1"/>
  <c r="O81" i="39"/>
  <c r="AL59" i="38"/>
  <c r="S30" i="39"/>
  <c r="AF147" i="38"/>
  <c r="G147" i="38" s="1"/>
  <c r="G148" i="38" s="1"/>
  <c r="E74" i="40"/>
  <c r="E63" i="40"/>
  <c r="E65" i="40"/>
  <c r="D97" i="39"/>
  <c r="C97" i="40" s="1"/>
  <c r="D98" i="40" s="1"/>
  <c r="C95" i="40"/>
  <c r="D85" i="40"/>
  <c r="D91" i="40" s="1"/>
  <c r="D83" i="40"/>
  <c r="S156" i="38"/>
  <c r="S142" i="38"/>
  <c r="W150" i="38"/>
  <c r="F15" i="40"/>
  <c r="Q83" i="39"/>
  <c r="Q82" i="39"/>
  <c r="Q81" i="39"/>
  <c r="D80" i="39"/>
  <c r="D79" i="39"/>
  <c r="D76" i="39"/>
  <c r="D77" i="39"/>
  <c r="H75" i="39"/>
  <c r="E76" i="39"/>
  <c r="AE137" i="38"/>
  <c r="AJ4" i="38"/>
  <c r="H4" i="38" s="1"/>
  <c r="H12" i="38" s="1"/>
  <c r="P143" i="38"/>
  <c r="Q147" i="38"/>
  <c r="D147" i="38" s="1"/>
  <c r="AG90" i="38"/>
  <c r="P82" i="39"/>
  <c r="R31" i="39"/>
  <c r="R32" i="39"/>
  <c r="F30" i="40"/>
  <c r="AJ153" i="38"/>
  <c r="AI152" i="38"/>
  <c r="AK105" i="38"/>
  <c r="T14" i="39"/>
  <c r="AD178" i="38"/>
  <c r="AD138" i="38"/>
  <c r="AD177" i="38"/>
  <c r="AD142" i="38"/>
  <c r="V148" i="38"/>
  <c r="S37" i="44"/>
  <c r="AF145" i="38"/>
  <c r="G145" i="38" s="1"/>
  <c r="Q145" i="38"/>
  <c r="D145" i="38" s="1"/>
  <c r="P141" i="38"/>
  <c r="R149" i="38"/>
  <c r="V146" i="38"/>
  <c r="M83" i="39"/>
  <c r="M82" i="39"/>
  <c r="M85" i="39"/>
  <c r="M91" i="39" s="1"/>
  <c r="M81" i="39"/>
  <c r="AH151" i="38"/>
  <c r="AI154" i="38"/>
  <c r="AD143" i="38"/>
  <c r="C65" i="40"/>
  <c r="C74" i="40"/>
  <c r="D63" i="40"/>
  <c r="AF122" i="38"/>
  <c r="AF133" i="38"/>
  <c r="S15" i="39"/>
  <c r="S16" i="39"/>
  <c r="T11" i="39"/>
  <c r="F169" i="38"/>
  <c r="R6" i="39"/>
  <c r="F21" i="38"/>
  <c r="AH129" i="38" l="1"/>
  <c r="AH121" i="38"/>
  <c r="AH134" i="38" s="1"/>
  <c r="AH92" i="38"/>
  <c r="AH87" i="38"/>
  <c r="AH104" i="38" s="1"/>
  <c r="AJ103" i="38"/>
  <c r="AR149" i="38"/>
  <c r="I149" i="38"/>
  <c r="I150" i="38" s="1"/>
  <c r="D141" i="38"/>
  <c r="E146" i="38"/>
  <c r="E148" i="38"/>
  <c r="D142" i="38"/>
  <c r="AO191" i="38"/>
  <c r="AP191" i="38" s="1"/>
  <c r="AV134" i="38"/>
  <c r="AG87" i="38"/>
  <c r="AL12" i="38"/>
  <c r="AK13" i="38"/>
  <c r="AK5" i="38" s="1"/>
  <c r="AT26" i="38"/>
  <c r="AT112" i="38"/>
  <c r="AJ10" i="39"/>
  <c r="G146" i="38"/>
  <c r="AJ84" i="38"/>
  <c r="S38" i="44"/>
  <c r="F31" i="38"/>
  <c r="F22" i="38"/>
  <c r="F30" i="38"/>
  <c r="F29" i="38"/>
  <c r="AE141" i="38"/>
  <c r="AE139" i="38"/>
  <c r="AE27" i="38"/>
  <c r="AB30" i="38"/>
  <c r="AB31" i="38"/>
  <c r="AB29" i="38"/>
  <c r="AB22" i="38"/>
  <c r="AB23" i="38"/>
  <c r="AE143" i="38"/>
  <c r="AJ23" i="44"/>
  <c r="T16" i="39"/>
  <c r="T15" i="39"/>
  <c r="AK153" i="38"/>
  <c r="AJ152" i="38"/>
  <c r="P147" i="38"/>
  <c r="T148" i="38" s="1"/>
  <c r="O143" i="38"/>
  <c r="AI151" i="38"/>
  <c r="AJ154" i="38"/>
  <c r="AK4" i="38"/>
  <c r="F185" i="38"/>
  <c r="F189" i="38" s="1"/>
  <c r="P145" i="38"/>
  <c r="O141" i="38"/>
  <c r="AL105" i="38"/>
  <c r="H130" i="38"/>
  <c r="U148" i="38"/>
  <c r="Q149" i="38"/>
  <c r="D149" i="38" s="1"/>
  <c r="U146" i="38"/>
  <c r="T30" i="39"/>
  <c r="D85" i="39"/>
  <c r="D91" i="39" s="1"/>
  <c r="D83" i="39"/>
  <c r="D82" i="39"/>
  <c r="E82" i="39"/>
  <c r="H81" i="39"/>
  <c r="S31" i="39"/>
  <c r="S32" i="39"/>
  <c r="R8" i="39"/>
  <c r="R3" i="39"/>
  <c r="R7" i="39"/>
  <c r="F6" i="40"/>
  <c r="I8" i="1" s="1"/>
  <c r="I11" i="1" s="1"/>
  <c r="AF137" i="38"/>
  <c r="G137" i="38" s="1"/>
  <c r="U14" i="39"/>
  <c r="AE178" i="38"/>
  <c r="AE138" i="38"/>
  <c r="AE177" i="38"/>
  <c r="AE142" i="38"/>
  <c r="E80" i="40"/>
  <c r="E77" i="40"/>
  <c r="E75" i="40"/>
  <c r="E79" i="40"/>
  <c r="AM59" i="38"/>
  <c r="C80" i="40"/>
  <c r="C77" i="40"/>
  <c r="C79" i="40"/>
  <c r="D75" i="40"/>
  <c r="R22" i="39"/>
  <c r="AB162" i="38"/>
  <c r="F162" i="38" s="1"/>
  <c r="F163" i="38" s="1"/>
  <c r="AG145" i="38"/>
  <c r="R142" i="38"/>
  <c r="R156" i="38"/>
  <c r="V150" i="38"/>
  <c r="F31" i="40"/>
  <c r="R37" i="44"/>
  <c r="R38" i="44" s="1"/>
  <c r="AJ34" i="44"/>
  <c r="AG147" i="38"/>
  <c r="AG104" i="38" l="1"/>
  <c r="H8" i="14"/>
  <c r="H26" i="14"/>
  <c r="AV133" i="38"/>
  <c r="AQ191" i="38"/>
  <c r="J149" i="38"/>
  <c r="J150" i="38" s="1"/>
  <c r="AV149" i="38"/>
  <c r="AK103" i="38"/>
  <c r="AJ102" i="38"/>
  <c r="E150" i="38"/>
  <c r="D143" i="38"/>
  <c r="AM12" i="38"/>
  <c r="AL13" i="38"/>
  <c r="AL5" i="38" s="1"/>
  <c r="AH93" i="38"/>
  <c r="R9" i="39"/>
  <c r="R91" i="39"/>
  <c r="R73" i="39"/>
  <c r="R45" i="39"/>
  <c r="G143" i="38"/>
  <c r="G142" i="38"/>
  <c r="G138" i="38"/>
  <c r="G141" i="38"/>
  <c r="R54" i="39"/>
  <c r="R55" i="39" s="1"/>
  <c r="F186" i="38"/>
  <c r="F190" i="38" s="1"/>
  <c r="R58" i="39"/>
  <c r="F58" i="40" s="1"/>
  <c r="F187" i="38"/>
  <c r="F191" i="38" s="1"/>
  <c r="F165" i="38"/>
  <c r="AB163" i="38"/>
  <c r="AB164" i="38"/>
  <c r="AF143" i="38"/>
  <c r="AF139" i="38"/>
  <c r="AF27" i="38"/>
  <c r="G27" i="38" s="1"/>
  <c r="AB165" i="38"/>
  <c r="AF141" i="38"/>
  <c r="Q142" i="38"/>
  <c r="Q156" i="38"/>
  <c r="U150" i="38"/>
  <c r="AL4" i="38"/>
  <c r="U30" i="39"/>
  <c r="T37" i="44"/>
  <c r="T38" i="44" s="1"/>
  <c r="E85" i="40"/>
  <c r="E91" i="40" s="1"/>
  <c r="E81" i="40"/>
  <c r="E83" i="40"/>
  <c r="C83" i="40"/>
  <c r="C85" i="40"/>
  <c r="C91" i="40" s="1"/>
  <c r="D81" i="40"/>
  <c r="T32" i="39"/>
  <c r="T31" i="39"/>
  <c r="AJ128" i="38"/>
  <c r="AJ121" i="38" s="1"/>
  <c r="O145" i="38"/>
  <c r="N141" i="38"/>
  <c r="F104" i="40"/>
  <c r="R4" i="39"/>
  <c r="R5" i="39"/>
  <c r="R29" i="39"/>
  <c r="R13" i="39"/>
  <c r="R17" i="39"/>
  <c r="R33" i="39"/>
  <c r="AL153" i="38"/>
  <c r="AK152" i="38"/>
  <c r="AH147" i="38"/>
  <c r="AH145" i="38"/>
  <c r="R25" i="39"/>
  <c r="R24" i="39"/>
  <c r="R23" i="39"/>
  <c r="R18" i="39"/>
  <c r="R34" i="39" s="1"/>
  <c r="F22" i="40"/>
  <c r="AN59" i="38"/>
  <c r="I59" i="38" s="1"/>
  <c r="I60" i="38" s="1"/>
  <c r="U15" i="39"/>
  <c r="U16" i="39"/>
  <c r="V14" i="39"/>
  <c r="AF178" i="38"/>
  <c r="G178" i="38" s="1"/>
  <c r="G176" i="38" s="1"/>
  <c r="AF138" i="38"/>
  <c r="AF177" i="38"/>
  <c r="G177" i="38" s="1"/>
  <c r="AF142" i="38"/>
  <c r="F3" i="40"/>
  <c r="F7" i="40"/>
  <c r="P149" i="38"/>
  <c r="T146" i="38"/>
  <c r="R50" i="39"/>
  <c r="AB181" i="38"/>
  <c r="F181" i="38" s="1"/>
  <c r="F182" i="38" s="1"/>
  <c r="O147" i="38"/>
  <c r="S148" i="38" s="1"/>
  <c r="N143" i="38"/>
  <c r="AM105" i="38"/>
  <c r="AI84" i="38"/>
  <c r="H84" i="38" s="1"/>
  <c r="AJ37" i="44"/>
  <c r="AJ38" i="44" s="1"/>
  <c r="AG137" i="38"/>
  <c r="AH122" i="38"/>
  <c r="AH109" i="38"/>
  <c r="AH133" i="38"/>
  <c r="AJ151" i="38"/>
  <c r="AK154" i="38"/>
  <c r="K63" i="32"/>
  <c r="L63" i="32"/>
  <c r="M63" i="32"/>
  <c r="N63" i="32"/>
  <c r="K62" i="32"/>
  <c r="L62" i="32"/>
  <c r="M62" i="32"/>
  <c r="N62" i="32"/>
  <c r="D9" i="14"/>
  <c r="D8" i="14"/>
  <c r="AJ129" i="38" l="1"/>
  <c r="K149" i="38"/>
  <c r="AN12" i="38"/>
  <c r="AM13" i="38"/>
  <c r="AM5" i="38" s="1"/>
  <c r="H102" i="38"/>
  <c r="H103" i="38" s="1"/>
  <c r="AR191" i="38"/>
  <c r="AS191" i="38" s="1"/>
  <c r="AL103" i="38"/>
  <c r="AK102" i="38"/>
  <c r="AK86" i="38" s="1"/>
  <c r="R60" i="39"/>
  <c r="R59" i="39"/>
  <c r="R61" i="39"/>
  <c r="F54" i="40"/>
  <c r="F57" i="40" s="1"/>
  <c r="R56" i="39"/>
  <c r="R57" i="39"/>
  <c r="AK84" i="38"/>
  <c r="AK90" i="38" s="1"/>
  <c r="H90" i="38"/>
  <c r="AB182" i="38"/>
  <c r="AB183" i="38"/>
  <c r="AG143" i="38"/>
  <c r="AG27" i="38"/>
  <c r="AG139" i="38"/>
  <c r="AH113" i="38"/>
  <c r="AH26" i="38"/>
  <c r="F9" i="40"/>
  <c r="AG141" i="38"/>
  <c r="V37" i="44"/>
  <c r="AK151" i="38"/>
  <c r="AL154" i="38"/>
  <c r="V15" i="39"/>
  <c r="V16" i="39"/>
  <c r="AI145" i="38"/>
  <c r="F70" i="40"/>
  <c r="I31" i="1" s="1"/>
  <c r="R71" i="39"/>
  <c r="R72" i="39"/>
  <c r="AM4" i="38"/>
  <c r="R35" i="39"/>
  <c r="R36" i="39"/>
  <c r="R37" i="39"/>
  <c r="R53" i="39"/>
  <c r="R52" i="39"/>
  <c r="R46" i="39"/>
  <c r="R62" i="39" s="1"/>
  <c r="R108" i="39" s="1"/>
  <c r="R51" i="39"/>
  <c r="F50" i="40"/>
  <c r="I22" i="1" s="1"/>
  <c r="F42" i="40"/>
  <c r="I21" i="1" s="1"/>
  <c r="R43" i="39"/>
  <c r="R44" i="39"/>
  <c r="AI90" i="38"/>
  <c r="AJ90" i="38"/>
  <c r="P142" i="38"/>
  <c r="P156" i="38"/>
  <c r="T150" i="38"/>
  <c r="AO59" i="38"/>
  <c r="AS59" i="38" s="1"/>
  <c r="F59" i="40"/>
  <c r="F61" i="40"/>
  <c r="V30" i="39"/>
  <c r="F23" i="40"/>
  <c r="F25" i="40"/>
  <c r="AM153" i="38"/>
  <c r="AL152" i="38"/>
  <c r="U31" i="39"/>
  <c r="U32" i="39"/>
  <c r="AN105" i="38"/>
  <c r="F4" i="40"/>
  <c r="F29" i="40"/>
  <c r="F13" i="40"/>
  <c r="F17" i="40"/>
  <c r="F33" i="40"/>
  <c r="AH137" i="38"/>
  <c r="X10" i="39"/>
  <c r="AH110" i="38"/>
  <c r="AH112" i="38"/>
  <c r="N147" i="38"/>
  <c r="R148" i="38" s="1"/>
  <c r="M143" i="38"/>
  <c r="M147" i="38" s="1"/>
  <c r="R21" i="39"/>
  <c r="R20" i="39"/>
  <c r="R19" i="39"/>
  <c r="F18" i="40"/>
  <c r="I13" i="1" s="1"/>
  <c r="N145" i="38"/>
  <c r="M141" i="38"/>
  <c r="M145" i="38" s="1"/>
  <c r="W14" i="39"/>
  <c r="AG178" i="38"/>
  <c r="AG138" i="38"/>
  <c r="AG177" i="38"/>
  <c r="AG142" i="38"/>
  <c r="AI147" i="38"/>
  <c r="O149" i="38"/>
  <c r="S146" i="38"/>
  <c r="G14" i="40"/>
  <c r="J10" i="1" s="1"/>
  <c r="C147" i="38" l="1"/>
  <c r="D148" i="38" s="1"/>
  <c r="AT191" i="38"/>
  <c r="AU191" i="38" s="1"/>
  <c r="AV191" i="38" s="1"/>
  <c r="H14" i="14"/>
  <c r="H9" i="14"/>
  <c r="AK87" i="38"/>
  <c r="AO12" i="38"/>
  <c r="AN13" i="38"/>
  <c r="AN5" i="38" s="1"/>
  <c r="I5" i="38" s="1"/>
  <c r="I13" i="38" s="1"/>
  <c r="C145" i="38"/>
  <c r="K150" i="38"/>
  <c r="AM103" i="38"/>
  <c r="AL102" i="38"/>
  <c r="I23" i="1"/>
  <c r="H15" i="14" s="1"/>
  <c r="F55" i="40"/>
  <c r="AJ134" i="38"/>
  <c r="AM84" i="38"/>
  <c r="V38" i="44"/>
  <c r="AH141" i="38"/>
  <c r="AH139" i="38"/>
  <c r="AH27" i="38"/>
  <c r="F105" i="40"/>
  <c r="AH143" i="38"/>
  <c r="AM154" i="38"/>
  <c r="AL151" i="38"/>
  <c r="AO105" i="38"/>
  <c r="AL128" i="38"/>
  <c r="G15" i="40"/>
  <c r="F73" i="40"/>
  <c r="F71" i="40"/>
  <c r="AJ147" i="38"/>
  <c r="H147" i="38" s="1"/>
  <c r="H148" i="38" s="1"/>
  <c r="F21" i="40"/>
  <c r="F19" i="40"/>
  <c r="W15" i="39"/>
  <c r="W16" i="39"/>
  <c r="V31" i="39"/>
  <c r="V32" i="39"/>
  <c r="M149" i="38"/>
  <c r="Q146" i="38"/>
  <c r="X11" i="39"/>
  <c r="AN4" i="38"/>
  <c r="I4" i="38" s="1"/>
  <c r="I12" i="38" s="1"/>
  <c r="AI137" i="38"/>
  <c r="AJ122" i="38"/>
  <c r="AJ133" i="38"/>
  <c r="AP59" i="38"/>
  <c r="AT59" i="38" s="1"/>
  <c r="AJ145" i="38"/>
  <c r="H145" i="38" s="1"/>
  <c r="F46" i="40"/>
  <c r="F53" i="40"/>
  <c r="F51" i="40"/>
  <c r="U37" i="44"/>
  <c r="U38" i="44" s="1"/>
  <c r="X14" i="39"/>
  <c r="AH178" i="38"/>
  <c r="AH138" i="38"/>
  <c r="AH177" i="38"/>
  <c r="AH142" i="38"/>
  <c r="F34" i="40"/>
  <c r="G30" i="40"/>
  <c r="Q148" i="38"/>
  <c r="R47" i="39"/>
  <c r="R49" i="39"/>
  <c r="R48" i="39"/>
  <c r="N149" i="38"/>
  <c r="R146" i="38"/>
  <c r="W30" i="39"/>
  <c r="O156" i="38"/>
  <c r="O142" i="38"/>
  <c r="S150" i="38"/>
  <c r="AM152" i="38"/>
  <c r="AN153" i="38"/>
  <c r="F45" i="40"/>
  <c r="F43" i="40"/>
  <c r="C142" i="38" l="1"/>
  <c r="AL129" i="38"/>
  <c r="AL121" i="38"/>
  <c r="AK104" i="38"/>
  <c r="D146" i="38"/>
  <c r="C141" i="38"/>
  <c r="C149" i="38"/>
  <c r="AN103" i="38"/>
  <c r="AL86" i="38"/>
  <c r="AP12" i="38"/>
  <c r="AO13" i="38"/>
  <c r="AO5" i="38" s="1"/>
  <c r="H146" i="38"/>
  <c r="AL84" i="38"/>
  <c r="AL90" i="38" s="1"/>
  <c r="AI143" i="38"/>
  <c r="AI139" i="38"/>
  <c r="AI27" i="38"/>
  <c r="X15" i="39"/>
  <c r="X16" i="39"/>
  <c r="AO4" i="38"/>
  <c r="AM151" i="38"/>
  <c r="AN154" i="38"/>
  <c r="G31" i="40"/>
  <c r="AJ137" i="38"/>
  <c r="H137" i="38" s="1"/>
  <c r="H141" i="38" s="1"/>
  <c r="F37" i="40"/>
  <c r="F35" i="40"/>
  <c r="AK145" i="38"/>
  <c r="AR59" i="38"/>
  <c r="AQ59" i="38"/>
  <c r="AU59" i="38" s="1"/>
  <c r="M156" i="38"/>
  <c r="M142" i="38"/>
  <c r="Q150" i="38"/>
  <c r="AP105" i="38"/>
  <c r="W32" i="39"/>
  <c r="W31" i="39"/>
  <c r="AO153" i="38"/>
  <c r="AN152" i="38"/>
  <c r="X30" i="39"/>
  <c r="Y14" i="39"/>
  <c r="AI178" i="38"/>
  <c r="AI138" i="38"/>
  <c r="AI177" i="38"/>
  <c r="AI142" i="38"/>
  <c r="I130" i="38"/>
  <c r="N156" i="38"/>
  <c r="N142" i="38"/>
  <c r="R150" i="38"/>
  <c r="F49" i="40"/>
  <c r="F47" i="40"/>
  <c r="AI141" i="38"/>
  <c r="AK147" i="38"/>
  <c r="D29" i="30"/>
  <c r="D16" i="30"/>
  <c r="C143" i="38" l="1"/>
  <c r="D150" i="38"/>
  <c r="AO103" i="38"/>
  <c r="AN102" i="38"/>
  <c r="AQ12" i="38"/>
  <c r="AP13" i="38"/>
  <c r="AP5" i="38" s="1"/>
  <c r="AL87" i="38"/>
  <c r="AL93" i="38" s="1"/>
  <c r="AL92" i="38"/>
  <c r="AL134" i="38"/>
  <c r="J59" i="38"/>
  <c r="J60" i="38" s="1"/>
  <c r="AV59" i="38"/>
  <c r="K59" i="38" s="1"/>
  <c r="H143" i="38"/>
  <c r="H142" i="38"/>
  <c r="H138" i="38"/>
  <c r="AM90" i="38"/>
  <c r="AJ143" i="38"/>
  <c r="AJ139" i="38"/>
  <c r="AJ27" i="38"/>
  <c r="H27" i="38" s="1"/>
  <c r="X37" i="44"/>
  <c r="AL145" i="38"/>
  <c r="AJ141" i="38"/>
  <c r="AO154" i="38"/>
  <c r="AN151" i="38"/>
  <c r="Z14" i="39"/>
  <c r="H14" i="40" s="1"/>
  <c r="K10" i="1" s="1"/>
  <c r="AJ178" i="38"/>
  <c r="H178" i="38" s="1"/>
  <c r="H176" i="38" s="1"/>
  <c r="AJ138" i="38"/>
  <c r="AJ177" i="38"/>
  <c r="H177" i="38" s="1"/>
  <c r="AJ142" i="38"/>
  <c r="W37" i="44"/>
  <c r="W38" i="44" s="1"/>
  <c r="AK34" i="44"/>
  <c r="AL147" i="38"/>
  <c r="AN128" i="38"/>
  <c r="AN121" i="38" s="1"/>
  <c r="AP153" i="38"/>
  <c r="AO152" i="38"/>
  <c r="AK137" i="38"/>
  <c r="Y16" i="39"/>
  <c r="Y15" i="39"/>
  <c r="Y30" i="39"/>
  <c r="Y37" i="44"/>
  <c r="AC37" i="44" s="1"/>
  <c r="AT84" i="38" s="1"/>
  <c r="AQ105" i="38"/>
  <c r="X31" i="39"/>
  <c r="X32" i="39"/>
  <c r="AP4" i="38"/>
  <c r="AL122" i="38"/>
  <c r="AL109" i="38"/>
  <c r="AL112" i="38" s="1"/>
  <c r="AL133" i="38"/>
  <c r="F66" i="32"/>
  <c r="G66" i="32"/>
  <c r="H66" i="32"/>
  <c r="I66" i="32"/>
  <c r="F86" i="32"/>
  <c r="F34" i="32"/>
  <c r="D53" i="3"/>
  <c r="D61" i="3" s="1"/>
  <c r="E50" i="3"/>
  <c r="F50" i="3"/>
  <c r="G50" i="3"/>
  <c r="D50" i="3"/>
  <c r="D43" i="3"/>
  <c r="D33" i="3"/>
  <c r="D15" i="3"/>
  <c r="F60" i="1"/>
  <c r="E15" i="1"/>
  <c r="K60" i="38" l="1"/>
  <c r="AN129" i="38"/>
  <c r="D66" i="3"/>
  <c r="X38" i="44"/>
  <c r="AB37" i="44"/>
  <c r="AS84" i="38" s="1"/>
  <c r="AT90" i="38" s="1"/>
  <c r="AL104" i="38"/>
  <c r="I102" i="38"/>
  <c r="I103" i="38" s="1"/>
  <c r="AP103" i="38"/>
  <c r="AO102" i="38"/>
  <c r="AO86" i="38" s="1"/>
  <c r="AR12" i="38"/>
  <c r="AR4" i="38" s="1"/>
  <c r="AQ13" i="38"/>
  <c r="AQ5" i="38" s="1"/>
  <c r="AL113" i="38"/>
  <c r="AP84" i="38"/>
  <c r="Y38" i="44"/>
  <c r="AO84" i="38"/>
  <c r="AN84" i="38"/>
  <c r="I84" i="38" s="1"/>
  <c r="AK37" i="44"/>
  <c r="AK38" i="44" s="1"/>
  <c r="AK141" i="38"/>
  <c r="AK27" i="38"/>
  <c r="AK139" i="38"/>
  <c r="AL26" i="38"/>
  <c r="H15" i="40"/>
  <c r="AB10" i="39"/>
  <c r="AL110" i="38"/>
  <c r="Z37" i="44"/>
  <c r="AD37" i="44" s="1"/>
  <c r="AU84" i="38" s="1"/>
  <c r="AU90" i="38" s="1"/>
  <c r="Y32" i="39"/>
  <c r="Y31" i="39"/>
  <c r="AK143" i="38"/>
  <c r="AQ4" i="38"/>
  <c r="Z15" i="39"/>
  <c r="Z16" i="39"/>
  <c r="Z30" i="39"/>
  <c r="AA14" i="39"/>
  <c r="AK178" i="38"/>
  <c r="AK138" i="38"/>
  <c r="AK177" i="38"/>
  <c r="AK142" i="38"/>
  <c r="AL137" i="38"/>
  <c r="AR105" i="38"/>
  <c r="AQ153" i="38"/>
  <c r="AP152" i="38"/>
  <c r="AP154" i="38"/>
  <c r="AO151" i="38"/>
  <c r="AM145" i="38"/>
  <c r="AM147" i="38"/>
  <c r="E17" i="1"/>
  <c r="E16" i="1"/>
  <c r="D34" i="3"/>
  <c r="D51" i="3"/>
  <c r="D62" i="3" s="1"/>
  <c r="E26" i="1"/>
  <c r="AP90" i="38" l="1"/>
  <c r="AO87" i="38"/>
  <c r="J4" i="38"/>
  <c r="J12" i="38" s="1"/>
  <c r="AQ103" i="38"/>
  <c r="AP102" i="38"/>
  <c r="AP86" i="38" s="1"/>
  <c r="AS105" i="38"/>
  <c r="AS12" i="38"/>
  <c r="AR13" i="38"/>
  <c r="AR5" i="38" s="1"/>
  <c r="AN90" i="38"/>
  <c r="AQ84" i="38"/>
  <c r="AQ90" i="38" s="1"/>
  <c r="Z38" i="44"/>
  <c r="AO90" i="38"/>
  <c r="I90" i="38"/>
  <c r="AL143" i="38"/>
  <c r="AL27" i="38"/>
  <c r="AL139" i="38"/>
  <c r="AL141" i="38"/>
  <c r="AN134" i="38"/>
  <c r="AB11" i="39"/>
  <c r="AP128" i="38"/>
  <c r="AP121" i="38" s="1"/>
  <c r="Z31" i="39"/>
  <c r="Z32" i="39"/>
  <c r="AA15" i="39"/>
  <c r="AA16" i="39"/>
  <c r="AN122" i="38"/>
  <c r="AN133" i="38"/>
  <c r="AR153" i="38"/>
  <c r="AR152" i="38" s="1"/>
  <c r="AQ152" i="38"/>
  <c r="AA30" i="39"/>
  <c r="AM137" i="38"/>
  <c r="H30" i="40"/>
  <c r="AN147" i="38"/>
  <c r="I147" i="38" s="1"/>
  <c r="I148" i="38" s="1"/>
  <c r="AP151" i="38"/>
  <c r="AQ154" i="38"/>
  <c r="AN145" i="38"/>
  <c r="I145" i="38" s="1"/>
  <c r="AB14" i="39"/>
  <c r="AL178" i="38"/>
  <c r="AL138" i="38"/>
  <c r="AL177" i="38"/>
  <c r="AL142" i="38"/>
  <c r="E33" i="1"/>
  <c r="E27" i="1"/>
  <c r="D67" i="3"/>
  <c r="D63" i="3"/>
  <c r="D27" i="16"/>
  <c r="D8" i="16"/>
  <c r="AP129" i="38" l="1"/>
  <c r="AT129" i="38"/>
  <c r="AR103" i="38"/>
  <c r="AP87" i="38"/>
  <c r="AP92" i="38"/>
  <c r="J5" i="38"/>
  <c r="J13" i="38" s="1"/>
  <c r="AO104" i="38"/>
  <c r="AT12" i="38"/>
  <c r="AS13" i="38"/>
  <c r="AS5" i="38" s="1"/>
  <c r="AS4" i="38"/>
  <c r="AT105" i="38"/>
  <c r="I146" i="38"/>
  <c r="AM143" i="38"/>
  <c r="AM139" i="38"/>
  <c r="AM27" i="38"/>
  <c r="AQ151" i="38"/>
  <c r="AR154" i="38"/>
  <c r="AR151" i="38" s="1"/>
  <c r="AM141" i="38"/>
  <c r="AA31" i="39"/>
  <c r="AA32" i="39"/>
  <c r="X40" i="39"/>
  <c r="AO147" i="38"/>
  <c r="AS147" i="38" s="1"/>
  <c r="AB16" i="39"/>
  <c r="AB15" i="39"/>
  <c r="AA37" i="44"/>
  <c r="AL34" i="44"/>
  <c r="AM178" i="38"/>
  <c r="AC14" i="39"/>
  <c r="AM138" i="38"/>
  <c r="AM177" i="38"/>
  <c r="AM142" i="38"/>
  <c r="AB30" i="39"/>
  <c r="AN137" i="38"/>
  <c r="I137" i="38" s="1"/>
  <c r="AO145" i="38"/>
  <c r="AS145" i="38" s="1"/>
  <c r="H31" i="40"/>
  <c r="E37" i="1"/>
  <c r="E34" i="1"/>
  <c r="AA38" i="44" l="1"/>
  <c r="AE37" i="44"/>
  <c r="AV84" i="38" s="1"/>
  <c r="AU105" i="38"/>
  <c r="AP104" i="38"/>
  <c r="AP93" i="38"/>
  <c r="AS137" i="38"/>
  <c r="AI14" i="39" s="1"/>
  <c r="AU12" i="38"/>
  <c r="AT13" i="38"/>
  <c r="AT5" i="38" s="1"/>
  <c r="AT4" i="38"/>
  <c r="AS103" i="38"/>
  <c r="AR102" i="38"/>
  <c r="AT122" i="38"/>
  <c r="AR128" i="38"/>
  <c r="AR121" i="38" s="1"/>
  <c r="J130" i="38"/>
  <c r="I142" i="38"/>
  <c r="I143" i="38"/>
  <c r="I138" i="38"/>
  <c r="I141" i="38"/>
  <c r="AR84" i="38"/>
  <c r="AL37" i="44"/>
  <c r="AL38" i="44" s="1"/>
  <c r="AN139" i="38"/>
  <c r="AN27" i="38"/>
  <c r="I27" i="38" s="1"/>
  <c r="AN143" i="38"/>
  <c r="AB32" i="39"/>
  <c r="AB31" i="39"/>
  <c r="AO137" i="38"/>
  <c r="AP145" i="38"/>
  <c r="AT145" i="38" s="1"/>
  <c r="AP147" i="38"/>
  <c r="AT147" i="38" s="1"/>
  <c r="AP122" i="38"/>
  <c r="AP109" i="38"/>
  <c r="AP113" i="38" s="1"/>
  <c r="AP133" i="38"/>
  <c r="Y40" i="39"/>
  <c r="AP134" i="38"/>
  <c r="AD14" i="39"/>
  <c r="AN178" i="38"/>
  <c r="I178" i="38" s="1"/>
  <c r="I176" i="38" s="1"/>
  <c r="AN138" i="38"/>
  <c r="AN177" i="38"/>
  <c r="I177" i="38" s="1"/>
  <c r="AN142" i="38"/>
  <c r="AC30" i="39"/>
  <c r="AN141" i="38"/>
  <c r="AC15" i="39"/>
  <c r="AC16" i="39"/>
  <c r="E39" i="1"/>
  <c r="E52" i="1" s="1"/>
  <c r="E59" i="1"/>
  <c r="E48" i="1"/>
  <c r="E50" i="1" s="1"/>
  <c r="E58" i="1"/>
  <c r="AR129" i="38" l="1"/>
  <c r="AV129" i="38"/>
  <c r="AS141" i="38"/>
  <c r="AV90" i="38"/>
  <c r="K84" i="38"/>
  <c r="AS138" i="38"/>
  <c r="AS178" i="38"/>
  <c r="AS27" i="38"/>
  <c r="AS177" i="38"/>
  <c r="AI30" i="39" s="1"/>
  <c r="AS142" i="38"/>
  <c r="AV12" i="38"/>
  <c r="AU13" i="38"/>
  <c r="AU5" i="38" s="1"/>
  <c r="AU4" i="38"/>
  <c r="J102" i="38"/>
  <c r="J103" i="38" s="1"/>
  <c r="AS143" i="38"/>
  <c r="AT143" i="38"/>
  <c r="AT103" i="38"/>
  <c r="AS102" i="38"/>
  <c r="AT137" i="38"/>
  <c r="AJ14" i="39" s="1"/>
  <c r="AJ16" i="39" s="1"/>
  <c r="AV105" i="38"/>
  <c r="AP112" i="38"/>
  <c r="AT110" i="38"/>
  <c r="J84" i="38"/>
  <c r="AS90" i="38"/>
  <c r="AR122" i="38"/>
  <c r="AR90" i="38"/>
  <c r="AO141" i="38"/>
  <c r="AO27" i="38"/>
  <c r="AO139" i="38"/>
  <c r="AP26" i="38"/>
  <c r="E61" i="1"/>
  <c r="K41" i="32"/>
  <c r="AO143" i="38"/>
  <c r="AR147" i="38"/>
  <c r="AQ147" i="38"/>
  <c r="AU147" i="38" s="1"/>
  <c r="AP137" i="38"/>
  <c r="AD30" i="39"/>
  <c r="AR145" i="38"/>
  <c r="AV145" i="38" s="1"/>
  <c r="AQ145" i="38"/>
  <c r="AU145" i="38" s="1"/>
  <c r="AE14" i="39"/>
  <c r="AI15" i="39" s="1"/>
  <c r="AO178" i="38"/>
  <c r="AO138" i="38"/>
  <c r="AO177" i="38"/>
  <c r="AO142" i="38"/>
  <c r="AF10" i="39"/>
  <c r="AJ11" i="39" s="1"/>
  <c r="AP110" i="38"/>
  <c r="AD16" i="39"/>
  <c r="AD15" i="39"/>
  <c r="I14" i="40"/>
  <c r="L10" i="1" s="1"/>
  <c r="AC31" i="39"/>
  <c r="AC32" i="39"/>
  <c r="Z40" i="39"/>
  <c r="E40" i="1"/>
  <c r="E45" i="1"/>
  <c r="E44" i="1"/>
  <c r="AT141" i="38" l="1"/>
  <c r="J90" i="38"/>
  <c r="K90" i="38"/>
  <c r="AU137" i="38"/>
  <c r="K145" i="38"/>
  <c r="AS86" i="38"/>
  <c r="AV13" i="38"/>
  <c r="AV5" i="38" s="1"/>
  <c r="K5" i="38" s="1"/>
  <c r="K13" i="38" s="1"/>
  <c r="AV4" i="38"/>
  <c r="K4" i="38" s="1"/>
  <c r="K12" i="38" s="1"/>
  <c r="AT27" i="38"/>
  <c r="AT139" i="38"/>
  <c r="AT178" i="38"/>
  <c r="AT138" i="38"/>
  <c r="AT142" i="38"/>
  <c r="AT177" i="38"/>
  <c r="AJ30" i="39" s="1"/>
  <c r="J147" i="38"/>
  <c r="J148" i="38" s="1"/>
  <c r="AV147" i="38"/>
  <c r="AU103" i="38"/>
  <c r="AT102" i="38"/>
  <c r="AR133" i="38"/>
  <c r="AV122" i="38"/>
  <c r="AR134" i="38"/>
  <c r="J145" i="38"/>
  <c r="J146" i="38" s="1"/>
  <c r="AP141" i="38"/>
  <c r="AP139" i="38"/>
  <c r="AP27" i="38"/>
  <c r="L41" i="32"/>
  <c r="AQ137" i="38"/>
  <c r="AR137" i="38"/>
  <c r="AE30" i="39"/>
  <c r="AI31" i="39" s="1"/>
  <c r="AD31" i="39"/>
  <c r="AD32" i="39"/>
  <c r="I30" i="40"/>
  <c r="I15" i="40"/>
  <c r="AF11" i="39"/>
  <c r="AP178" i="38"/>
  <c r="AF14" i="39"/>
  <c r="AJ15" i="39" s="1"/>
  <c r="AP138" i="38"/>
  <c r="AP177" i="38"/>
  <c r="AP142" i="38"/>
  <c r="AE15" i="39"/>
  <c r="AE16" i="39"/>
  <c r="AP143" i="38"/>
  <c r="AU141" i="38" l="1"/>
  <c r="AK14" i="39"/>
  <c r="AK16" i="39" s="1"/>
  <c r="AU139" i="38"/>
  <c r="AU143" i="38"/>
  <c r="AJ32" i="39"/>
  <c r="AV103" i="38"/>
  <c r="AV102" i="38" s="1"/>
  <c r="K102" i="38" s="1"/>
  <c r="K103" i="38" s="1"/>
  <c r="K146" i="38"/>
  <c r="AS87" i="38"/>
  <c r="AS104" i="38" s="1"/>
  <c r="J137" i="38"/>
  <c r="J143" i="38" s="1"/>
  <c r="AS139" i="38"/>
  <c r="AU138" i="38"/>
  <c r="AU27" i="38"/>
  <c r="AU178" i="38"/>
  <c r="AU142" i="38"/>
  <c r="AU177" i="38"/>
  <c r="AK30" i="39" s="1"/>
  <c r="AK32" i="39" s="1"/>
  <c r="AV137" i="38"/>
  <c r="AL14" i="39" s="1"/>
  <c r="K147" i="38"/>
  <c r="AT86" i="38"/>
  <c r="AR143" i="38"/>
  <c r="AR139" i="38"/>
  <c r="AR27" i="38"/>
  <c r="AQ27" i="38"/>
  <c r="AQ139" i="38"/>
  <c r="M41" i="32"/>
  <c r="AR141" i="38"/>
  <c r="AQ178" i="38"/>
  <c r="AG14" i="39"/>
  <c r="AQ138" i="38"/>
  <c r="AQ177" i="38"/>
  <c r="AQ142" i="38"/>
  <c r="AQ141" i="38"/>
  <c r="AF30" i="39"/>
  <c r="AJ31" i="39" s="1"/>
  <c r="AF15" i="39"/>
  <c r="AF16" i="39"/>
  <c r="AH14" i="39"/>
  <c r="AR178" i="38"/>
  <c r="AR138" i="38"/>
  <c r="AR177" i="38"/>
  <c r="AR142" i="38"/>
  <c r="AQ143" i="38"/>
  <c r="I31" i="40"/>
  <c r="AE32" i="39"/>
  <c r="AE31" i="39"/>
  <c r="E63" i="30"/>
  <c r="D63" i="30"/>
  <c r="E55" i="30"/>
  <c r="F55" i="30"/>
  <c r="D55" i="30"/>
  <c r="E35" i="30"/>
  <c r="F35" i="30"/>
  <c r="D35" i="30"/>
  <c r="D30" i="30" s="1"/>
  <c r="F29" i="30"/>
  <c r="E29" i="30"/>
  <c r="AK15" i="39" l="1"/>
  <c r="J141" i="38"/>
  <c r="J177" i="38"/>
  <c r="J138" i="38"/>
  <c r="J178" i="38"/>
  <c r="J176" i="38" s="1"/>
  <c r="J142" i="38"/>
  <c r="K14" i="40"/>
  <c r="N10" i="1" s="1"/>
  <c r="AL16" i="39"/>
  <c r="AV143" i="38"/>
  <c r="N41" i="32"/>
  <c r="O41" i="32"/>
  <c r="AT92" i="38"/>
  <c r="AT87" i="38"/>
  <c r="AT93" i="38" s="1"/>
  <c r="K148" i="38"/>
  <c r="AV138" i="38"/>
  <c r="AV27" i="38"/>
  <c r="K27" i="38" s="1"/>
  <c r="AV139" i="38"/>
  <c r="AV178" i="38"/>
  <c r="K178" i="38" s="1"/>
  <c r="AV177" i="38"/>
  <c r="AV142" i="38"/>
  <c r="AV141" i="38"/>
  <c r="K137" i="38"/>
  <c r="K142" i="38" s="1"/>
  <c r="AI16" i="39"/>
  <c r="AL15" i="39"/>
  <c r="J27" i="38"/>
  <c r="AG16" i="39"/>
  <c r="AG15" i="39"/>
  <c r="J14" i="40"/>
  <c r="AH15" i="39"/>
  <c r="AH16" i="39"/>
  <c r="AF31" i="39"/>
  <c r="AF32" i="39"/>
  <c r="AG30" i="39"/>
  <c r="AK31" i="39" s="1"/>
  <c r="AH30" i="39"/>
  <c r="D8" i="30"/>
  <c r="E30" i="30"/>
  <c r="E33" i="30" s="1"/>
  <c r="G29" i="30"/>
  <c r="AT104" i="38" l="1"/>
  <c r="K176" i="38"/>
  <c r="K177" i="38"/>
  <c r="AL30" i="39"/>
  <c r="AL31" i="39" s="1"/>
  <c r="K138" i="38"/>
  <c r="K143" i="38"/>
  <c r="K141" i="38"/>
  <c r="M10" i="1"/>
  <c r="K15" i="40"/>
  <c r="AI32" i="39"/>
  <c r="AG32" i="39"/>
  <c r="AG31" i="39"/>
  <c r="J30" i="40"/>
  <c r="J15" i="40"/>
  <c r="AH31" i="39"/>
  <c r="AH32" i="39"/>
  <c r="E8" i="30"/>
  <c r="K30" i="40" l="1"/>
  <c r="K31" i="40" s="1"/>
  <c r="AL32" i="39"/>
  <c r="J31" i="40"/>
  <c r="G34" i="32"/>
  <c r="H34" i="32"/>
  <c r="I34" i="32"/>
  <c r="D25" i="14" l="1"/>
  <c r="E25" i="14"/>
  <c r="E26" i="14" s="1"/>
  <c r="F25" i="14"/>
  <c r="F26" i="14" s="1"/>
  <c r="G25" i="14"/>
  <c r="G26" i="14" s="1"/>
  <c r="G26" i="16"/>
  <c r="E62" i="30"/>
  <c r="E65" i="30" s="1"/>
  <c r="F62" i="30"/>
  <c r="D62" i="30"/>
  <c r="D65" i="30" s="1"/>
  <c r="D14" i="16" l="1"/>
  <c r="K13" i="20"/>
  <c r="F22" i="30"/>
  <c r="E22" i="30"/>
  <c r="D22" i="30" l="1"/>
  <c r="D17" i="30" s="1"/>
  <c r="E16" i="30"/>
  <c r="F16" i="30"/>
  <c r="G86" i="32"/>
  <c r="D20" i="30" l="1"/>
  <c r="D7" i="30"/>
  <c r="D10" i="30" s="1"/>
  <c r="E17" i="30"/>
  <c r="E7" i="30" s="1"/>
  <c r="E10" i="30" s="1"/>
  <c r="F17" i="30"/>
  <c r="F7" i="30" s="1"/>
  <c r="E20" i="30" l="1"/>
  <c r="F20" i="30"/>
  <c r="E15" i="3" l="1"/>
  <c r="F15" i="3"/>
  <c r="G15" i="3"/>
  <c r="D28" i="14" l="1"/>
  <c r="E28" i="14"/>
  <c r="F28" i="14"/>
  <c r="G28" i="14"/>
  <c r="D34" i="14" l="1"/>
  <c r="E34" i="14"/>
  <c r="F34" i="14"/>
  <c r="G34" i="14"/>
  <c r="I86" i="32" l="1"/>
  <c r="H86" i="32"/>
  <c r="D26" i="14" l="1"/>
  <c r="I26" i="14" s="1"/>
  <c r="D23" i="14"/>
  <c r="I55" i="1" l="1"/>
  <c r="I54" i="1"/>
  <c r="G12" i="1"/>
  <c r="F15" i="1"/>
  <c r="F16" i="1" s="1"/>
  <c r="G15" i="1"/>
  <c r="G60" i="1"/>
  <c r="D37" i="14"/>
  <c r="E53" i="3"/>
  <c r="E61" i="3" s="1"/>
  <c r="F53" i="3"/>
  <c r="F61" i="3" s="1"/>
  <c r="G53" i="3"/>
  <c r="G61" i="3" s="1"/>
  <c r="G26" i="1" l="1"/>
  <c r="G17" i="1"/>
  <c r="F26" i="1"/>
  <c r="F27" i="1" s="1"/>
  <c r="F17" i="1"/>
  <c r="G16" i="1"/>
  <c r="K55" i="1"/>
  <c r="J54" i="1"/>
  <c r="J55" i="1"/>
  <c r="K54" i="1" l="1"/>
  <c r="L55" i="1"/>
  <c r="L54" i="1"/>
  <c r="G33" i="1"/>
  <c r="G27" i="1"/>
  <c r="F33" i="1"/>
  <c r="F34" i="1" l="1"/>
  <c r="M54" i="1"/>
  <c r="M55" i="1"/>
  <c r="F37" i="1"/>
  <c r="F39" i="1" s="1"/>
  <c r="F52" i="1" s="1"/>
  <c r="G37" i="1"/>
  <c r="G39" i="1" s="1"/>
  <c r="G52" i="1" s="1"/>
  <c r="G34" i="1"/>
  <c r="D35" i="14"/>
  <c r="F61" i="1" l="1"/>
  <c r="G58" i="1"/>
  <c r="F58" i="1"/>
  <c r="G48" i="1"/>
  <c r="G50" i="1" s="1"/>
  <c r="F48" i="1"/>
  <c r="F50" i="1" s="1"/>
  <c r="F40" i="1" l="1"/>
  <c r="G40" i="1"/>
  <c r="G61" i="1"/>
  <c r="G45" i="1"/>
  <c r="G44" i="1"/>
  <c r="F35" i="14" s="1"/>
  <c r="F45" i="1"/>
  <c r="F44" i="1"/>
  <c r="E35" i="14" s="1"/>
  <c r="G59" i="1" l="1"/>
  <c r="F59" i="1"/>
  <c r="F43" i="3" l="1"/>
  <c r="F66" i="3" s="1"/>
  <c r="G43" i="3"/>
  <c r="G66" i="3" s="1"/>
  <c r="E43" i="3"/>
  <c r="E66" i="3" s="1"/>
  <c r="D16" i="16" l="1"/>
  <c r="F33" i="3" l="1"/>
  <c r="G33" i="3"/>
  <c r="E33" i="3"/>
  <c r="D8" i="20" l="1"/>
  <c r="G9" i="14" l="1"/>
  <c r="F9" i="14"/>
  <c r="E9" i="14"/>
  <c r="I9" i="14" s="1"/>
  <c r="F8" i="14" l="1"/>
  <c r="G16" i="30"/>
  <c r="E8" i="14"/>
  <c r="G8" i="14"/>
  <c r="I8" i="14" l="1"/>
  <c r="H15" i="1"/>
  <c r="H26" i="1" l="1"/>
  <c r="H27" i="1" s="1"/>
  <c r="H17" i="1"/>
  <c r="H16" i="1" l="1"/>
  <c r="F37" i="14" l="1"/>
  <c r="G37" i="14"/>
  <c r="E37" i="14"/>
  <c r="F23" i="14"/>
  <c r="G23" i="14"/>
  <c r="E23" i="14"/>
  <c r="I52" i="3" l="1"/>
  <c r="H18" i="23"/>
  <c r="I18" i="23"/>
  <c r="J18" i="23"/>
  <c r="K18" i="23"/>
  <c r="H19" i="23"/>
  <c r="I19" i="23"/>
  <c r="J19" i="23"/>
  <c r="K19" i="23"/>
  <c r="H20" i="23"/>
  <c r="I20" i="23"/>
  <c r="J20" i="23"/>
  <c r="K20" i="23"/>
  <c r="H21" i="23"/>
  <c r="I21" i="23"/>
  <c r="J21" i="23"/>
  <c r="K21" i="23"/>
  <c r="H22" i="23"/>
  <c r="I22" i="23"/>
  <c r="J22" i="23"/>
  <c r="K22" i="23"/>
  <c r="G19" i="23"/>
  <c r="G20" i="23"/>
  <c r="G21" i="23"/>
  <c r="G22" i="23"/>
  <c r="G18" i="23"/>
  <c r="J52" i="3" l="1"/>
  <c r="D22" i="23"/>
  <c r="L52" i="3" l="1"/>
  <c r="K52" i="3"/>
  <c r="H12" i="1"/>
  <c r="F19" i="23" l="1"/>
  <c r="F20" i="23"/>
  <c r="F21" i="23"/>
  <c r="F22" i="23"/>
  <c r="F18" i="23"/>
  <c r="H17" i="23"/>
  <c r="I17" i="23"/>
  <c r="J17" i="23"/>
  <c r="K17" i="23"/>
  <c r="G17" i="23"/>
  <c r="D8" i="23" l="1"/>
  <c r="D11" i="23"/>
  <c r="D12" i="23"/>
  <c r="D13" i="23"/>
  <c r="D14" i="23"/>
  <c r="D9" i="23" l="1"/>
  <c r="E54" i="30" l="1"/>
  <c r="F54" i="30"/>
  <c r="D54" i="30"/>
  <c r="H60" i="1" l="1"/>
  <c r="D28" i="16" l="1"/>
  <c r="F37" i="16" l="1"/>
  <c r="G35" i="16"/>
  <c r="F35" i="16"/>
  <c r="I35" i="16"/>
  <c r="H35" i="16"/>
  <c r="I37" i="16"/>
  <c r="J37" i="16"/>
  <c r="K37" i="16"/>
  <c r="E35" i="16"/>
  <c r="L37" i="16"/>
  <c r="G37" i="16"/>
  <c r="H37" i="16"/>
  <c r="E37" i="16"/>
  <c r="D7" i="23"/>
  <c r="D10" i="23"/>
  <c r="E51" i="3" l="1"/>
  <c r="E62" i="3" s="1"/>
  <c r="F51" i="3"/>
  <c r="F62" i="3" s="1"/>
  <c r="E67" i="3" l="1"/>
  <c r="E34" i="3"/>
  <c r="F67" i="3"/>
  <c r="F34" i="3"/>
  <c r="G34" i="3"/>
  <c r="E63" i="3" l="1"/>
  <c r="F63" i="3"/>
  <c r="G51" i="3" l="1"/>
  <c r="G62" i="3" s="1"/>
  <c r="G63" i="3" l="1"/>
  <c r="G67" i="3"/>
  <c r="I15" i="1" l="1"/>
  <c r="I12" i="1"/>
  <c r="G7" i="30" s="1"/>
  <c r="I60" i="1"/>
  <c r="I17" i="1" l="1"/>
  <c r="I16" i="1"/>
  <c r="G17" i="30" l="1"/>
  <c r="G23" i="30" l="1"/>
  <c r="G19" i="30" l="1"/>
  <c r="F93" i="40" s="1"/>
  <c r="R93" i="39" s="1"/>
  <c r="G22" i="30" l="1"/>
  <c r="G62" i="30"/>
  <c r="G45" i="30"/>
  <c r="G64" i="30" s="1"/>
  <c r="G55" i="30"/>
  <c r="G48" i="30" l="1"/>
  <c r="H42" i="30" l="1"/>
  <c r="H33" i="1"/>
  <c r="G56" i="30" l="1"/>
  <c r="H37" i="1"/>
  <c r="D7" i="16" s="1"/>
  <c r="H34" i="1"/>
  <c r="H58" i="1" l="1"/>
  <c r="H39" i="1"/>
  <c r="H52" i="1" s="1"/>
  <c r="H48" i="1"/>
  <c r="H50" i="1" s="1"/>
  <c r="H59" i="1"/>
  <c r="G8" i="20" l="1"/>
  <c r="H40" i="1"/>
  <c r="H45" i="1"/>
  <c r="H61" i="1"/>
  <c r="H44" i="1"/>
  <c r="G35" i="14" s="1"/>
  <c r="H16" i="30" l="1"/>
  <c r="E14" i="16" l="1"/>
  <c r="G54" i="30" l="1"/>
  <c r="K109" i="32" l="1"/>
  <c r="F30" i="30" l="1"/>
  <c r="F63" i="30"/>
  <c r="D15" i="16" s="1"/>
  <c r="F65" i="30" l="1"/>
  <c r="F8" i="30"/>
  <c r="F10" i="30" s="1"/>
  <c r="F33" i="30"/>
  <c r="D17" i="16" l="1"/>
  <c r="G8" i="30"/>
  <c r="G10" i="30" s="1"/>
  <c r="D10" i="16"/>
  <c r="D12" i="16" s="1"/>
  <c r="D13" i="16" s="1"/>
  <c r="D18" i="16" l="1"/>
  <c r="G30" i="30"/>
  <c r="E17" i="16"/>
  <c r="AL85" i="38"/>
  <c r="AK85" i="38"/>
  <c r="G32" i="30" l="1"/>
  <c r="G35" i="30" s="1"/>
  <c r="H29" i="30" s="1"/>
  <c r="AM85" i="38"/>
  <c r="AK91" i="38"/>
  <c r="AL91" i="38"/>
  <c r="F94" i="40" l="1"/>
  <c r="R94" i="39" s="1"/>
  <c r="G63" i="30"/>
  <c r="AN85" i="38"/>
  <c r="I85" i="38" s="1"/>
  <c r="I91" i="38" s="1"/>
  <c r="AM91" i="38"/>
  <c r="E15" i="16" l="1"/>
  <c r="G65" i="30"/>
  <c r="AN91" i="38"/>
  <c r="AO85" i="38"/>
  <c r="AO91" i="38" l="1"/>
  <c r="AP85" i="38"/>
  <c r="AQ85" i="38" l="1"/>
  <c r="AR85" i="38"/>
  <c r="AS91" i="38" s="1"/>
  <c r="AP91" i="38"/>
  <c r="J85" i="38" l="1"/>
  <c r="AQ91" i="38"/>
  <c r="AA39" i="39"/>
  <c r="AA40" i="39"/>
  <c r="AB39" i="39"/>
  <c r="AB40" i="39"/>
  <c r="AR91" i="38"/>
  <c r="J91" i="38" l="1"/>
  <c r="K91" i="38"/>
  <c r="AC39" i="39"/>
  <c r="AC40" i="39"/>
  <c r="AD39" i="39" l="1"/>
  <c r="AD40" i="39"/>
  <c r="AE39" i="39" l="1"/>
  <c r="AE40" i="39"/>
  <c r="AF39" i="39" l="1"/>
  <c r="AF40" i="39"/>
  <c r="AG39" i="39" l="1"/>
  <c r="AG40" i="39"/>
  <c r="AH39" i="39"/>
  <c r="AH40" i="39"/>
  <c r="S67" i="39" l="1"/>
  <c r="T67" i="39"/>
  <c r="U67" i="39"/>
  <c r="T68" i="39"/>
  <c r="U68" i="39"/>
  <c r="W67" i="39" l="1"/>
  <c r="X67" i="39" l="1"/>
  <c r="Y67" i="39"/>
  <c r="X68" i="39"/>
  <c r="Y68" i="39"/>
  <c r="AA67" i="39" l="1"/>
  <c r="AB67" i="39" l="1"/>
  <c r="AC67" i="39"/>
  <c r="AB68" i="39"/>
  <c r="AC68" i="39"/>
  <c r="AE67" i="39" l="1"/>
  <c r="AF67" i="39" l="1"/>
  <c r="AG67" i="39"/>
  <c r="AF68" i="39"/>
  <c r="AG68" i="39"/>
  <c r="S39" i="39" l="1"/>
  <c r="T39" i="39"/>
  <c r="U39" i="39"/>
  <c r="W39" i="39"/>
  <c r="X39" i="39"/>
  <c r="Y39" i="39"/>
  <c r="Z39" i="39"/>
  <c r="T40" i="39"/>
  <c r="U40" i="39"/>
  <c r="V40" i="39"/>
  <c r="W40" i="39"/>
  <c r="AB168" i="38" l="1"/>
  <c r="AD168" i="38" s="1"/>
  <c r="AE168" i="38" s="1"/>
  <c r="AF168" i="38" s="1"/>
  <c r="F170" i="38"/>
  <c r="F168" i="38" s="1"/>
  <c r="AG168" i="38" l="1"/>
  <c r="AH168" i="38" l="1"/>
  <c r="AI168" i="38" l="1"/>
  <c r="AJ168" i="38" l="1"/>
  <c r="AK168" i="38" l="1"/>
  <c r="AL168" i="38" l="1"/>
  <c r="AM168" i="38" l="1"/>
  <c r="AN168" i="38" l="1"/>
  <c r="AO168" i="38" l="1"/>
  <c r="AP168" i="38" l="1"/>
  <c r="AQ168" i="38" l="1"/>
  <c r="AR168" i="38" l="1"/>
  <c r="AS168" i="38" s="1"/>
  <c r="AT168" i="38" l="1"/>
  <c r="AB172" i="38"/>
  <c r="AC172" i="38" s="1"/>
  <c r="F174" i="38"/>
  <c r="F172" i="38" s="1"/>
  <c r="AU168" i="38" l="1"/>
  <c r="AD172" i="38"/>
  <c r="AV168" i="38" l="1"/>
  <c r="AE172" i="38"/>
  <c r="AD174" i="38"/>
  <c r="AD173" i="38"/>
  <c r="T26" i="39" l="1"/>
  <c r="AF172" i="38"/>
  <c r="AG172" i="38" l="1"/>
  <c r="T27" i="39"/>
  <c r="AH172" i="38" l="1"/>
  <c r="AI172" i="38" l="1"/>
  <c r="AH174" i="38"/>
  <c r="AH173" i="38"/>
  <c r="AJ172" i="38" l="1"/>
  <c r="X26" i="39"/>
  <c r="X27" i="39" l="1"/>
  <c r="AK172" i="38"/>
  <c r="AL172" i="38" l="1"/>
  <c r="AM172" i="38" l="1"/>
  <c r="AL174" i="38"/>
  <c r="AL173" i="38"/>
  <c r="AN172" i="38" l="1"/>
  <c r="AB26" i="39"/>
  <c r="AO172" i="38" l="1"/>
  <c r="AB27" i="39"/>
  <c r="AP172" i="38" l="1"/>
  <c r="AQ172" i="38" l="1"/>
  <c r="AP174" i="38"/>
  <c r="AP173" i="38"/>
  <c r="AR172" i="38" l="1"/>
  <c r="AS172" i="38" s="1"/>
  <c r="AF26" i="39"/>
  <c r="AT172" i="38" l="1"/>
  <c r="AF27" i="39"/>
  <c r="AU172" i="38" l="1"/>
  <c r="AT173" i="38"/>
  <c r="AT174" i="38"/>
  <c r="AJ26" i="39" l="1"/>
  <c r="AV172" i="38"/>
  <c r="V66" i="39"/>
  <c r="Z66" i="39" s="1"/>
  <c r="Z68" i="39" s="1"/>
  <c r="R67" i="39"/>
  <c r="R68" i="39"/>
  <c r="S68" i="39"/>
  <c r="R69" i="39"/>
  <c r="W68" i="39" l="1"/>
  <c r="V67" i="39"/>
  <c r="V68" i="39"/>
  <c r="AJ27" i="39"/>
  <c r="AD66" i="39"/>
  <c r="AA68" i="39"/>
  <c r="Z67" i="39"/>
  <c r="AD67" i="39" l="1"/>
  <c r="AD68" i="39"/>
  <c r="AE68" i="39"/>
  <c r="AH66" i="39"/>
  <c r="AL66" i="39" l="1"/>
  <c r="K66" i="40" s="1"/>
  <c r="N30" i="1" s="1"/>
  <c r="AI68" i="39"/>
  <c r="AH67" i="39"/>
  <c r="AH68" i="39"/>
  <c r="R39" i="39"/>
  <c r="V39" i="39"/>
  <c r="R40" i="39"/>
  <c r="S40" i="39"/>
  <c r="R41" i="39"/>
  <c r="R63" i="39"/>
  <c r="AL67" i="39" l="1"/>
  <c r="AL68" i="39"/>
  <c r="R65" i="39"/>
  <c r="R95" i="39"/>
  <c r="R97" i="39" s="1"/>
  <c r="R74" i="39"/>
  <c r="R76" i="39" s="1"/>
  <c r="R64" i="39"/>
  <c r="R75" i="39" l="1"/>
  <c r="R77" i="39"/>
  <c r="F78" i="40"/>
  <c r="R79" i="39"/>
  <c r="R110" i="39"/>
  <c r="R109" i="39"/>
  <c r="R111" i="39"/>
  <c r="I35" i="1"/>
  <c r="R80" i="39"/>
  <c r="E8" i="16" l="1"/>
  <c r="R81" i="39"/>
  <c r="R82" i="39"/>
  <c r="R83" i="39"/>
  <c r="H33" i="3" l="1"/>
  <c r="R117" i="39"/>
  <c r="F114" i="40"/>
  <c r="R115" i="39"/>
  <c r="R116" i="39"/>
  <c r="H50" i="3"/>
  <c r="R88" i="39"/>
  <c r="R89" i="39"/>
  <c r="F84" i="40"/>
  <c r="F89" i="40" l="1"/>
  <c r="F88" i="40"/>
  <c r="F117" i="40"/>
  <c r="F115" i="40"/>
  <c r="R120" i="39"/>
  <c r="R123" i="39"/>
  <c r="R121" i="39"/>
  <c r="R119" i="39"/>
  <c r="F118" i="40"/>
  <c r="F121" i="40" l="1"/>
  <c r="F119" i="40"/>
  <c r="H15" i="3" l="1"/>
  <c r="H43" i="3"/>
  <c r="K89" i="32"/>
  <c r="K96" i="32" s="1"/>
  <c r="E9" i="16"/>
  <c r="F38" i="40"/>
  <c r="I20" i="1" s="1"/>
  <c r="I24" i="1" s="1"/>
  <c r="I26" i="1" s="1"/>
  <c r="F66" i="40"/>
  <c r="I30" i="1" s="1"/>
  <c r="H34" i="3" l="1"/>
  <c r="H66" i="3"/>
  <c r="F69" i="40"/>
  <c r="K115" i="32"/>
  <c r="F62" i="40"/>
  <c r="F108" i="40" s="1"/>
  <c r="F111" i="40" s="1"/>
  <c r="K105" i="32"/>
  <c r="F44" i="16"/>
  <c r="D18" i="23" s="1"/>
  <c r="I27" i="1"/>
  <c r="I33" i="1"/>
  <c r="F39" i="40"/>
  <c r="F67" i="40"/>
  <c r="F41" i="40"/>
  <c r="E16" i="16"/>
  <c r="H51" i="3"/>
  <c r="F65" i="40" l="1"/>
  <c r="F63" i="40"/>
  <c r="F95" i="40"/>
  <c r="F97" i="40" s="1"/>
  <c r="F98" i="40" s="1"/>
  <c r="F74" i="40"/>
  <c r="F79" i="40" s="1"/>
  <c r="F109" i="40"/>
  <c r="I37" i="1"/>
  <c r="I34" i="1"/>
  <c r="F80" i="40"/>
  <c r="F77" i="40" l="1"/>
  <c r="F75" i="40"/>
  <c r="F83" i="40"/>
  <c r="F85" i="40"/>
  <c r="F81" i="40"/>
  <c r="I48" i="1"/>
  <c r="E7" i="16"/>
  <c r="E10" i="16" s="1"/>
  <c r="I58" i="1"/>
  <c r="E12" i="16" l="1"/>
  <c r="E13" i="16" s="1"/>
  <c r="E18" i="16" s="1"/>
  <c r="E11" i="16"/>
  <c r="I41" i="1"/>
  <c r="F91" i="40"/>
  <c r="E19" i="16" l="1"/>
  <c r="I39" i="1"/>
  <c r="I52" i="1" s="1"/>
  <c r="I49" i="1" l="1"/>
  <c r="I50" i="1" s="1"/>
  <c r="I61" i="1"/>
  <c r="I53" i="1"/>
  <c r="I45" i="1"/>
  <c r="I40" i="1"/>
  <c r="I44" i="1"/>
  <c r="H35" i="14" s="1"/>
  <c r="H8" i="20"/>
  <c r="F45" i="16"/>
  <c r="D19" i="23" s="1"/>
  <c r="H61" i="3" l="1"/>
  <c r="H62" i="3" l="1"/>
  <c r="I59" i="1"/>
  <c r="H63" i="3" l="1"/>
  <c r="H67" i="3"/>
  <c r="AC128" i="38" l="1"/>
  <c r="AC121" i="38" s="1"/>
  <c r="AG128" i="38"/>
  <c r="AK128" i="38"/>
  <c r="AC129" i="38" l="1"/>
  <c r="AC109" i="38"/>
  <c r="AC113" i="38" s="1"/>
  <c r="AC133" i="38"/>
  <c r="AC122" i="38"/>
  <c r="AK129" i="38"/>
  <c r="AK121" i="38"/>
  <c r="AG121" i="38"/>
  <c r="AG134" i="38" s="1"/>
  <c r="AG129" i="38"/>
  <c r="AC134" i="38"/>
  <c r="AO128" i="38" l="1"/>
  <c r="AS128" i="38"/>
  <c r="AK109" i="38"/>
  <c r="AK133" i="38"/>
  <c r="AK122" i="38"/>
  <c r="AK113" i="38"/>
  <c r="AK134" i="38"/>
  <c r="AG109" i="38"/>
  <c r="AG122" i="38"/>
  <c r="AG133" i="38"/>
  <c r="AC26" i="38"/>
  <c r="AC111" i="38"/>
  <c r="AC110" i="38"/>
  <c r="AC112" i="38"/>
  <c r="AC174" i="38"/>
  <c r="AD111" i="38"/>
  <c r="AC173" i="38"/>
  <c r="S10" i="39"/>
  <c r="AO129" i="38" l="1"/>
  <c r="AO121" i="38"/>
  <c r="AO134" i="38" s="1"/>
  <c r="S12" i="39"/>
  <c r="S11" i="39"/>
  <c r="T12" i="39"/>
  <c r="S26" i="39"/>
  <c r="AK110" i="38"/>
  <c r="AK26" i="38"/>
  <c r="AK112" i="38"/>
  <c r="AK174" i="38"/>
  <c r="AK173" i="38"/>
  <c r="AL111" i="38"/>
  <c r="AA10" i="39"/>
  <c r="AG110" i="38"/>
  <c r="AH111" i="38"/>
  <c r="AG26" i="38"/>
  <c r="AG173" i="38"/>
  <c r="AG112" i="38"/>
  <c r="AG174" i="38"/>
  <c r="W10" i="39"/>
  <c r="AG113" i="38"/>
  <c r="AS121" i="38"/>
  <c r="AS134" i="38" s="1"/>
  <c r="AS129" i="38"/>
  <c r="AA11" i="39" l="1"/>
  <c r="AB12" i="39"/>
  <c r="S28" i="39"/>
  <c r="S27" i="39"/>
  <c r="T28" i="39"/>
  <c r="W26" i="39"/>
  <c r="AO133" i="38"/>
  <c r="AO109" i="38"/>
  <c r="AO113" i="38" s="1"/>
  <c r="AO122" i="38"/>
  <c r="W11" i="39"/>
  <c r="X12" i="39"/>
  <c r="AS109" i="38"/>
  <c r="AS113" i="38" s="1"/>
  <c r="AS133" i="38"/>
  <c r="AS122" i="38"/>
  <c r="AA26" i="39"/>
  <c r="AS110" i="38" l="1"/>
  <c r="AS26" i="38"/>
  <c r="AT111" i="38"/>
  <c r="AS173" i="38"/>
  <c r="AS112" i="38"/>
  <c r="AS174" i="38"/>
  <c r="AI10" i="39"/>
  <c r="AO26" i="38"/>
  <c r="AP111" i="38"/>
  <c r="AO173" i="38"/>
  <c r="AO110" i="38"/>
  <c r="AO112" i="38"/>
  <c r="AO174" i="38"/>
  <c r="AE10" i="39"/>
  <c r="W27" i="39"/>
  <c r="X28" i="39"/>
  <c r="AA27" i="39"/>
  <c r="AB28" i="39"/>
  <c r="AE26" i="39" l="1"/>
  <c r="AI26" i="39"/>
  <c r="AF12" i="39"/>
  <c r="AE11" i="39"/>
  <c r="AI11" i="39"/>
  <c r="AJ12" i="39"/>
  <c r="AI27" i="39" l="1"/>
  <c r="AJ28" i="39"/>
  <c r="AE27" i="39"/>
  <c r="AF28" i="39"/>
  <c r="F50" i="38" l="1"/>
  <c r="AD50" i="38" l="1"/>
  <c r="AD56" i="38" s="1"/>
  <c r="AD40" i="38" s="1"/>
  <c r="AE50" i="38"/>
  <c r="AC50" i="38"/>
  <c r="AC51" i="38" s="1"/>
  <c r="F53" i="38"/>
  <c r="F51" i="38"/>
  <c r="F52" i="38"/>
  <c r="AE56" i="38"/>
  <c r="AE40" i="38" s="1"/>
  <c r="F56" i="38"/>
  <c r="AB53" i="38"/>
  <c r="AB51" i="38"/>
  <c r="AE51" i="38" l="1"/>
  <c r="AD51" i="38"/>
  <c r="AC56" i="38"/>
  <c r="AC40" i="38" s="1"/>
  <c r="AC61" i="38"/>
  <c r="F57" i="38"/>
  <c r="F54" i="38"/>
  <c r="F55" i="38" s="1"/>
  <c r="AF50" i="38"/>
  <c r="AD37" i="38"/>
  <c r="AD41" i="38"/>
  <c r="AD61" i="38"/>
  <c r="AE37" i="38"/>
  <c r="AE41" i="38"/>
  <c r="AE61" i="38"/>
  <c r="AC37" i="38" l="1"/>
  <c r="AC41" i="38"/>
  <c r="AF56" i="38"/>
  <c r="G50" i="38"/>
  <c r="AF51" i="38"/>
  <c r="AG50" i="38"/>
  <c r="AH50" i="38" l="1"/>
  <c r="AF40" i="38"/>
  <c r="G56" i="38"/>
  <c r="G57" i="38" s="1"/>
  <c r="AG56" i="38"/>
  <c r="AG40" i="38" s="1"/>
  <c r="AG51" i="38"/>
  <c r="G51" i="38"/>
  <c r="G52" i="38"/>
  <c r="AG41" i="38" l="1"/>
  <c r="AG61" i="38"/>
  <c r="AG37" i="38"/>
  <c r="AF37" i="38"/>
  <c r="G37" i="38" s="1"/>
  <c r="AF41" i="38"/>
  <c r="AF61" i="38"/>
  <c r="G40" i="38"/>
  <c r="AH56" i="38"/>
  <c r="AH40" i="38" s="1"/>
  <c r="AH51" i="38"/>
  <c r="AI50" i="38"/>
  <c r="AJ50" i="38" l="1"/>
  <c r="AH41" i="38"/>
  <c r="AH61" i="38"/>
  <c r="AH37" i="38"/>
  <c r="G54" i="38"/>
  <c r="G55" i="38" s="1"/>
  <c r="G41" i="38"/>
  <c r="G61" i="38"/>
  <c r="AI51" i="38"/>
  <c r="AI56" i="38"/>
  <c r="AI40" i="38" s="1"/>
  <c r="AI41" i="38" l="1"/>
  <c r="AI61" i="38"/>
  <c r="AI37" i="38"/>
  <c r="AJ51" i="38"/>
  <c r="H50" i="38"/>
  <c r="AJ56" i="38"/>
  <c r="AK50" i="38"/>
  <c r="AL50" i="38" l="1"/>
  <c r="H52" i="38"/>
  <c r="H51" i="38"/>
  <c r="AK51" i="38"/>
  <c r="AK56" i="38"/>
  <c r="AK40" i="38" s="1"/>
  <c r="H56" i="38"/>
  <c r="H57" i="38" s="1"/>
  <c r="AJ40" i="38"/>
  <c r="AK37" i="38" l="1"/>
  <c r="AK41" i="38"/>
  <c r="AK61" i="38"/>
  <c r="AM50" i="38"/>
  <c r="AL51" i="38"/>
  <c r="AL56" i="38"/>
  <c r="AL40" i="38" s="1"/>
  <c r="AJ37" i="38"/>
  <c r="H37" i="38" s="1"/>
  <c r="AJ41" i="38"/>
  <c r="AJ61" i="38"/>
  <c r="H40" i="38"/>
  <c r="AN50" i="38" l="1"/>
  <c r="AM51" i="38"/>
  <c r="AM56" i="38"/>
  <c r="AM40" i="38" s="1"/>
  <c r="H41" i="38"/>
  <c r="H61" i="38"/>
  <c r="H54" i="38"/>
  <c r="H55" i="38" s="1"/>
  <c r="AL37" i="38"/>
  <c r="AL41" i="38"/>
  <c r="AL61" i="38"/>
  <c r="AM37" i="38" l="1"/>
  <c r="AM41" i="38"/>
  <c r="AM61" i="38"/>
  <c r="AN56" i="38"/>
  <c r="I50" i="38"/>
  <c r="AN51" i="38"/>
  <c r="AO50" i="38"/>
  <c r="AP50" i="38" l="1"/>
  <c r="I52" i="38"/>
  <c r="I51" i="38"/>
  <c r="I56" i="38"/>
  <c r="I57" i="38" s="1"/>
  <c r="AN40" i="38"/>
  <c r="AO56" i="38"/>
  <c r="AO40" i="38" s="1"/>
  <c r="AO51" i="38"/>
  <c r="AO41" i="38" l="1"/>
  <c r="AO61" i="38"/>
  <c r="AO37" i="38"/>
  <c r="AN37" i="38"/>
  <c r="I37" i="38" s="1"/>
  <c r="AN41" i="38"/>
  <c r="AN61" i="38"/>
  <c r="I40" i="38"/>
  <c r="AP56" i="38"/>
  <c r="AP40" i="38" s="1"/>
  <c r="AP51" i="38"/>
  <c r="AQ50" i="38"/>
  <c r="AQ51" i="38" l="1"/>
  <c r="AQ56" i="38"/>
  <c r="AQ40" i="38" s="1"/>
  <c r="AR50" i="38"/>
  <c r="AP41" i="38"/>
  <c r="AP61" i="38"/>
  <c r="AP37" i="38"/>
  <c r="I41" i="38"/>
  <c r="I61" i="38"/>
  <c r="I54" i="38"/>
  <c r="I55" i="38" s="1"/>
  <c r="AR51" i="38" l="1"/>
  <c r="J50" i="38"/>
  <c r="AR56" i="38"/>
  <c r="AS50" i="38"/>
  <c r="AQ41" i="38"/>
  <c r="AQ61" i="38"/>
  <c r="AQ37" i="38"/>
  <c r="AS51" i="38" l="1"/>
  <c r="AS56" i="38"/>
  <c r="AS40" i="38" s="1"/>
  <c r="J52" i="38"/>
  <c r="J51" i="38"/>
  <c r="AT50" i="38"/>
  <c r="AR40" i="38"/>
  <c r="J56" i="38"/>
  <c r="J57" i="38" s="1"/>
  <c r="AU50" i="38" l="1"/>
  <c r="AV50" i="38"/>
  <c r="AS37" i="38"/>
  <c r="AS41" i="38"/>
  <c r="AS61" i="38"/>
  <c r="AR37" i="38"/>
  <c r="J37" i="38" s="1"/>
  <c r="AR41" i="38"/>
  <c r="AR61" i="38"/>
  <c r="J40" i="38"/>
  <c r="AT51" i="38"/>
  <c r="AT56" i="38"/>
  <c r="AT40" i="38" s="1"/>
  <c r="AT37" i="38" l="1"/>
  <c r="AT41" i="38"/>
  <c r="AT61" i="38"/>
  <c r="J41" i="38"/>
  <c r="J61" i="38"/>
  <c r="J54" i="38"/>
  <c r="J55" i="38" s="1"/>
  <c r="AV56" i="38"/>
  <c r="K50" i="38"/>
  <c r="AV51" i="38"/>
  <c r="AU51" i="38"/>
  <c r="AU56" i="38"/>
  <c r="AU40" i="38" s="1"/>
  <c r="AU37" i="38" l="1"/>
  <c r="AU41" i="38"/>
  <c r="AU61" i="38"/>
  <c r="K56" i="38"/>
  <c r="K57" i="38" s="1"/>
  <c r="AV40" i="38"/>
  <c r="K51" i="38"/>
  <c r="K52" i="38"/>
  <c r="AV37" i="38" l="1"/>
  <c r="K37" i="38" s="1"/>
  <c r="AV41" i="38"/>
  <c r="AV61" i="38"/>
  <c r="K40" i="38"/>
  <c r="K41" i="38" l="1"/>
  <c r="K61" i="38"/>
  <c r="K54" i="38"/>
  <c r="K55" i="38" s="1"/>
  <c r="I7" i="3"/>
  <c r="J7" i="3"/>
  <c r="K7" i="3"/>
  <c r="L7" i="3"/>
  <c r="M7" i="3"/>
  <c r="I11" i="3"/>
  <c r="J11" i="3"/>
  <c r="K11" i="3"/>
  <c r="L11" i="3"/>
  <c r="M11" i="3"/>
  <c r="I12" i="3"/>
  <c r="J12" i="3"/>
  <c r="K12" i="3"/>
  <c r="L12" i="3"/>
  <c r="M12" i="3"/>
  <c r="I13" i="3"/>
  <c r="J13" i="3"/>
  <c r="K13" i="3"/>
  <c r="L13" i="3"/>
  <c r="M13" i="3"/>
  <c r="I15" i="3"/>
  <c r="J15" i="3"/>
  <c r="K15" i="3"/>
  <c r="L15" i="3"/>
  <c r="M15" i="3"/>
  <c r="I16" i="3"/>
  <c r="J16" i="3"/>
  <c r="K16" i="3"/>
  <c r="L16" i="3"/>
  <c r="M16" i="3"/>
  <c r="I17" i="3"/>
  <c r="J17" i="3"/>
  <c r="K17" i="3"/>
  <c r="L17" i="3"/>
  <c r="M17" i="3"/>
  <c r="I19" i="3"/>
  <c r="J19" i="3"/>
  <c r="K19" i="3"/>
  <c r="L19" i="3"/>
  <c r="M19" i="3"/>
  <c r="I20" i="3"/>
  <c r="J20" i="3"/>
  <c r="K20" i="3"/>
  <c r="L20" i="3"/>
  <c r="M20" i="3"/>
  <c r="I29" i="3"/>
  <c r="J29" i="3"/>
  <c r="K29" i="3"/>
  <c r="L29" i="3"/>
  <c r="M29" i="3"/>
  <c r="I31" i="3"/>
  <c r="J31" i="3"/>
  <c r="K31" i="3"/>
  <c r="L31" i="3"/>
  <c r="M31" i="3"/>
  <c r="I33" i="3"/>
  <c r="J33" i="3"/>
  <c r="K33" i="3"/>
  <c r="L33" i="3"/>
  <c r="M33" i="3"/>
  <c r="I34" i="3"/>
  <c r="J34" i="3"/>
  <c r="K34" i="3"/>
  <c r="L34" i="3"/>
  <c r="M34" i="3"/>
  <c r="I35" i="3"/>
  <c r="J35" i="3"/>
  <c r="K35" i="3"/>
  <c r="L35" i="3"/>
  <c r="M35" i="3"/>
  <c r="I36" i="3"/>
  <c r="J36" i="3"/>
  <c r="K36" i="3"/>
  <c r="L36" i="3"/>
  <c r="M36" i="3"/>
  <c r="I37" i="3"/>
  <c r="J37" i="3"/>
  <c r="K37" i="3"/>
  <c r="L37" i="3"/>
  <c r="M37" i="3"/>
  <c r="I39" i="3"/>
  <c r="J39" i="3"/>
  <c r="K39" i="3"/>
  <c r="L39" i="3"/>
  <c r="M39" i="3"/>
  <c r="I42" i="3"/>
  <c r="J42" i="3"/>
  <c r="K42" i="3"/>
  <c r="L42" i="3"/>
  <c r="M42" i="3"/>
  <c r="I43" i="3"/>
  <c r="J43" i="3"/>
  <c r="K43" i="3"/>
  <c r="L43" i="3"/>
  <c r="M43" i="3"/>
  <c r="I44" i="3"/>
  <c r="J44" i="3"/>
  <c r="K44" i="3"/>
  <c r="L44" i="3"/>
  <c r="M44" i="3"/>
  <c r="I45" i="3"/>
  <c r="J45" i="3"/>
  <c r="K45" i="3"/>
  <c r="L45" i="3"/>
  <c r="M45" i="3"/>
  <c r="I46" i="3"/>
  <c r="J46" i="3"/>
  <c r="K46" i="3"/>
  <c r="L46" i="3"/>
  <c r="M46" i="3"/>
  <c r="I48" i="3"/>
  <c r="J48" i="3"/>
  <c r="K48" i="3"/>
  <c r="L48" i="3"/>
  <c r="M48" i="3"/>
  <c r="I49" i="3"/>
  <c r="J49" i="3"/>
  <c r="K49" i="3"/>
  <c r="L49" i="3"/>
  <c r="M49" i="3"/>
  <c r="I50" i="3"/>
  <c r="J50" i="3"/>
  <c r="K50" i="3"/>
  <c r="L50" i="3"/>
  <c r="M50" i="3"/>
  <c r="I51" i="3"/>
  <c r="J51" i="3"/>
  <c r="K51" i="3"/>
  <c r="L51" i="3"/>
  <c r="M51" i="3"/>
  <c r="I53" i="3"/>
  <c r="J53" i="3"/>
  <c r="K53" i="3"/>
  <c r="L53" i="3"/>
  <c r="M53" i="3"/>
  <c r="I60" i="3"/>
  <c r="J60" i="3"/>
  <c r="K60" i="3"/>
  <c r="L60" i="3"/>
  <c r="M60" i="3"/>
  <c r="I61" i="3"/>
  <c r="J61" i="3"/>
  <c r="K61" i="3"/>
  <c r="L61" i="3"/>
  <c r="M61" i="3"/>
  <c r="I62" i="3"/>
  <c r="J62" i="3"/>
  <c r="K62" i="3"/>
  <c r="L62" i="3"/>
  <c r="M62" i="3"/>
  <c r="I63" i="3"/>
  <c r="J63" i="3"/>
  <c r="K63" i="3"/>
  <c r="L63" i="3"/>
  <c r="M63" i="3"/>
  <c r="I66" i="3"/>
  <c r="J66" i="3"/>
  <c r="K66" i="3"/>
  <c r="L66" i="3"/>
  <c r="M66" i="3"/>
  <c r="I67" i="3"/>
  <c r="J67" i="3"/>
  <c r="K67" i="3"/>
  <c r="L67" i="3"/>
  <c r="M67" i="3"/>
  <c r="K8" i="32"/>
  <c r="L8" i="32"/>
  <c r="M8" i="32"/>
  <c r="N8" i="32"/>
  <c r="O8" i="32"/>
  <c r="K14" i="32"/>
  <c r="L14" i="32"/>
  <c r="M14" i="32"/>
  <c r="N14" i="32"/>
  <c r="O14" i="32"/>
  <c r="K15" i="32"/>
  <c r="L15" i="32"/>
  <c r="M15" i="32"/>
  <c r="N15" i="32"/>
  <c r="O15" i="32"/>
  <c r="K18" i="32"/>
  <c r="L18" i="32"/>
  <c r="M18" i="32"/>
  <c r="N18" i="32"/>
  <c r="O18" i="32"/>
  <c r="K25" i="32"/>
  <c r="L25" i="32"/>
  <c r="M25" i="32"/>
  <c r="N25" i="32"/>
  <c r="O25" i="32"/>
  <c r="K26" i="32"/>
  <c r="L26" i="32"/>
  <c r="M26" i="32"/>
  <c r="N26" i="32"/>
  <c r="O26" i="32"/>
  <c r="K27" i="32"/>
  <c r="L27" i="32"/>
  <c r="M27" i="32"/>
  <c r="N27" i="32"/>
  <c r="O27" i="32"/>
  <c r="K28" i="32"/>
  <c r="L28" i="32"/>
  <c r="M28" i="32"/>
  <c r="N28" i="32"/>
  <c r="O28" i="32"/>
  <c r="K29" i="32"/>
  <c r="L29" i="32"/>
  <c r="M29" i="32"/>
  <c r="N29" i="32"/>
  <c r="O29" i="32"/>
  <c r="K30" i="32"/>
  <c r="L30" i="32"/>
  <c r="M30" i="32"/>
  <c r="N30" i="32"/>
  <c r="O30" i="32"/>
  <c r="K31" i="32"/>
  <c r="L31" i="32"/>
  <c r="M31" i="32"/>
  <c r="N31" i="32"/>
  <c r="O31" i="32"/>
  <c r="K34" i="32"/>
  <c r="L34" i="32"/>
  <c r="M34" i="32"/>
  <c r="N34" i="32"/>
  <c r="O34" i="32"/>
  <c r="K39" i="32"/>
  <c r="L39" i="32"/>
  <c r="M39" i="32"/>
  <c r="N39" i="32"/>
  <c r="O39" i="32"/>
  <c r="K48" i="32"/>
  <c r="L48" i="32"/>
  <c r="M48" i="32"/>
  <c r="N48" i="32"/>
  <c r="O48" i="32"/>
  <c r="K50" i="32"/>
  <c r="L50" i="32"/>
  <c r="M50" i="32"/>
  <c r="N50" i="32"/>
  <c r="O50" i="32"/>
  <c r="K66" i="32"/>
  <c r="L66" i="32"/>
  <c r="M66" i="32"/>
  <c r="N66" i="32"/>
  <c r="O66" i="32"/>
  <c r="K68" i="32"/>
  <c r="L68" i="32"/>
  <c r="M68" i="32"/>
  <c r="N68" i="32"/>
  <c r="O68" i="32"/>
  <c r="K70" i="32"/>
  <c r="L70" i="32"/>
  <c r="M70" i="32"/>
  <c r="N70" i="32"/>
  <c r="O70" i="32"/>
  <c r="K73" i="32"/>
  <c r="L73" i="32"/>
  <c r="M73" i="32"/>
  <c r="N73" i="32"/>
  <c r="O73" i="32"/>
  <c r="K78" i="32"/>
  <c r="L78" i="32"/>
  <c r="M78" i="32"/>
  <c r="N78" i="32"/>
  <c r="O78" i="32"/>
  <c r="K85" i="32"/>
  <c r="L85" i="32"/>
  <c r="M85" i="32"/>
  <c r="N85" i="32"/>
  <c r="O85" i="32"/>
  <c r="K86" i="32"/>
  <c r="L86" i="32"/>
  <c r="M86" i="32"/>
  <c r="N86" i="32"/>
  <c r="O86" i="32"/>
  <c r="K88" i="32"/>
  <c r="L88" i="32"/>
  <c r="M88" i="32"/>
  <c r="N88" i="32"/>
  <c r="O88" i="32"/>
  <c r="L89" i="32"/>
  <c r="M89" i="32"/>
  <c r="N89" i="32"/>
  <c r="O89" i="32"/>
  <c r="K91" i="32"/>
  <c r="L91" i="32"/>
  <c r="M91" i="32"/>
  <c r="N91" i="32"/>
  <c r="O91" i="32"/>
  <c r="L96" i="32"/>
  <c r="M96" i="32"/>
  <c r="N96" i="32"/>
  <c r="O96" i="32"/>
  <c r="K98" i="32"/>
  <c r="L98" i="32"/>
  <c r="M98" i="32"/>
  <c r="N98" i="32"/>
  <c r="O98" i="32"/>
  <c r="K99" i="32"/>
  <c r="L99" i="32"/>
  <c r="M99" i="32"/>
  <c r="N99" i="32"/>
  <c r="O99" i="32"/>
  <c r="K100" i="32"/>
  <c r="L100" i="32"/>
  <c r="M100" i="32"/>
  <c r="N100" i="32"/>
  <c r="O100" i="32"/>
  <c r="K101" i="32"/>
  <c r="L101" i="32"/>
  <c r="M101" i="32"/>
  <c r="N101" i="32"/>
  <c r="O101" i="32"/>
  <c r="K102" i="32"/>
  <c r="L102" i="32"/>
  <c r="M102" i="32"/>
  <c r="N102" i="32"/>
  <c r="O102" i="32"/>
  <c r="K103" i="32"/>
  <c r="L103" i="32"/>
  <c r="M103" i="32"/>
  <c r="N103" i="32"/>
  <c r="O103" i="32"/>
  <c r="K104" i="32"/>
  <c r="L104" i="32"/>
  <c r="M104" i="32"/>
  <c r="N104" i="32"/>
  <c r="O104" i="32"/>
  <c r="L105" i="32"/>
  <c r="M105" i="32"/>
  <c r="N105" i="32"/>
  <c r="O105" i="32"/>
  <c r="K106" i="32"/>
  <c r="L106" i="32"/>
  <c r="M106" i="32"/>
  <c r="N106" i="32"/>
  <c r="O106" i="32"/>
  <c r="K107" i="32"/>
  <c r="L107" i="32"/>
  <c r="M107" i="32"/>
  <c r="N107" i="32"/>
  <c r="O107" i="32"/>
  <c r="L109" i="32"/>
  <c r="M109" i="32"/>
  <c r="N109" i="32"/>
  <c r="O109" i="32"/>
  <c r="K110" i="32"/>
  <c r="L110" i="32"/>
  <c r="M110" i="32"/>
  <c r="N110" i="32"/>
  <c r="O110" i="32"/>
  <c r="K111" i="32"/>
  <c r="L111" i="32"/>
  <c r="M111" i="32"/>
  <c r="N111" i="32"/>
  <c r="O111" i="32"/>
  <c r="K112" i="32"/>
  <c r="L112" i="32"/>
  <c r="M112" i="32"/>
  <c r="N112" i="32"/>
  <c r="O112" i="32"/>
  <c r="K113" i="32"/>
  <c r="L113" i="32"/>
  <c r="M113" i="32"/>
  <c r="N113" i="32"/>
  <c r="O113" i="32"/>
  <c r="L115" i="32"/>
  <c r="M115" i="32"/>
  <c r="N115" i="32"/>
  <c r="O115" i="32"/>
  <c r="K116" i="32"/>
  <c r="L116" i="32"/>
  <c r="M116" i="32"/>
  <c r="N116" i="32"/>
  <c r="O116" i="32"/>
  <c r="K117" i="32"/>
  <c r="L117" i="32"/>
  <c r="M117" i="32"/>
  <c r="N117" i="32"/>
  <c r="O117" i="32"/>
  <c r="K118" i="32"/>
  <c r="L118" i="32"/>
  <c r="M118" i="32"/>
  <c r="N118" i="32"/>
  <c r="O118" i="32"/>
  <c r="F7" i="16"/>
  <c r="G7" i="16"/>
  <c r="H7" i="16"/>
  <c r="I7" i="16"/>
  <c r="J7" i="16"/>
  <c r="F8" i="16"/>
  <c r="G8" i="16"/>
  <c r="H8" i="16"/>
  <c r="I8" i="16"/>
  <c r="J8" i="16"/>
  <c r="F9" i="16"/>
  <c r="G9" i="16"/>
  <c r="H9" i="16"/>
  <c r="I9" i="16"/>
  <c r="J9" i="16"/>
  <c r="F10" i="16"/>
  <c r="G10" i="16"/>
  <c r="H10" i="16"/>
  <c r="I10" i="16"/>
  <c r="J10" i="16"/>
  <c r="F11" i="16"/>
  <c r="G11" i="16"/>
  <c r="H11" i="16"/>
  <c r="I11" i="16"/>
  <c r="J11" i="16"/>
  <c r="F12" i="16"/>
  <c r="G12" i="16"/>
  <c r="H12" i="16"/>
  <c r="I12" i="16"/>
  <c r="J12" i="16"/>
  <c r="F13" i="16"/>
  <c r="G13" i="16"/>
  <c r="H13" i="16"/>
  <c r="I13" i="16"/>
  <c r="J13" i="16"/>
  <c r="F14" i="16"/>
  <c r="G14" i="16"/>
  <c r="H14" i="16"/>
  <c r="I14" i="16"/>
  <c r="J14" i="16"/>
  <c r="F15" i="16"/>
  <c r="G15" i="16"/>
  <c r="H15" i="16"/>
  <c r="I15" i="16"/>
  <c r="J15" i="16"/>
  <c r="F16" i="16"/>
  <c r="G16" i="16"/>
  <c r="H16" i="16"/>
  <c r="I16" i="16"/>
  <c r="J16" i="16"/>
  <c r="F17" i="16"/>
  <c r="G17" i="16"/>
  <c r="H17" i="16"/>
  <c r="I17" i="16"/>
  <c r="J17" i="16"/>
  <c r="F18" i="16"/>
  <c r="G18" i="16"/>
  <c r="H18" i="16"/>
  <c r="I18" i="16"/>
  <c r="J18" i="16"/>
  <c r="F19" i="16"/>
  <c r="G19" i="16"/>
  <c r="H19" i="16"/>
  <c r="I19" i="16"/>
  <c r="J19" i="16"/>
  <c r="D22" i="16"/>
  <c r="E22" i="16"/>
  <c r="F22" i="16"/>
  <c r="G22" i="16"/>
  <c r="H22" i="16"/>
  <c r="I22" i="16"/>
  <c r="J22" i="16"/>
  <c r="K22" i="16"/>
  <c r="E36" i="16"/>
  <c r="F36" i="16"/>
  <c r="G36" i="16"/>
  <c r="H36" i="16"/>
  <c r="I36" i="16"/>
  <c r="E38" i="16"/>
  <c r="F38" i="16"/>
  <c r="G38" i="16"/>
  <c r="H38" i="16"/>
  <c r="I38" i="16"/>
  <c r="J38" i="16"/>
  <c r="K38" i="16"/>
  <c r="L38" i="16"/>
  <c r="F41" i="16"/>
  <c r="F42" i="16"/>
  <c r="F43" i="16"/>
  <c r="F46" i="16"/>
  <c r="F50" i="16"/>
  <c r="F51" i="16"/>
  <c r="F53" i="16"/>
  <c r="C58" i="16"/>
  <c r="D17" i="23"/>
  <c r="D20" i="23"/>
  <c r="D21" i="23"/>
  <c r="J8" i="1"/>
  <c r="K8" i="1"/>
  <c r="L8" i="1"/>
  <c r="M8" i="1"/>
  <c r="N8" i="1"/>
  <c r="J9" i="1"/>
  <c r="K9" i="1"/>
  <c r="L9" i="1"/>
  <c r="M9" i="1"/>
  <c r="N9" i="1"/>
  <c r="J11" i="1"/>
  <c r="K11" i="1"/>
  <c r="L11" i="1"/>
  <c r="M11" i="1"/>
  <c r="N11" i="1"/>
  <c r="J12" i="1"/>
  <c r="K12" i="1"/>
  <c r="L12" i="1"/>
  <c r="M12" i="1"/>
  <c r="N12" i="1"/>
  <c r="J13" i="1"/>
  <c r="K13" i="1"/>
  <c r="L13" i="1"/>
  <c r="M13" i="1"/>
  <c r="N13" i="1"/>
  <c r="J15" i="1"/>
  <c r="K15" i="1"/>
  <c r="L15" i="1"/>
  <c r="M15" i="1"/>
  <c r="N15" i="1"/>
  <c r="J16" i="1"/>
  <c r="K16" i="1"/>
  <c r="L16" i="1"/>
  <c r="M16" i="1"/>
  <c r="N16" i="1"/>
  <c r="J17" i="1"/>
  <c r="K17" i="1"/>
  <c r="L17" i="1"/>
  <c r="M17" i="1"/>
  <c r="N17" i="1"/>
  <c r="J20" i="1"/>
  <c r="K20" i="1"/>
  <c r="L20" i="1"/>
  <c r="M20" i="1"/>
  <c r="N20" i="1"/>
  <c r="J21" i="1"/>
  <c r="K21" i="1"/>
  <c r="L21" i="1"/>
  <c r="M21" i="1"/>
  <c r="N21" i="1"/>
  <c r="J22" i="1"/>
  <c r="K22" i="1"/>
  <c r="L22" i="1"/>
  <c r="M22" i="1"/>
  <c r="N22" i="1"/>
  <c r="J23" i="1"/>
  <c r="K23" i="1"/>
  <c r="L23" i="1"/>
  <c r="M23" i="1"/>
  <c r="N23" i="1"/>
  <c r="J24" i="1"/>
  <c r="K24" i="1"/>
  <c r="L24" i="1"/>
  <c r="M24" i="1"/>
  <c r="N24" i="1"/>
  <c r="J26" i="1"/>
  <c r="K26" i="1"/>
  <c r="L26" i="1"/>
  <c r="M26" i="1"/>
  <c r="N26" i="1"/>
  <c r="J27" i="1"/>
  <c r="K27" i="1"/>
  <c r="L27" i="1"/>
  <c r="M27" i="1"/>
  <c r="N27" i="1"/>
  <c r="J30" i="1"/>
  <c r="K30" i="1"/>
  <c r="L30" i="1"/>
  <c r="M30" i="1"/>
  <c r="J31" i="1"/>
  <c r="K31" i="1"/>
  <c r="L31" i="1"/>
  <c r="M31" i="1"/>
  <c r="N31" i="1"/>
  <c r="J33" i="1"/>
  <c r="K33" i="1"/>
  <c r="L33" i="1"/>
  <c r="M33" i="1"/>
  <c r="N33" i="1"/>
  <c r="J34" i="1"/>
  <c r="K34" i="1"/>
  <c r="L34" i="1"/>
  <c r="M34" i="1"/>
  <c r="N34" i="1"/>
  <c r="J35" i="1"/>
  <c r="K35" i="1"/>
  <c r="L35" i="1"/>
  <c r="M35" i="1"/>
  <c r="N35" i="1"/>
  <c r="J37" i="1"/>
  <c r="K37" i="1"/>
  <c r="L37" i="1"/>
  <c r="M37" i="1"/>
  <c r="N37" i="1"/>
  <c r="J39" i="1"/>
  <c r="K39" i="1"/>
  <c r="L39" i="1"/>
  <c r="M39" i="1"/>
  <c r="N39" i="1"/>
  <c r="J40" i="1"/>
  <c r="K40" i="1"/>
  <c r="L40" i="1"/>
  <c r="M40" i="1"/>
  <c r="N40" i="1"/>
  <c r="J41" i="1"/>
  <c r="K41" i="1"/>
  <c r="L41" i="1"/>
  <c r="M41" i="1"/>
  <c r="N41" i="1"/>
  <c r="J43" i="1"/>
  <c r="K43" i="1"/>
  <c r="L43" i="1"/>
  <c r="M43" i="1"/>
  <c r="N43" i="1"/>
  <c r="J44" i="1"/>
  <c r="K44" i="1"/>
  <c r="L44" i="1"/>
  <c r="M44" i="1"/>
  <c r="N44" i="1"/>
  <c r="J45" i="1"/>
  <c r="K45" i="1"/>
  <c r="L45" i="1"/>
  <c r="M45" i="1"/>
  <c r="N45" i="1"/>
  <c r="J48" i="1"/>
  <c r="K48" i="1"/>
  <c r="L48" i="1"/>
  <c r="M48" i="1"/>
  <c r="N48" i="1"/>
  <c r="J49" i="1"/>
  <c r="K49" i="1"/>
  <c r="L49" i="1"/>
  <c r="M49" i="1"/>
  <c r="N49" i="1"/>
  <c r="J50" i="1"/>
  <c r="K50" i="1"/>
  <c r="L50" i="1"/>
  <c r="M50" i="1"/>
  <c r="N50" i="1"/>
  <c r="J52" i="1"/>
  <c r="K52" i="1"/>
  <c r="L52" i="1"/>
  <c r="M52" i="1"/>
  <c r="N52" i="1"/>
  <c r="J53" i="1"/>
  <c r="K53" i="1"/>
  <c r="L53" i="1"/>
  <c r="M53" i="1"/>
  <c r="J58" i="1"/>
  <c r="K58" i="1"/>
  <c r="L58" i="1"/>
  <c r="M58" i="1"/>
  <c r="N58" i="1"/>
  <c r="J59" i="1"/>
  <c r="K59" i="1"/>
  <c r="L59" i="1"/>
  <c r="M59" i="1"/>
  <c r="N59" i="1"/>
  <c r="J60" i="1"/>
  <c r="K60" i="1"/>
  <c r="L60" i="1"/>
  <c r="M60" i="1"/>
  <c r="N60" i="1"/>
  <c r="J61" i="1"/>
  <c r="K61" i="1"/>
  <c r="L61" i="1"/>
  <c r="M61" i="1"/>
  <c r="N61" i="1"/>
  <c r="I8" i="20"/>
  <c r="J8" i="20"/>
  <c r="K8" i="20"/>
  <c r="AA9" i="38"/>
  <c r="AE9" i="38"/>
  <c r="AI9" i="38"/>
  <c r="AM9" i="38"/>
  <c r="AQ9" i="38"/>
  <c r="AU9" i="38"/>
  <c r="AA17" i="38"/>
  <c r="G21" i="38"/>
  <c r="H21" i="38"/>
  <c r="I21" i="38"/>
  <c r="J21" i="38"/>
  <c r="K21" i="38"/>
  <c r="AC21" i="38"/>
  <c r="AD21" i="38"/>
  <c r="AE21" i="38"/>
  <c r="AF21" i="38"/>
  <c r="AG21" i="38"/>
  <c r="AH21" i="38"/>
  <c r="AI21" i="38"/>
  <c r="AJ21" i="38"/>
  <c r="AK21" i="38"/>
  <c r="AL21" i="38"/>
  <c r="AM21" i="38"/>
  <c r="AN21" i="38"/>
  <c r="AO21" i="38"/>
  <c r="AP21" i="38"/>
  <c r="AQ21" i="38"/>
  <c r="AR21" i="38"/>
  <c r="AS21" i="38"/>
  <c r="AT21" i="38"/>
  <c r="AU21" i="38"/>
  <c r="AV21" i="38"/>
  <c r="G22" i="38"/>
  <c r="H22" i="38"/>
  <c r="I22" i="38"/>
  <c r="J22" i="38"/>
  <c r="K22" i="38"/>
  <c r="AC22" i="38"/>
  <c r="AD22" i="38"/>
  <c r="AE22" i="38"/>
  <c r="AF22" i="38"/>
  <c r="AG22" i="38"/>
  <c r="AH22" i="38"/>
  <c r="AI22" i="38"/>
  <c r="AJ22" i="38"/>
  <c r="AK22" i="38"/>
  <c r="AL22" i="38"/>
  <c r="AM22" i="38"/>
  <c r="AN22" i="38"/>
  <c r="AO22" i="38"/>
  <c r="AP22" i="38"/>
  <c r="AQ22" i="38"/>
  <c r="AR22" i="38"/>
  <c r="AS22" i="38"/>
  <c r="AT22" i="38"/>
  <c r="AU22" i="38"/>
  <c r="AV22" i="38"/>
  <c r="AC23" i="38"/>
  <c r="AD23" i="38"/>
  <c r="AE23" i="38"/>
  <c r="AF23" i="38"/>
  <c r="AG23" i="38"/>
  <c r="AH23" i="38"/>
  <c r="AI23" i="38"/>
  <c r="AJ23" i="38"/>
  <c r="AK23" i="38"/>
  <c r="AL23" i="38"/>
  <c r="AM23" i="38"/>
  <c r="AN23" i="38"/>
  <c r="AO23" i="38"/>
  <c r="AP23" i="38"/>
  <c r="AQ23" i="38"/>
  <c r="AR23" i="38"/>
  <c r="AS23" i="38"/>
  <c r="AT23" i="38"/>
  <c r="AU23" i="38"/>
  <c r="AV23" i="38"/>
  <c r="G25" i="38"/>
  <c r="H25" i="38"/>
  <c r="I25" i="38"/>
  <c r="J25" i="38"/>
  <c r="K25" i="38"/>
  <c r="AC25" i="38"/>
  <c r="AD25" i="38"/>
  <c r="AE25" i="38"/>
  <c r="AF25" i="38"/>
  <c r="AG25" i="38"/>
  <c r="AH25" i="38"/>
  <c r="AI25" i="38"/>
  <c r="AJ25" i="38"/>
  <c r="AK25" i="38"/>
  <c r="AL25" i="38"/>
  <c r="AM25" i="38"/>
  <c r="AN25" i="38"/>
  <c r="AO25" i="38"/>
  <c r="AP25" i="38"/>
  <c r="AQ25" i="38"/>
  <c r="AR25" i="38"/>
  <c r="AS25" i="38"/>
  <c r="AT25" i="38"/>
  <c r="AU25" i="38"/>
  <c r="AV25" i="38"/>
  <c r="G26" i="38"/>
  <c r="H26" i="38"/>
  <c r="I26" i="38"/>
  <c r="J26" i="38"/>
  <c r="K26" i="38"/>
  <c r="AE26" i="38"/>
  <c r="AF26" i="38"/>
  <c r="AI26" i="38"/>
  <c r="AJ26" i="38"/>
  <c r="AM26" i="38"/>
  <c r="AN26" i="38"/>
  <c r="AQ26" i="38"/>
  <c r="AR26" i="38"/>
  <c r="AU26" i="38"/>
  <c r="AV26" i="38"/>
  <c r="G29" i="38"/>
  <c r="H29" i="38"/>
  <c r="I29" i="38"/>
  <c r="J29" i="38"/>
  <c r="K29" i="38"/>
  <c r="AC29" i="38"/>
  <c r="AD29" i="38"/>
  <c r="AE29" i="38"/>
  <c r="AF29" i="38"/>
  <c r="AG29" i="38"/>
  <c r="AH29" i="38"/>
  <c r="AI29" i="38"/>
  <c r="AJ29" i="38"/>
  <c r="AK29" i="38"/>
  <c r="AL29" i="38"/>
  <c r="AM29" i="38"/>
  <c r="AN29" i="38"/>
  <c r="AO29" i="38"/>
  <c r="AP29" i="38"/>
  <c r="AQ29" i="38"/>
  <c r="AR29" i="38"/>
  <c r="AS29" i="38"/>
  <c r="AT29" i="38"/>
  <c r="AU29" i="38"/>
  <c r="AV29" i="38"/>
  <c r="G30" i="38"/>
  <c r="H30" i="38"/>
  <c r="I30" i="38"/>
  <c r="J30" i="38"/>
  <c r="K30" i="38"/>
  <c r="AC30" i="38"/>
  <c r="AD30" i="38"/>
  <c r="AE30" i="38"/>
  <c r="AF30" i="38"/>
  <c r="AG30" i="38"/>
  <c r="AH30" i="38"/>
  <c r="AI30" i="38"/>
  <c r="AJ30" i="38"/>
  <c r="AK30" i="38"/>
  <c r="AL30" i="38"/>
  <c r="AM30" i="38"/>
  <c r="AN30" i="38"/>
  <c r="AO30" i="38"/>
  <c r="AP30" i="38"/>
  <c r="AQ30" i="38"/>
  <c r="AR30" i="38"/>
  <c r="AS30" i="38"/>
  <c r="AT30" i="38"/>
  <c r="AU30" i="38"/>
  <c r="AV30" i="38"/>
  <c r="G31" i="38"/>
  <c r="H31" i="38"/>
  <c r="I31" i="38"/>
  <c r="J31" i="38"/>
  <c r="K31" i="38"/>
  <c r="AC31" i="38"/>
  <c r="AD31" i="38"/>
  <c r="AE31" i="38"/>
  <c r="AF31" i="38"/>
  <c r="AG31" i="38"/>
  <c r="AH31" i="38"/>
  <c r="AI31" i="38"/>
  <c r="AJ31" i="38"/>
  <c r="AK31" i="38"/>
  <c r="AL31" i="38"/>
  <c r="AM31" i="38"/>
  <c r="AN31" i="38"/>
  <c r="AO31" i="38"/>
  <c r="AP31" i="38"/>
  <c r="AQ31" i="38"/>
  <c r="AR31" i="38"/>
  <c r="AS31" i="38"/>
  <c r="AT31" i="38"/>
  <c r="AU31" i="38"/>
  <c r="AV31" i="38"/>
  <c r="G34" i="38"/>
  <c r="H34" i="38"/>
  <c r="I34" i="38"/>
  <c r="J34" i="38"/>
  <c r="K34" i="38"/>
  <c r="AC34" i="38"/>
  <c r="AD34" i="38"/>
  <c r="AE34" i="38"/>
  <c r="AF34" i="38"/>
  <c r="AG34" i="38"/>
  <c r="AH34" i="38"/>
  <c r="AI34" i="38"/>
  <c r="AJ34" i="38"/>
  <c r="AK34" i="38"/>
  <c r="AL34" i="38"/>
  <c r="AM34" i="38"/>
  <c r="AN34" i="38"/>
  <c r="AO34" i="38"/>
  <c r="AP34" i="38"/>
  <c r="AQ34" i="38"/>
  <c r="AR34" i="38"/>
  <c r="AS34" i="38"/>
  <c r="AT34" i="38"/>
  <c r="AU34" i="38"/>
  <c r="AV34" i="38"/>
  <c r="G35" i="38"/>
  <c r="H35" i="38"/>
  <c r="I35" i="38"/>
  <c r="J35" i="38"/>
  <c r="K35" i="38"/>
  <c r="AC35" i="38"/>
  <c r="AD35" i="38"/>
  <c r="AE35" i="38"/>
  <c r="AF35" i="38"/>
  <c r="AG35" i="38"/>
  <c r="AH35" i="38"/>
  <c r="AI35" i="38"/>
  <c r="AJ35" i="38"/>
  <c r="AK35" i="38"/>
  <c r="AL35" i="38"/>
  <c r="AM35" i="38"/>
  <c r="AN35" i="38"/>
  <c r="AO35" i="38"/>
  <c r="AP35" i="38"/>
  <c r="AQ35" i="38"/>
  <c r="AR35" i="38"/>
  <c r="AS35" i="38"/>
  <c r="AT35" i="38"/>
  <c r="AU35" i="38"/>
  <c r="AV35" i="38"/>
  <c r="AC36" i="38"/>
  <c r="AD36" i="38"/>
  <c r="AE36" i="38"/>
  <c r="AF36" i="38"/>
  <c r="AG36" i="38"/>
  <c r="AH36" i="38"/>
  <c r="AI36" i="38"/>
  <c r="AJ36" i="38"/>
  <c r="AK36" i="38"/>
  <c r="AL36" i="38"/>
  <c r="AM36" i="38"/>
  <c r="AN36" i="38"/>
  <c r="AO36" i="38"/>
  <c r="AP36" i="38"/>
  <c r="AQ36" i="38"/>
  <c r="AR36" i="38"/>
  <c r="AS36" i="38"/>
  <c r="AT36" i="38"/>
  <c r="AU36" i="38"/>
  <c r="AV36" i="38"/>
  <c r="G38" i="38"/>
  <c r="H38" i="38"/>
  <c r="I38" i="38"/>
  <c r="J38" i="38"/>
  <c r="K38" i="38"/>
  <c r="AC38" i="38"/>
  <c r="AD38" i="38"/>
  <c r="AE38" i="38"/>
  <c r="AF38" i="38"/>
  <c r="AG38" i="38"/>
  <c r="AH38" i="38"/>
  <c r="AI38" i="38"/>
  <c r="AJ38" i="38"/>
  <c r="AK38" i="38"/>
  <c r="AL38" i="38"/>
  <c r="AM38" i="38"/>
  <c r="AN38" i="38"/>
  <c r="AO38" i="38"/>
  <c r="AP38" i="38"/>
  <c r="AQ38" i="38"/>
  <c r="AR38" i="38"/>
  <c r="AS38" i="38"/>
  <c r="AT38" i="38"/>
  <c r="AU38" i="38"/>
  <c r="AV38" i="38"/>
  <c r="G82" i="38"/>
  <c r="H82" i="38"/>
  <c r="I82" i="38"/>
  <c r="J82" i="38"/>
  <c r="K82" i="38"/>
  <c r="AC82" i="38"/>
  <c r="AD82" i="38"/>
  <c r="AE82" i="38"/>
  <c r="AF82" i="38"/>
  <c r="AG82" i="38"/>
  <c r="AH82" i="38"/>
  <c r="AI82" i="38"/>
  <c r="AJ82" i="38"/>
  <c r="AK82" i="38"/>
  <c r="AL82" i="38"/>
  <c r="AM82" i="38"/>
  <c r="AN82" i="38"/>
  <c r="AO82" i="38"/>
  <c r="AP82" i="38"/>
  <c r="AQ82" i="38"/>
  <c r="AR82" i="38"/>
  <c r="AS82" i="38"/>
  <c r="AT82" i="38"/>
  <c r="AU82" i="38"/>
  <c r="AV82" i="38"/>
  <c r="G83" i="38"/>
  <c r="H83" i="38"/>
  <c r="I83" i="38"/>
  <c r="J83" i="38"/>
  <c r="K83" i="38"/>
  <c r="AC83" i="38"/>
  <c r="AD83" i="38"/>
  <c r="AE83" i="38"/>
  <c r="AF83" i="38"/>
  <c r="AG83" i="38"/>
  <c r="AH83" i="38"/>
  <c r="AI83" i="38"/>
  <c r="AJ83" i="38"/>
  <c r="AK83" i="38"/>
  <c r="AL83" i="38"/>
  <c r="AM83" i="38"/>
  <c r="AN83" i="38"/>
  <c r="AO83" i="38"/>
  <c r="AP83" i="38"/>
  <c r="AQ83" i="38"/>
  <c r="AR83" i="38"/>
  <c r="AS83" i="38"/>
  <c r="AT83" i="38"/>
  <c r="AU83" i="38"/>
  <c r="AV83" i="38"/>
  <c r="G86" i="38"/>
  <c r="H86" i="38"/>
  <c r="I86" i="38"/>
  <c r="J86" i="38"/>
  <c r="K86" i="38"/>
  <c r="AE86" i="38"/>
  <c r="AF86" i="38"/>
  <c r="AI86" i="38"/>
  <c r="AJ86" i="38"/>
  <c r="AM86" i="38"/>
  <c r="AN86" i="38"/>
  <c r="AQ86" i="38"/>
  <c r="AR86" i="38"/>
  <c r="AU86" i="38"/>
  <c r="AV86" i="38"/>
  <c r="F87" i="38"/>
  <c r="G87" i="38"/>
  <c r="H87" i="38"/>
  <c r="I87" i="38"/>
  <c r="J87" i="38"/>
  <c r="K87" i="38"/>
  <c r="AA87" i="38"/>
  <c r="AE87" i="38"/>
  <c r="AF87" i="38"/>
  <c r="AI87" i="38"/>
  <c r="AJ87" i="38"/>
  <c r="AM87" i="38"/>
  <c r="AN87" i="38"/>
  <c r="AQ87" i="38"/>
  <c r="AR87" i="38"/>
  <c r="AU87" i="38"/>
  <c r="AV87" i="38"/>
  <c r="F88" i="38"/>
  <c r="G88" i="38"/>
  <c r="H88" i="38"/>
  <c r="I88" i="38"/>
  <c r="J88" i="38"/>
  <c r="K88" i="38"/>
  <c r="AA88" i="38"/>
  <c r="AB88" i="38"/>
  <c r="AC88" i="38"/>
  <c r="AD88" i="38"/>
  <c r="AE88" i="38"/>
  <c r="AF88" i="38"/>
  <c r="AG88" i="38"/>
  <c r="AH88" i="38"/>
  <c r="AI88" i="38"/>
  <c r="AJ88" i="38"/>
  <c r="AK88" i="38"/>
  <c r="AL88" i="38"/>
  <c r="AM88" i="38"/>
  <c r="AN88" i="38"/>
  <c r="AO88" i="38"/>
  <c r="AP88" i="38"/>
  <c r="AQ88" i="38"/>
  <c r="AR88" i="38"/>
  <c r="AS88" i="38"/>
  <c r="AT88" i="38"/>
  <c r="AU88" i="38"/>
  <c r="AV88" i="38"/>
  <c r="G92" i="38"/>
  <c r="H92" i="38"/>
  <c r="I92" i="38"/>
  <c r="J92" i="38"/>
  <c r="K92" i="38"/>
  <c r="AE92" i="38"/>
  <c r="AF92" i="38"/>
  <c r="AG92" i="38"/>
  <c r="AI92" i="38"/>
  <c r="AJ92" i="38"/>
  <c r="AK92" i="38"/>
  <c r="AM92" i="38"/>
  <c r="AN92" i="38"/>
  <c r="AO92" i="38"/>
  <c r="AQ92" i="38"/>
  <c r="AR92" i="38"/>
  <c r="AS92" i="38"/>
  <c r="AU92" i="38"/>
  <c r="AV92" i="38"/>
  <c r="F93" i="38"/>
  <c r="G93" i="38"/>
  <c r="H93" i="38"/>
  <c r="I93" i="38"/>
  <c r="J93" i="38"/>
  <c r="K93" i="38"/>
  <c r="AA93" i="38"/>
  <c r="AB93" i="38"/>
  <c r="AE93" i="38"/>
  <c r="AF93" i="38"/>
  <c r="AG93" i="38"/>
  <c r="AI93" i="38"/>
  <c r="AJ93" i="38"/>
  <c r="AK93" i="38"/>
  <c r="AM93" i="38"/>
  <c r="AN93" i="38"/>
  <c r="AO93" i="38"/>
  <c r="AQ93" i="38"/>
  <c r="AR93" i="38"/>
  <c r="AS93" i="38"/>
  <c r="AU93" i="38"/>
  <c r="AV93" i="38"/>
  <c r="F94" i="38"/>
  <c r="G94" i="38"/>
  <c r="H94" i="38"/>
  <c r="I94" i="38"/>
  <c r="J94" i="38"/>
  <c r="K94" i="38"/>
  <c r="AA94" i="38"/>
  <c r="G96" i="38"/>
  <c r="H96" i="38"/>
  <c r="I96" i="38"/>
  <c r="J96" i="38"/>
  <c r="K96" i="38"/>
  <c r="AC96" i="38"/>
  <c r="AD96" i="38"/>
  <c r="AE96" i="38"/>
  <c r="AF96" i="38"/>
  <c r="AG96" i="38"/>
  <c r="AH96" i="38"/>
  <c r="AI96" i="38"/>
  <c r="AJ96" i="38"/>
  <c r="AK96" i="38"/>
  <c r="AL96" i="38"/>
  <c r="AM96" i="38"/>
  <c r="AN96" i="38"/>
  <c r="AO96" i="38"/>
  <c r="AP96" i="38"/>
  <c r="AQ96" i="38"/>
  <c r="AR96" i="38"/>
  <c r="AS96" i="38"/>
  <c r="AT96" i="38"/>
  <c r="AU96" i="38"/>
  <c r="AV96" i="38"/>
  <c r="G97" i="38"/>
  <c r="H97" i="38"/>
  <c r="I97" i="38"/>
  <c r="J97" i="38"/>
  <c r="K97" i="38"/>
  <c r="AC97" i="38"/>
  <c r="AD97" i="38"/>
  <c r="AE97" i="38"/>
  <c r="AF97" i="38"/>
  <c r="AG97" i="38"/>
  <c r="AH97" i="38"/>
  <c r="AI97" i="38"/>
  <c r="AJ97" i="38"/>
  <c r="AK97" i="38"/>
  <c r="AL97" i="38"/>
  <c r="AM97" i="38"/>
  <c r="AN97" i="38"/>
  <c r="AO97" i="38"/>
  <c r="AP97" i="38"/>
  <c r="AQ97" i="38"/>
  <c r="AR97" i="38"/>
  <c r="AS97" i="38"/>
  <c r="AT97" i="38"/>
  <c r="AU97" i="38"/>
  <c r="AV97" i="38"/>
  <c r="G98" i="38"/>
  <c r="H98" i="38"/>
  <c r="I98" i="38"/>
  <c r="J98" i="38"/>
  <c r="K98" i="38"/>
  <c r="AC98" i="38"/>
  <c r="AD98" i="38"/>
  <c r="AE98" i="38"/>
  <c r="AF98" i="38"/>
  <c r="AG98" i="38"/>
  <c r="AH98" i="38"/>
  <c r="AI98" i="38"/>
  <c r="AJ98" i="38"/>
  <c r="AK98" i="38"/>
  <c r="AL98" i="38"/>
  <c r="AM98" i="38"/>
  <c r="AN98" i="38"/>
  <c r="AO98" i="38"/>
  <c r="AP98" i="38"/>
  <c r="AQ98" i="38"/>
  <c r="AR98" i="38"/>
  <c r="AS98" i="38"/>
  <c r="AT98" i="38"/>
  <c r="AU98" i="38"/>
  <c r="AV98" i="38"/>
  <c r="F99" i="38"/>
  <c r="G99" i="38"/>
  <c r="H99" i="38"/>
  <c r="I99" i="38"/>
  <c r="J99" i="38"/>
  <c r="K99" i="38"/>
  <c r="AA99" i="38"/>
  <c r="AC99" i="38"/>
  <c r="AD99" i="38"/>
  <c r="AE99" i="38"/>
  <c r="AF99" i="38"/>
  <c r="AG99" i="38"/>
  <c r="AH99" i="38"/>
  <c r="AI99" i="38"/>
  <c r="AJ99" i="38"/>
  <c r="AK99" i="38"/>
  <c r="AL99" i="38"/>
  <c r="AM99" i="38"/>
  <c r="AN99" i="38"/>
  <c r="AO99" i="38"/>
  <c r="AP99" i="38"/>
  <c r="AQ99" i="38"/>
  <c r="AR99" i="38"/>
  <c r="AS99" i="38"/>
  <c r="AT99" i="38"/>
  <c r="AU99" i="38"/>
  <c r="AV99" i="38"/>
  <c r="F100" i="38"/>
  <c r="G100" i="38"/>
  <c r="H100" i="38"/>
  <c r="I100" i="38"/>
  <c r="J100" i="38"/>
  <c r="K100" i="38"/>
  <c r="AA100" i="38"/>
  <c r="AB100" i="38"/>
  <c r="AC100" i="38"/>
  <c r="AD100" i="38"/>
  <c r="AE100" i="38"/>
  <c r="AF100" i="38"/>
  <c r="AG100" i="38"/>
  <c r="AH100" i="38"/>
  <c r="AI100" i="38"/>
  <c r="AJ100" i="38"/>
  <c r="AK100" i="38"/>
  <c r="AL100" i="38"/>
  <c r="AM100" i="38"/>
  <c r="AN100" i="38"/>
  <c r="AO100" i="38"/>
  <c r="AP100" i="38"/>
  <c r="AQ100" i="38"/>
  <c r="AR100" i="38"/>
  <c r="AS100" i="38"/>
  <c r="AT100" i="38"/>
  <c r="AU100" i="38"/>
  <c r="AV100" i="38"/>
  <c r="AA101" i="38"/>
  <c r="AE101" i="38"/>
  <c r="AI101" i="38"/>
  <c r="AM101" i="38"/>
  <c r="AQ101" i="38"/>
  <c r="AU101" i="38"/>
  <c r="AE102" i="38"/>
  <c r="AI102" i="38"/>
  <c r="AM102" i="38"/>
  <c r="AQ102" i="38"/>
  <c r="AU102" i="38"/>
  <c r="AA103" i="38"/>
  <c r="F104" i="38"/>
  <c r="G104" i="38"/>
  <c r="H104" i="38"/>
  <c r="I104" i="38"/>
  <c r="J104" i="38"/>
  <c r="K104" i="38"/>
  <c r="AA104" i="38"/>
  <c r="AE104" i="38"/>
  <c r="AF104" i="38"/>
  <c r="AI104" i="38"/>
  <c r="AJ104" i="38"/>
  <c r="AM104" i="38"/>
  <c r="AN104" i="38"/>
  <c r="AQ104" i="38"/>
  <c r="AR104" i="38"/>
  <c r="AU104" i="38"/>
  <c r="AV104" i="38"/>
  <c r="G105" i="38"/>
  <c r="H105" i="38"/>
  <c r="I105" i="38"/>
  <c r="J105" i="38"/>
  <c r="K105" i="38"/>
  <c r="G106" i="38"/>
  <c r="H106" i="38"/>
  <c r="I106" i="38"/>
  <c r="J106" i="38"/>
  <c r="K106" i="38"/>
  <c r="AC106" i="38"/>
  <c r="AD106" i="38"/>
  <c r="AE106" i="38"/>
  <c r="AF106" i="38"/>
  <c r="AG106" i="38"/>
  <c r="AH106" i="38"/>
  <c r="AI106" i="38"/>
  <c r="AJ106" i="38"/>
  <c r="AK106" i="38"/>
  <c r="AL106" i="38"/>
  <c r="AM106" i="38"/>
  <c r="AN106" i="38"/>
  <c r="AO106" i="38"/>
  <c r="AP106" i="38"/>
  <c r="AQ106" i="38"/>
  <c r="AR106" i="38"/>
  <c r="AS106" i="38"/>
  <c r="AT106" i="38"/>
  <c r="AU106" i="38"/>
  <c r="AV106" i="38"/>
  <c r="G109" i="38"/>
  <c r="H109" i="38"/>
  <c r="I109" i="38"/>
  <c r="J109" i="38"/>
  <c r="K109" i="38"/>
  <c r="AE109" i="38"/>
  <c r="AF109" i="38"/>
  <c r="AI109" i="38"/>
  <c r="AJ109" i="38"/>
  <c r="AM109" i="38"/>
  <c r="AN109" i="38"/>
  <c r="AQ109" i="38"/>
  <c r="AR109" i="38"/>
  <c r="AU109" i="38"/>
  <c r="AV109" i="38"/>
  <c r="G110" i="38"/>
  <c r="H110" i="38"/>
  <c r="I110" i="38"/>
  <c r="J110" i="38"/>
  <c r="K110" i="38"/>
  <c r="AE110" i="38"/>
  <c r="AF110" i="38"/>
  <c r="AI110" i="38"/>
  <c r="AJ110" i="38"/>
  <c r="AM110" i="38"/>
  <c r="AN110" i="38"/>
  <c r="AQ110" i="38"/>
  <c r="AR110" i="38"/>
  <c r="AU110" i="38"/>
  <c r="AV110" i="38"/>
  <c r="AE111" i="38"/>
  <c r="AF111" i="38"/>
  <c r="AG111" i="38"/>
  <c r="AI111" i="38"/>
  <c r="AJ111" i="38"/>
  <c r="AK111" i="38"/>
  <c r="AM111" i="38"/>
  <c r="AN111" i="38"/>
  <c r="AO111" i="38"/>
  <c r="AQ111" i="38"/>
  <c r="AR111" i="38"/>
  <c r="AS111" i="38"/>
  <c r="AU111" i="38"/>
  <c r="AV111" i="38"/>
  <c r="G112" i="38"/>
  <c r="H112" i="38"/>
  <c r="I112" i="38"/>
  <c r="J112" i="38"/>
  <c r="K112" i="38"/>
  <c r="AE112" i="38"/>
  <c r="AF112" i="38"/>
  <c r="AI112" i="38"/>
  <c r="AJ112" i="38"/>
  <c r="AM112" i="38"/>
  <c r="AN112" i="38"/>
  <c r="AQ112" i="38"/>
  <c r="AR112" i="38"/>
  <c r="AU112" i="38"/>
  <c r="AV112" i="38"/>
  <c r="G113" i="38"/>
  <c r="H113" i="38"/>
  <c r="I113" i="38"/>
  <c r="J113" i="38"/>
  <c r="K113" i="38"/>
  <c r="AE113" i="38"/>
  <c r="AF113" i="38"/>
  <c r="AI113" i="38"/>
  <c r="AJ113" i="38"/>
  <c r="AM113" i="38"/>
  <c r="AN113" i="38"/>
  <c r="AQ113" i="38"/>
  <c r="AR113" i="38"/>
  <c r="AU113" i="38"/>
  <c r="AV113" i="38"/>
  <c r="G115" i="38"/>
  <c r="H115" i="38"/>
  <c r="I115" i="38"/>
  <c r="J115" i="38"/>
  <c r="K115" i="38"/>
  <c r="AF115" i="38"/>
  <c r="AJ115" i="38"/>
  <c r="AN115" i="38"/>
  <c r="AR115" i="38"/>
  <c r="AV115" i="38"/>
  <c r="G116" i="38"/>
  <c r="H116" i="38"/>
  <c r="I116" i="38"/>
  <c r="J116" i="38"/>
  <c r="K116" i="38"/>
  <c r="AF116" i="38"/>
  <c r="AJ116" i="38"/>
  <c r="AN116" i="38"/>
  <c r="AR116" i="38"/>
  <c r="AV116" i="38"/>
  <c r="G118" i="38"/>
  <c r="H118" i="38"/>
  <c r="I118" i="38"/>
  <c r="J118" i="38"/>
  <c r="K118" i="38"/>
  <c r="AB118" i="38"/>
  <c r="AF118" i="38"/>
  <c r="AJ118" i="38"/>
  <c r="AN118" i="38"/>
  <c r="AR118" i="38"/>
  <c r="AV118" i="38"/>
  <c r="G119" i="38"/>
  <c r="H119" i="38"/>
  <c r="I119" i="38"/>
  <c r="J119" i="38"/>
  <c r="K119" i="38"/>
  <c r="AB119" i="38"/>
  <c r="G121" i="38"/>
  <c r="H121" i="38"/>
  <c r="I121" i="38"/>
  <c r="J121" i="38"/>
  <c r="K121" i="38"/>
  <c r="AE121" i="38"/>
  <c r="AI121" i="38"/>
  <c r="AM121" i="38"/>
  <c r="AQ121" i="38"/>
  <c r="AU121" i="38"/>
  <c r="G122" i="38"/>
  <c r="H122" i="38"/>
  <c r="I122" i="38"/>
  <c r="J122" i="38"/>
  <c r="K122" i="38"/>
  <c r="AE122" i="38"/>
  <c r="AI122" i="38"/>
  <c r="AM122" i="38"/>
  <c r="AQ122" i="38"/>
  <c r="AU122" i="38"/>
  <c r="F123" i="38"/>
  <c r="G123" i="38"/>
  <c r="H123" i="38"/>
  <c r="I123" i="38"/>
  <c r="J123" i="38"/>
  <c r="K123" i="38"/>
  <c r="AA123" i="38"/>
  <c r="AE123" i="38"/>
  <c r="AI123" i="38"/>
  <c r="AM123" i="38"/>
  <c r="AQ123" i="38"/>
  <c r="AU123" i="38"/>
  <c r="F124" i="38"/>
  <c r="G124" i="38"/>
  <c r="H124" i="38"/>
  <c r="I124" i="38"/>
  <c r="J124" i="38"/>
  <c r="K124" i="38"/>
  <c r="AA124" i="38"/>
  <c r="AE124" i="38"/>
  <c r="AI124" i="38"/>
  <c r="AM124" i="38"/>
  <c r="AQ124" i="38"/>
  <c r="AU124" i="38"/>
  <c r="AA125" i="38"/>
  <c r="AE125" i="38"/>
  <c r="AI125" i="38"/>
  <c r="AM125" i="38"/>
  <c r="AQ125" i="38"/>
  <c r="AU125" i="38"/>
  <c r="F126" i="38"/>
  <c r="G126" i="38"/>
  <c r="H126" i="38"/>
  <c r="I126" i="38"/>
  <c r="J126" i="38"/>
  <c r="K126" i="38"/>
  <c r="G127" i="38"/>
  <c r="H127" i="38"/>
  <c r="I127" i="38"/>
  <c r="J127" i="38"/>
  <c r="K127" i="38"/>
  <c r="F128" i="38"/>
  <c r="G128" i="38"/>
  <c r="H128" i="38"/>
  <c r="I128" i="38"/>
  <c r="J128" i="38"/>
  <c r="K128" i="38"/>
  <c r="AA128" i="38"/>
  <c r="AE128" i="38"/>
  <c r="AI128" i="38"/>
  <c r="AM128" i="38"/>
  <c r="AQ128" i="38"/>
  <c r="AU128" i="38"/>
  <c r="G129" i="38"/>
  <c r="H129" i="38"/>
  <c r="I129" i="38"/>
  <c r="J129" i="38"/>
  <c r="K129" i="38"/>
  <c r="AA129" i="38"/>
  <c r="AE129" i="38"/>
  <c r="AI129" i="38"/>
  <c r="AM129" i="38"/>
  <c r="AQ129" i="38"/>
  <c r="AU129" i="38"/>
  <c r="F131" i="38"/>
  <c r="G131" i="38"/>
  <c r="H131" i="38"/>
  <c r="I131" i="38"/>
  <c r="J131" i="38"/>
  <c r="K131" i="38"/>
  <c r="AA131" i="38"/>
  <c r="AE131" i="38"/>
  <c r="AI131" i="38"/>
  <c r="AM131" i="38"/>
  <c r="AQ131" i="38"/>
  <c r="AU131" i="38"/>
  <c r="F132" i="38"/>
  <c r="G132" i="38"/>
  <c r="H132" i="38"/>
  <c r="I132" i="38"/>
  <c r="J132" i="38"/>
  <c r="K132" i="38"/>
  <c r="AA132" i="38"/>
  <c r="F133" i="38"/>
  <c r="G133" i="38"/>
  <c r="H133" i="38"/>
  <c r="I133" i="38"/>
  <c r="J133" i="38"/>
  <c r="K133" i="38"/>
  <c r="AA133" i="38"/>
  <c r="AE133" i="38"/>
  <c r="AI133" i="38"/>
  <c r="AM133" i="38"/>
  <c r="AQ133" i="38"/>
  <c r="AU133" i="38"/>
  <c r="F134" i="38"/>
  <c r="G134" i="38"/>
  <c r="H134" i="38"/>
  <c r="I134" i="38"/>
  <c r="J134" i="38"/>
  <c r="K134" i="38"/>
  <c r="AA134" i="38"/>
  <c r="AE134" i="38"/>
  <c r="AI134" i="38"/>
  <c r="AM134" i="38"/>
  <c r="AQ134" i="38"/>
  <c r="AU134" i="38"/>
  <c r="G162" i="38"/>
  <c r="H162" i="38"/>
  <c r="I162" i="38"/>
  <c r="J162" i="38"/>
  <c r="K162" i="38"/>
  <c r="AC162" i="38"/>
  <c r="AD162" i="38"/>
  <c r="AE162" i="38"/>
  <c r="AF162" i="38"/>
  <c r="AG162" i="38"/>
  <c r="AH162" i="38"/>
  <c r="AI162" i="38"/>
  <c r="AJ162" i="38"/>
  <c r="AK162" i="38"/>
  <c r="AL162" i="38"/>
  <c r="AM162" i="38"/>
  <c r="AN162" i="38"/>
  <c r="AO162" i="38"/>
  <c r="AP162" i="38"/>
  <c r="AQ162" i="38"/>
  <c r="AR162" i="38"/>
  <c r="AS162" i="38"/>
  <c r="AT162" i="38"/>
  <c r="AU162" i="38"/>
  <c r="AV162" i="38"/>
  <c r="G163" i="38"/>
  <c r="H163" i="38"/>
  <c r="I163" i="38"/>
  <c r="J163" i="38"/>
  <c r="K163" i="38"/>
  <c r="AC163" i="38"/>
  <c r="AD163" i="38"/>
  <c r="AE163" i="38"/>
  <c r="AF163" i="38"/>
  <c r="AG163" i="38"/>
  <c r="AH163" i="38"/>
  <c r="AI163" i="38"/>
  <c r="AJ163" i="38"/>
  <c r="AK163" i="38"/>
  <c r="AL163" i="38"/>
  <c r="AM163" i="38"/>
  <c r="AN163" i="38"/>
  <c r="AO163" i="38"/>
  <c r="AP163" i="38"/>
  <c r="AQ163" i="38"/>
  <c r="AR163" i="38"/>
  <c r="AS163" i="38"/>
  <c r="AT163" i="38"/>
  <c r="AU163" i="38"/>
  <c r="AV163" i="38"/>
  <c r="AC164" i="38"/>
  <c r="AD164" i="38"/>
  <c r="AE164" i="38"/>
  <c r="AF164" i="38"/>
  <c r="AG164" i="38"/>
  <c r="AH164" i="38"/>
  <c r="AI164" i="38"/>
  <c r="AJ164" i="38"/>
  <c r="AK164" i="38"/>
  <c r="AL164" i="38"/>
  <c r="AM164" i="38"/>
  <c r="AN164" i="38"/>
  <c r="AO164" i="38"/>
  <c r="AP164" i="38"/>
  <c r="AQ164" i="38"/>
  <c r="AR164" i="38"/>
  <c r="AS164" i="38"/>
  <c r="AT164" i="38"/>
  <c r="AU164" i="38"/>
  <c r="AV164" i="38"/>
  <c r="G165" i="38"/>
  <c r="H165" i="38"/>
  <c r="I165" i="38"/>
  <c r="J165" i="38"/>
  <c r="K165" i="38"/>
  <c r="AC165" i="38"/>
  <c r="AD165" i="38"/>
  <c r="AE165" i="38"/>
  <c r="AF165" i="38"/>
  <c r="AG165" i="38"/>
  <c r="AH165" i="38"/>
  <c r="AI165" i="38"/>
  <c r="AJ165" i="38"/>
  <c r="AK165" i="38"/>
  <c r="AL165" i="38"/>
  <c r="AM165" i="38"/>
  <c r="AN165" i="38"/>
  <c r="AO165" i="38"/>
  <c r="AP165" i="38"/>
  <c r="AQ165" i="38"/>
  <c r="AR165" i="38"/>
  <c r="AS165" i="38"/>
  <c r="AT165" i="38"/>
  <c r="AU165" i="38"/>
  <c r="AV165" i="38"/>
  <c r="G168" i="38"/>
  <c r="H168" i="38"/>
  <c r="I168" i="38"/>
  <c r="J168" i="38"/>
  <c r="K168" i="38"/>
  <c r="G169" i="38"/>
  <c r="H169" i="38"/>
  <c r="I169" i="38"/>
  <c r="J169" i="38"/>
  <c r="K169" i="38"/>
  <c r="AC169" i="38"/>
  <c r="AD169" i="38"/>
  <c r="AE169" i="38"/>
  <c r="AF169" i="38"/>
  <c r="AG169" i="38"/>
  <c r="AH169" i="38"/>
  <c r="AI169" i="38"/>
  <c r="AJ169" i="38"/>
  <c r="AK169" i="38"/>
  <c r="AL169" i="38"/>
  <c r="AM169" i="38"/>
  <c r="AN169" i="38"/>
  <c r="AO169" i="38"/>
  <c r="AP169" i="38"/>
  <c r="AQ169" i="38"/>
  <c r="AR169" i="38"/>
  <c r="AS169" i="38"/>
  <c r="AT169" i="38"/>
  <c r="AU169" i="38"/>
  <c r="AV169" i="38"/>
  <c r="G170" i="38"/>
  <c r="H170" i="38"/>
  <c r="I170" i="38"/>
  <c r="J170" i="38"/>
  <c r="K170" i="38"/>
  <c r="AC170" i="38"/>
  <c r="AD170" i="38"/>
  <c r="AE170" i="38"/>
  <c r="AF170" i="38"/>
  <c r="AG170" i="38"/>
  <c r="AH170" i="38"/>
  <c r="AI170" i="38"/>
  <c r="AJ170" i="38"/>
  <c r="AK170" i="38"/>
  <c r="AL170" i="38"/>
  <c r="AM170" i="38"/>
  <c r="AN170" i="38"/>
  <c r="AO170" i="38"/>
  <c r="AP170" i="38"/>
  <c r="AQ170" i="38"/>
  <c r="AR170" i="38"/>
  <c r="AS170" i="38"/>
  <c r="AT170" i="38"/>
  <c r="AU170" i="38"/>
  <c r="AV170" i="38"/>
  <c r="G172" i="38"/>
  <c r="H172" i="38"/>
  <c r="I172" i="38"/>
  <c r="J172" i="38"/>
  <c r="K172" i="38"/>
  <c r="G173" i="38"/>
  <c r="H173" i="38"/>
  <c r="I173" i="38"/>
  <c r="J173" i="38"/>
  <c r="K173" i="38"/>
  <c r="AE173" i="38"/>
  <c r="AF173" i="38"/>
  <c r="AI173" i="38"/>
  <c r="AJ173" i="38"/>
  <c r="AM173" i="38"/>
  <c r="AN173" i="38"/>
  <c r="AQ173" i="38"/>
  <c r="AR173" i="38"/>
  <c r="AU173" i="38"/>
  <c r="AV173" i="38"/>
  <c r="G174" i="38"/>
  <c r="H174" i="38"/>
  <c r="I174" i="38"/>
  <c r="J174" i="38"/>
  <c r="K174" i="38"/>
  <c r="AE174" i="38"/>
  <c r="AF174" i="38"/>
  <c r="AI174" i="38"/>
  <c r="AJ174" i="38"/>
  <c r="AM174" i="38"/>
  <c r="AN174" i="38"/>
  <c r="AQ174" i="38"/>
  <c r="AR174" i="38"/>
  <c r="AU174" i="38"/>
  <c r="AV174" i="38"/>
  <c r="G181" i="38"/>
  <c r="H181" i="38"/>
  <c r="I181" i="38"/>
  <c r="J181" i="38"/>
  <c r="K181" i="38"/>
  <c r="AC181" i="38"/>
  <c r="AD181" i="38"/>
  <c r="AE181" i="38"/>
  <c r="AF181" i="38"/>
  <c r="AG181" i="38"/>
  <c r="AH181" i="38"/>
  <c r="AI181" i="38"/>
  <c r="AJ181" i="38"/>
  <c r="AK181" i="38"/>
  <c r="AL181" i="38"/>
  <c r="AM181" i="38"/>
  <c r="AN181" i="38"/>
  <c r="AO181" i="38"/>
  <c r="AP181" i="38"/>
  <c r="AQ181" i="38"/>
  <c r="AR181" i="38"/>
  <c r="AS181" i="38"/>
  <c r="AT181" i="38"/>
  <c r="AU181" i="38"/>
  <c r="AV181" i="38"/>
  <c r="G182" i="38"/>
  <c r="H182" i="38"/>
  <c r="I182" i="38"/>
  <c r="J182" i="38"/>
  <c r="K182" i="38"/>
  <c r="AC182" i="38"/>
  <c r="AD182" i="38"/>
  <c r="AE182" i="38"/>
  <c r="AF182" i="38"/>
  <c r="AG182" i="38"/>
  <c r="AH182" i="38"/>
  <c r="AI182" i="38"/>
  <c r="AJ182" i="38"/>
  <c r="AK182" i="38"/>
  <c r="AL182" i="38"/>
  <c r="AM182" i="38"/>
  <c r="AN182" i="38"/>
  <c r="AO182" i="38"/>
  <c r="AP182" i="38"/>
  <c r="AQ182" i="38"/>
  <c r="AR182" i="38"/>
  <c r="AS182" i="38"/>
  <c r="AT182" i="38"/>
  <c r="AU182" i="38"/>
  <c r="AV182" i="38"/>
  <c r="AC183" i="38"/>
  <c r="AD183" i="38"/>
  <c r="AE183" i="38"/>
  <c r="AF183" i="38"/>
  <c r="AG183" i="38"/>
  <c r="AH183" i="38"/>
  <c r="AI183" i="38"/>
  <c r="AJ183" i="38"/>
  <c r="AK183" i="38"/>
  <c r="AL183" i="38"/>
  <c r="AM183" i="38"/>
  <c r="AN183" i="38"/>
  <c r="AO183" i="38"/>
  <c r="AP183" i="38"/>
  <c r="AQ183" i="38"/>
  <c r="AR183" i="38"/>
  <c r="AS183" i="38"/>
  <c r="AT183" i="38"/>
  <c r="AU183" i="38"/>
  <c r="AV183" i="38"/>
  <c r="G185" i="38"/>
  <c r="H185" i="38"/>
  <c r="I185" i="38"/>
  <c r="J185" i="38"/>
  <c r="K185" i="38"/>
  <c r="AC185" i="38"/>
  <c r="AD185" i="38"/>
  <c r="AE185" i="38"/>
  <c r="AF185" i="38"/>
  <c r="AG185" i="38"/>
  <c r="AH185" i="38"/>
  <c r="AI185" i="38"/>
  <c r="AJ185" i="38"/>
  <c r="AK185" i="38"/>
  <c r="AL185" i="38"/>
  <c r="AM185" i="38"/>
  <c r="AN185" i="38"/>
  <c r="AO185" i="38"/>
  <c r="AP185" i="38"/>
  <c r="AQ185" i="38"/>
  <c r="AR185" i="38"/>
  <c r="AS185" i="38"/>
  <c r="AT185" i="38"/>
  <c r="AU185" i="38"/>
  <c r="AV185" i="38"/>
  <c r="G186" i="38"/>
  <c r="H186" i="38"/>
  <c r="I186" i="38"/>
  <c r="J186" i="38"/>
  <c r="K186" i="38"/>
  <c r="AC186" i="38"/>
  <c r="AD186" i="38"/>
  <c r="AE186" i="38"/>
  <c r="AF186" i="38"/>
  <c r="AG186" i="38"/>
  <c r="AH186" i="38"/>
  <c r="AI186" i="38"/>
  <c r="AJ186" i="38"/>
  <c r="AK186" i="38"/>
  <c r="AL186" i="38"/>
  <c r="AM186" i="38"/>
  <c r="AN186" i="38"/>
  <c r="AO186" i="38"/>
  <c r="AP186" i="38"/>
  <c r="AQ186" i="38"/>
  <c r="AR186" i="38"/>
  <c r="AS186" i="38"/>
  <c r="AT186" i="38"/>
  <c r="AU186" i="38"/>
  <c r="AV186" i="38"/>
  <c r="G187" i="38"/>
  <c r="H187" i="38"/>
  <c r="I187" i="38"/>
  <c r="J187" i="38"/>
  <c r="K187" i="38"/>
  <c r="AC187" i="38"/>
  <c r="AD187" i="38"/>
  <c r="AE187" i="38"/>
  <c r="AF187" i="38"/>
  <c r="AG187" i="38"/>
  <c r="AH187" i="38"/>
  <c r="AI187" i="38"/>
  <c r="AJ187" i="38"/>
  <c r="AK187" i="38"/>
  <c r="AL187" i="38"/>
  <c r="AM187" i="38"/>
  <c r="AN187" i="38"/>
  <c r="AO187" i="38"/>
  <c r="AP187" i="38"/>
  <c r="AQ187" i="38"/>
  <c r="AR187" i="38"/>
  <c r="AS187" i="38"/>
  <c r="AT187" i="38"/>
  <c r="AU187" i="38"/>
  <c r="AV187" i="38"/>
  <c r="G189" i="38"/>
  <c r="H189" i="38"/>
  <c r="I189" i="38"/>
  <c r="J189" i="38"/>
  <c r="K189" i="38"/>
  <c r="G190" i="38"/>
  <c r="H190" i="38"/>
  <c r="I190" i="38"/>
  <c r="J190" i="38"/>
  <c r="K190" i="38"/>
  <c r="G191" i="38"/>
  <c r="H191" i="38"/>
  <c r="I191" i="38"/>
  <c r="J191" i="38"/>
  <c r="K191" i="38"/>
  <c r="S3" i="39"/>
  <c r="T3" i="39"/>
  <c r="U3" i="39"/>
  <c r="V3" i="39"/>
  <c r="W3" i="39"/>
  <c r="X3" i="39"/>
  <c r="Y3" i="39"/>
  <c r="Z3" i="39"/>
  <c r="AA3" i="39"/>
  <c r="AB3" i="39"/>
  <c r="AC3" i="39"/>
  <c r="AD3" i="39"/>
  <c r="AE3" i="39"/>
  <c r="AF3" i="39"/>
  <c r="AG3" i="39"/>
  <c r="AH3" i="39"/>
  <c r="AI3" i="39"/>
  <c r="AJ3" i="39"/>
  <c r="AK3" i="39"/>
  <c r="AL3" i="39"/>
  <c r="S4" i="39"/>
  <c r="T4" i="39"/>
  <c r="U4" i="39"/>
  <c r="V4" i="39"/>
  <c r="W4" i="39"/>
  <c r="X4" i="39"/>
  <c r="Y4" i="39"/>
  <c r="Z4" i="39"/>
  <c r="AA4" i="39"/>
  <c r="AB4" i="39"/>
  <c r="AC4" i="39"/>
  <c r="AD4" i="39"/>
  <c r="AE4" i="39"/>
  <c r="AF4" i="39"/>
  <c r="AG4" i="39"/>
  <c r="AH4" i="39"/>
  <c r="AI4" i="39"/>
  <c r="AJ4" i="39"/>
  <c r="AK4" i="39"/>
  <c r="AL4" i="39"/>
  <c r="S5" i="39"/>
  <c r="T5" i="39"/>
  <c r="U5" i="39"/>
  <c r="V5" i="39"/>
  <c r="W5" i="39"/>
  <c r="X5" i="39"/>
  <c r="Y5" i="39"/>
  <c r="Z5" i="39"/>
  <c r="AA5" i="39"/>
  <c r="AB5" i="39"/>
  <c r="AC5" i="39"/>
  <c r="AD5" i="39"/>
  <c r="AE5" i="39"/>
  <c r="AF5" i="39"/>
  <c r="AG5" i="39"/>
  <c r="AH5" i="39"/>
  <c r="AI5" i="39"/>
  <c r="AJ5" i="39"/>
  <c r="AK5" i="39"/>
  <c r="AL5" i="39"/>
  <c r="S6" i="39"/>
  <c r="T6" i="39"/>
  <c r="U6" i="39"/>
  <c r="V6" i="39"/>
  <c r="W6" i="39"/>
  <c r="X6" i="39"/>
  <c r="Y6" i="39"/>
  <c r="Z6" i="39"/>
  <c r="AA6" i="39"/>
  <c r="AB6" i="39"/>
  <c r="AC6" i="39"/>
  <c r="AD6" i="39"/>
  <c r="AE6" i="39"/>
  <c r="AF6" i="39"/>
  <c r="AG6" i="39"/>
  <c r="AH6" i="39"/>
  <c r="AI6" i="39"/>
  <c r="AJ6" i="39"/>
  <c r="AK6" i="39"/>
  <c r="AL6" i="39"/>
  <c r="S7" i="39"/>
  <c r="T7" i="39"/>
  <c r="U7" i="39"/>
  <c r="V7" i="39"/>
  <c r="W7" i="39"/>
  <c r="X7" i="39"/>
  <c r="Y7" i="39"/>
  <c r="Z7" i="39"/>
  <c r="AA7" i="39"/>
  <c r="AB7" i="39"/>
  <c r="AC7" i="39"/>
  <c r="AD7" i="39"/>
  <c r="AE7" i="39"/>
  <c r="AF7" i="39"/>
  <c r="AG7" i="39"/>
  <c r="AH7" i="39"/>
  <c r="AI7" i="39"/>
  <c r="AJ7" i="39"/>
  <c r="AK7" i="39"/>
  <c r="AL7" i="39"/>
  <c r="S8" i="39"/>
  <c r="T8" i="39"/>
  <c r="U8" i="39"/>
  <c r="V8" i="39"/>
  <c r="W8" i="39"/>
  <c r="X8" i="39"/>
  <c r="Y8" i="39"/>
  <c r="Z8" i="39"/>
  <c r="AA8" i="39"/>
  <c r="AB8" i="39"/>
  <c r="AC8" i="39"/>
  <c r="AD8" i="39"/>
  <c r="AE8" i="39"/>
  <c r="AF8" i="39"/>
  <c r="AG8" i="39"/>
  <c r="AH8" i="39"/>
  <c r="AI8" i="39"/>
  <c r="AJ8" i="39"/>
  <c r="AK8" i="39"/>
  <c r="AL8" i="39"/>
  <c r="S9" i="39"/>
  <c r="T9" i="39"/>
  <c r="U9" i="39"/>
  <c r="V9" i="39"/>
  <c r="W9" i="39"/>
  <c r="X9" i="39"/>
  <c r="Y9" i="39"/>
  <c r="Z9" i="39"/>
  <c r="AA9" i="39"/>
  <c r="AB9" i="39"/>
  <c r="AC9" i="39"/>
  <c r="AD9" i="39"/>
  <c r="AE9" i="39"/>
  <c r="AF9" i="39"/>
  <c r="AG9" i="39"/>
  <c r="AH9" i="39"/>
  <c r="AI9" i="39"/>
  <c r="AJ9" i="39"/>
  <c r="AK9" i="39"/>
  <c r="AL9" i="39"/>
  <c r="U10" i="39"/>
  <c r="V10" i="39"/>
  <c r="Y10" i="39"/>
  <c r="Z10" i="39"/>
  <c r="AC10" i="39"/>
  <c r="AD10" i="39"/>
  <c r="AG10" i="39"/>
  <c r="AH10" i="39"/>
  <c r="AK10" i="39"/>
  <c r="AL10" i="39"/>
  <c r="U11" i="39"/>
  <c r="V11" i="39"/>
  <c r="Y11" i="39"/>
  <c r="Z11" i="39"/>
  <c r="AC11" i="39"/>
  <c r="AD11" i="39"/>
  <c r="AG11" i="39"/>
  <c r="AH11" i="39"/>
  <c r="AK11" i="39"/>
  <c r="AL11" i="39"/>
  <c r="U12" i="39"/>
  <c r="V12" i="39"/>
  <c r="W12" i="39"/>
  <c r="Y12" i="39"/>
  <c r="Z12" i="39"/>
  <c r="AA12" i="39"/>
  <c r="AC12" i="39"/>
  <c r="AD12" i="39"/>
  <c r="AE12" i="39"/>
  <c r="AG12" i="39"/>
  <c r="AH12" i="39"/>
  <c r="AI12" i="39"/>
  <c r="AK12" i="39"/>
  <c r="AL12" i="39"/>
  <c r="S13" i="39"/>
  <c r="T13" i="39"/>
  <c r="U13" i="39"/>
  <c r="V13" i="39"/>
  <c r="W13" i="39"/>
  <c r="X13" i="39"/>
  <c r="Y13" i="39"/>
  <c r="Z13" i="39"/>
  <c r="AA13" i="39"/>
  <c r="AB13" i="39"/>
  <c r="AC13" i="39"/>
  <c r="AD13" i="39"/>
  <c r="AE13" i="39"/>
  <c r="AF13" i="39"/>
  <c r="AG13" i="39"/>
  <c r="AH13" i="39"/>
  <c r="AI13" i="39"/>
  <c r="AJ13" i="39"/>
  <c r="AK13" i="39"/>
  <c r="AL13" i="39"/>
  <c r="S17" i="39"/>
  <c r="T17" i="39"/>
  <c r="U17" i="39"/>
  <c r="V17" i="39"/>
  <c r="W17" i="39"/>
  <c r="X17" i="39"/>
  <c r="Y17" i="39"/>
  <c r="Z17" i="39"/>
  <c r="AA17" i="39"/>
  <c r="AB17" i="39"/>
  <c r="AC17" i="39"/>
  <c r="AD17" i="39"/>
  <c r="AE17" i="39"/>
  <c r="AF17" i="39"/>
  <c r="AG17" i="39"/>
  <c r="AH17" i="39"/>
  <c r="AI17" i="39"/>
  <c r="AJ17" i="39"/>
  <c r="AK17" i="39"/>
  <c r="AL17" i="39"/>
  <c r="S18" i="39"/>
  <c r="T18" i="39"/>
  <c r="U18" i="39"/>
  <c r="V18" i="39"/>
  <c r="W18" i="39"/>
  <c r="X18" i="39"/>
  <c r="Y18" i="39"/>
  <c r="Z18" i="39"/>
  <c r="AA18" i="39"/>
  <c r="AB18" i="39"/>
  <c r="AC18" i="39"/>
  <c r="AD18" i="39"/>
  <c r="AE18" i="39"/>
  <c r="AF18" i="39"/>
  <c r="AG18" i="39"/>
  <c r="AH18" i="39"/>
  <c r="AI18" i="39"/>
  <c r="AJ18" i="39"/>
  <c r="AK18" i="39"/>
  <c r="AL18" i="39"/>
  <c r="S19" i="39"/>
  <c r="T19" i="39"/>
  <c r="U19" i="39"/>
  <c r="V19" i="39"/>
  <c r="W19" i="39"/>
  <c r="X19" i="39"/>
  <c r="Y19" i="39"/>
  <c r="Z19" i="39"/>
  <c r="AA19" i="39"/>
  <c r="AB19" i="39"/>
  <c r="AC19" i="39"/>
  <c r="AD19" i="39"/>
  <c r="AE19" i="39"/>
  <c r="AF19" i="39"/>
  <c r="AG19" i="39"/>
  <c r="AH19" i="39"/>
  <c r="AI19" i="39"/>
  <c r="AJ19" i="39"/>
  <c r="AK19" i="39"/>
  <c r="AL19" i="39"/>
  <c r="S20" i="39"/>
  <c r="T20" i="39"/>
  <c r="U20" i="39"/>
  <c r="V20" i="39"/>
  <c r="W20" i="39"/>
  <c r="X20" i="39"/>
  <c r="Y20" i="39"/>
  <c r="Z20" i="39"/>
  <c r="AA20" i="39"/>
  <c r="AB20" i="39"/>
  <c r="AC20" i="39"/>
  <c r="AD20" i="39"/>
  <c r="AE20" i="39"/>
  <c r="AF20" i="39"/>
  <c r="AG20" i="39"/>
  <c r="AH20" i="39"/>
  <c r="AI20" i="39"/>
  <c r="AJ20" i="39"/>
  <c r="AK20" i="39"/>
  <c r="AL20" i="39"/>
  <c r="S21" i="39"/>
  <c r="T21" i="39"/>
  <c r="U21" i="39"/>
  <c r="V21" i="39"/>
  <c r="W21" i="39"/>
  <c r="X21" i="39"/>
  <c r="Y21" i="39"/>
  <c r="Z21" i="39"/>
  <c r="AA21" i="39"/>
  <c r="AB21" i="39"/>
  <c r="AC21" i="39"/>
  <c r="AD21" i="39"/>
  <c r="AE21" i="39"/>
  <c r="AF21" i="39"/>
  <c r="AG21" i="39"/>
  <c r="AH21" i="39"/>
  <c r="AI21" i="39"/>
  <c r="AJ21" i="39"/>
  <c r="AK21" i="39"/>
  <c r="AL21" i="39"/>
  <c r="S22" i="39"/>
  <c r="T22" i="39"/>
  <c r="U22" i="39"/>
  <c r="V22" i="39"/>
  <c r="W22" i="39"/>
  <c r="X22" i="39"/>
  <c r="Y22" i="39"/>
  <c r="Z22" i="39"/>
  <c r="AA22" i="39"/>
  <c r="AB22" i="39"/>
  <c r="AC22" i="39"/>
  <c r="AD22" i="39"/>
  <c r="AE22" i="39"/>
  <c r="AF22" i="39"/>
  <c r="AG22" i="39"/>
  <c r="AH22" i="39"/>
  <c r="AI22" i="39"/>
  <c r="AJ22" i="39"/>
  <c r="AK22" i="39"/>
  <c r="AL22" i="39"/>
  <c r="S23" i="39"/>
  <c r="T23" i="39"/>
  <c r="U23" i="39"/>
  <c r="V23" i="39"/>
  <c r="W23" i="39"/>
  <c r="X23" i="39"/>
  <c r="Y23" i="39"/>
  <c r="Z23" i="39"/>
  <c r="AA23" i="39"/>
  <c r="AB23" i="39"/>
  <c r="AC23" i="39"/>
  <c r="AD23" i="39"/>
  <c r="AE23" i="39"/>
  <c r="AF23" i="39"/>
  <c r="AG23" i="39"/>
  <c r="AH23" i="39"/>
  <c r="AI23" i="39"/>
  <c r="AJ23" i="39"/>
  <c r="AK23" i="39"/>
  <c r="AL23" i="39"/>
  <c r="S24" i="39"/>
  <c r="T24" i="39"/>
  <c r="U24" i="39"/>
  <c r="V24" i="39"/>
  <c r="W24" i="39"/>
  <c r="X24" i="39"/>
  <c r="Y24" i="39"/>
  <c r="Z24" i="39"/>
  <c r="AA24" i="39"/>
  <c r="AB24" i="39"/>
  <c r="AC24" i="39"/>
  <c r="AD24" i="39"/>
  <c r="AE24" i="39"/>
  <c r="AF24" i="39"/>
  <c r="AG24" i="39"/>
  <c r="AH24" i="39"/>
  <c r="AI24" i="39"/>
  <c r="AJ24" i="39"/>
  <c r="AK24" i="39"/>
  <c r="AL24" i="39"/>
  <c r="S25" i="39"/>
  <c r="T25" i="39"/>
  <c r="U25" i="39"/>
  <c r="V25" i="39"/>
  <c r="W25" i="39"/>
  <c r="X25" i="39"/>
  <c r="Y25" i="39"/>
  <c r="Z25" i="39"/>
  <c r="AA25" i="39"/>
  <c r="AB25" i="39"/>
  <c r="AC25" i="39"/>
  <c r="AD25" i="39"/>
  <c r="AE25" i="39"/>
  <c r="AF25" i="39"/>
  <c r="AG25" i="39"/>
  <c r="AH25" i="39"/>
  <c r="AI25" i="39"/>
  <c r="AJ25" i="39"/>
  <c r="AK25" i="39"/>
  <c r="AL25" i="39"/>
  <c r="U26" i="39"/>
  <c r="V26" i="39"/>
  <c r="Y26" i="39"/>
  <c r="Z26" i="39"/>
  <c r="AC26" i="39"/>
  <c r="AD26" i="39"/>
  <c r="AG26" i="39"/>
  <c r="AH26" i="39"/>
  <c r="AK26" i="39"/>
  <c r="AL26" i="39"/>
  <c r="U27" i="39"/>
  <c r="V27" i="39"/>
  <c r="Y27" i="39"/>
  <c r="Z27" i="39"/>
  <c r="AC27" i="39"/>
  <c r="AD27" i="39"/>
  <c r="AG27" i="39"/>
  <c r="AH27" i="39"/>
  <c r="AK27" i="39"/>
  <c r="AL27" i="39"/>
  <c r="U28" i="39"/>
  <c r="V28" i="39"/>
  <c r="W28" i="39"/>
  <c r="Y28" i="39"/>
  <c r="Z28" i="39"/>
  <c r="AA28" i="39"/>
  <c r="AC28" i="39"/>
  <c r="AD28" i="39"/>
  <c r="AE28" i="39"/>
  <c r="AG28" i="39"/>
  <c r="AH28" i="39"/>
  <c r="AI28" i="39"/>
  <c r="AK28" i="39"/>
  <c r="AL28" i="39"/>
  <c r="S29" i="39"/>
  <c r="T29" i="39"/>
  <c r="U29" i="39"/>
  <c r="V29" i="39"/>
  <c r="W29" i="39"/>
  <c r="X29" i="39"/>
  <c r="Y29" i="39"/>
  <c r="Z29" i="39"/>
  <c r="AA29" i="39"/>
  <c r="AB29" i="39"/>
  <c r="AC29" i="39"/>
  <c r="AD29" i="39"/>
  <c r="AE29" i="39"/>
  <c r="AF29" i="39"/>
  <c r="AG29" i="39"/>
  <c r="AH29" i="39"/>
  <c r="AI29" i="39"/>
  <c r="AJ29" i="39"/>
  <c r="AK29" i="39"/>
  <c r="AL29" i="39"/>
  <c r="S33" i="39"/>
  <c r="T33" i="39"/>
  <c r="U33" i="39"/>
  <c r="V33" i="39"/>
  <c r="W33" i="39"/>
  <c r="X33" i="39"/>
  <c r="Y33" i="39"/>
  <c r="Z33" i="39"/>
  <c r="AA33" i="39"/>
  <c r="AB33" i="39"/>
  <c r="AC33" i="39"/>
  <c r="AD33" i="39"/>
  <c r="AE33" i="39"/>
  <c r="AF33" i="39"/>
  <c r="AG33" i="39"/>
  <c r="AH33" i="39"/>
  <c r="AI33" i="39"/>
  <c r="AJ33" i="39"/>
  <c r="AK33" i="39"/>
  <c r="AL33" i="39"/>
  <c r="S34" i="39"/>
  <c r="T34" i="39"/>
  <c r="U34" i="39"/>
  <c r="V34" i="39"/>
  <c r="W34" i="39"/>
  <c r="X34" i="39"/>
  <c r="Y34" i="39"/>
  <c r="Z34" i="39"/>
  <c r="AA34" i="39"/>
  <c r="AB34" i="39"/>
  <c r="AC34" i="39"/>
  <c r="AD34" i="39"/>
  <c r="AE34" i="39"/>
  <c r="AF34" i="39"/>
  <c r="AG34" i="39"/>
  <c r="AH34" i="39"/>
  <c r="AI34" i="39"/>
  <c r="AJ34" i="39"/>
  <c r="AK34" i="39"/>
  <c r="AL34" i="39"/>
  <c r="S35" i="39"/>
  <c r="T35" i="39"/>
  <c r="U35" i="39"/>
  <c r="V35" i="39"/>
  <c r="W35" i="39"/>
  <c r="X35" i="39"/>
  <c r="Y35" i="39"/>
  <c r="Z35" i="39"/>
  <c r="AA35" i="39"/>
  <c r="AB35" i="39"/>
  <c r="AC35" i="39"/>
  <c r="AD35" i="39"/>
  <c r="AE35" i="39"/>
  <c r="AF35" i="39"/>
  <c r="AG35" i="39"/>
  <c r="AH35" i="39"/>
  <c r="AI35" i="39"/>
  <c r="AJ35" i="39"/>
  <c r="AK35" i="39"/>
  <c r="AL35" i="39"/>
  <c r="S36" i="39"/>
  <c r="T36" i="39"/>
  <c r="U36" i="39"/>
  <c r="V36" i="39"/>
  <c r="W36" i="39"/>
  <c r="X36" i="39"/>
  <c r="Y36" i="39"/>
  <c r="Z36" i="39"/>
  <c r="AA36" i="39"/>
  <c r="AB36" i="39"/>
  <c r="AC36" i="39"/>
  <c r="AD36" i="39"/>
  <c r="AE36" i="39"/>
  <c r="AF36" i="39"/>
  <c r="AG36" i="39"/>
  <c r="AH36" i="39"/>
  <c r="AI36" i="39"/>
  <c r="AJ36" i="39"/>
  <c r="AK36" i="39"/>
  <c r="AL36" i="39"/>
  <c r="S37" i="39"/>
  <c r="T37" i="39"/>
  <c r="U37" i="39"/>
  <c r="V37" i="39"/>
  <c r="W37" i="39"/>
  <c r="X37" i="39"/>
  <c r="Y37" i="39"/>
  <c r="Z37" i="39"/>
  <c r="AA37" i="39"/>
  <c r="AB37" i="39"/>
  <c r="AC37" i="39"/>
  <c r="AD37" i="39"/>
  <c r="AE37" i="39"/>
  <c r="AF37" i="39"/>
  <c r="AG37" i="39"/>
  <c r="AH37" i="39"/>
  <c r="AI37" i="39"/>
  <c r="AJ37" i="39"/>
  <c r="AK37" i="39"/>
  <c r="AL37" i="39"/>
  <c r="S41" i="39"/>
  <c r="T41" i="39"/>
  <c r="U41" i="39"/>
  <c r="V41" i="39"/>
  <c r="W41" i="39"/>
  <c r="X41" i="39"/>
  <c r="Y41" i="39"/>
  <c r="Z41" i="39"/>
  <c r="AA41" i="39"/>
  <c r="AB41" i="39"/>
  <c r="AC41" i="39"/>
  <c r="AD41" i="39"/>
  <c r="AE41" i="39"/>
  <c r="AF41" i="39"/>
  <c r="AG41" i="39"/>
  <c r="AH41" i="39"/>
  <c r="AI41" i="39"/>
  <c r="AJ41" i="39"/>
  <c r="AK41" i="39"/>
  <c r="AL41" i="39"/>
  <c r="S42" i="39"/>
  <c r="T42" i="39"/>
  <c r="U42" i="39"/>
  <c r="V42" i="39"/>
  <c r="W42" i="39"/>
  <c r="X42" i="39"/>
  <c r="Y42" i="39"/>
  <c r="Z42" i="39"/>
  <c r="AA42" i="39"/>
  <c r="AB42" i="39"/>
  <c r="AC42" i="39"/>
  <c r="AD42" i="39"/>
  <c r="AE42" i="39"/>
  <c r="AF42" i="39"/>
  <c r="AG42" i="39"/>
  <c r="AH42" i="39"/>
  <c r="AI42" i="39"/>
  <c r="AJ42" i="39"/>
  <c r="AK42" i="39"/>
  <c r="AL42" i="39"/>
  <c r="S43" i="39"/>
  <c r="T43" i="39"/>
  <c r="U43" i="39"/>
  <c r="V43" i="39"/>
  <c r="W43" i="39"/>
  <c r="X43" i="39"/>
  <c r="Y43" i="39"/>
  <c r="Z43" i="39"/>
  <c r="AA43" i="39"/>
  <c r="AB43" i="39"/>
  <c r="AC43" i="39"/>
  <c r="AD43" i="39"/>
  <c r="AE43" i="39"/>
  <c r="AF43" i="39"/>
  <c r="AG43" i="39"/>
  <c r="AH43" i="39"/>
  <c r="AI43" i="39"/>
  <c r="AJ43" i="39"/>
  <c r="AK43" i="39"/>
  <c r="AL43" i="39"/>
  <c r="S44" i="39"/>
  <c r="T44" i="39"/>
  <c r="U44" i="39"/>
  <c r="V44" i="39"/>
  <c r="W44" i="39"/>
  <c r="X44" i="39"/>
  <c r="Y44" i="39"/>
  <c r="Z44" i="39"/>
  <c r="AA44" i="39"/>
  <c r="AB44" i="39"/>
  <c r="AC44" i="39"/>
  <c r="AD44" i="39"/>
  <c r="AE44" i="39"/>
  <c r="AF44" i="39"/>
  <c r="AG44" i="39"/>
  <c r="AH44" i="39"/>
  <c r="AI44" i="39"/>
  <c r="AJ44" i="39"/>
  <c r="AK44" i="39"/>
  <c r="AL44" i="39"/>
  <c r="S46" i="39"/>
  <c r="T46" i="39"/>
  <c r="U46" i="39"/>
  <c r="V46" i="39"/>
  <c r="W46" i="39"/>
  <c r="X46" i="39"/>
  <c r="Y46" i="39"/>
  <c r="Z46" i="39"/>
  <c r="AA46" i="39"/>
  <c r="AB46" i="39"/>
  <c r="AC46" i="39"/>
  <c r="AD46" i="39"/>
  <c r="AE46" i="39"/>
  <c r="AF46" i="39"/>
  <c r="AG46" i="39"/>
  <c r="AH46" i="39"/>
  <c r="AI46" i="39"/>
  <c r="AJ46" i="39"/>
  <c r="AK46" i="39"/>
  <c r="AL46" i="39"/>
  <c r="S47" i="39"/>
  <c r="T47" i="39"/>
  <c r="U47" i="39"/>
  <c r="V47" i="39"/>
  <c r="W47" i="39"/>
  <c r="X47" i="39"/>
  <c r="Y47" i="39"/>
  <c r="Z47" i="39"/>
  <c r="AA47" i="39"/>
  <c r="AB47" i="39"/>
  <c r="AC47" i="39"/>
  <c r="AD47" i="39"/>
  <c r="AE47" i="39"/>
  <c r="AF47" i="39"/>
  <c r="AG47" i="39"/>
  <c r="AH47" i="39"/>
  <c r="AI47" i="39"/>
  <c r="AJ47" i="39"/>
  <c r="AK47" i="39"/>
  <c r="AL47" i="39"/>
  <c r="S48" i="39"/>
  <c r="T48" i="39"/>
  <c r="U48" i="39"/>
  <c r="V48" i="39"/>
  <c r="W48" i="39"/>
  <c r="X48" i="39"/>
  <c r="Y48" i="39"/>
  <c r="Z48" i="39"/>
  <c r="AA48" i="39"/>
  <c r="AB48" i="39"/>
  <c r="AC48" i="39"/>
  <c r="AD48" i="39"/>
  <c r="AE48" i="39"/>
  <c r="AF48" i="39"/>
  <c r="AG48" i="39"/>
  <c r="AH48" i="39"/>
  <c r="AI48" i="39"/>
  <c r="AJ48" i="39"/>
  <c r="AK48" i="39"/>
  <c r="AL48" i="39"/>
  <c r="S49" i="39"/>
  <c r="T49" i="39"/>
  <c r="U49" i="39"/>
  <c r="V49" i="39"/>
  <c r="W49" i="39"/>
  <c r="X49" i="39"/>
  <c r="Y49" i="39"/>
  <c r="Z49" i="39"/>
  <c r="AA49" i="39"/>
  <c r="AB49" i="39"/>
  <c r="AC49" i="39"/>
  <c r="AD49" i="39"/>
  <c r="AE49" i="39"/>
  <c r="AF49" i="39"/>
  <c r="AG49" i="39"/>
  <c r="AH49" i="39"/>
  <c r="AI49" i="39"/>
  <c r="AJ49" i="39"/>
  <c r="AK49" i="39"/>
  <c r="AL49" i="39"/>
  <c r="S50" i="39"/>
  <c r="T50" i="39"/>
  <c r="U50" i="39"/>
  <c r="V50" i="39"/>
  <c r="W50" i="39"/>
  <c r="X50" i="39"/>
  <c r="Y50" i="39"/>
  <c r="Z50" i="39"/>
  <c r="AA50" i="39"/>
  <c r="AB50" i="39"/>
  <c r="AC50" i="39"/>
  <c r="AD50" i="39"/>
  <c r="AE50" i="39"/>
  <c r="AF50" i="39"/>
  <c r="AG50" i="39"/>
  <c r="AH50" i="39"/>
  <c r="AI50" i="39"/>
  <c r="AJ50" i="39"/>
  <c r="AK50" i="39"/>
  <c r="AL50" i="39"/>
  <c r="S51" i="39"/>
  <c r="T51" i="39"/>
  <c r="U51" i="39"/>
  <c r="V51" i="39"/>
  <c r="W51" i="39"/>
  <c r="X51" i="39"/>
  <c r="Y51" i="39"/>
  <c r="Z51" i="39"/>
  <c r="AA51" i="39"/>
  <c r="AB51" i="39"/>
  <c r="AC51" i="39"/>
  <c r="AD51" i="39"/>
  <c r="AE51" i="39"/>
  <c r="AF51" i="39"/>
  <c r="AG51" i="39"/>
  <c r="AH51" i="39"/>
  <c r="AI51" i="39"/>
  <c r="AJ51" i="39"/>
  <c r="AK51" i="39"/>
  <c r="AL51" i="39"/>
  <c r="S52" i="39"/>
  <c r="T52" i="39"/>
  <c r="U52" i="39"/>
  <c r="V52" i="39"/>
  <c r="W52" i="39"/>
  <c r="X52" i="39"/>
  <c r="Y52" i="39"/>
  <c r="Z52" i="39"/>
  <c r="AA52" i="39"/>
  <c r="AB52" i="39"/>
  <c r="AC52" i="39"/>
  <c r="AD52" i="39"/>
  <c r="AE52" i="39"/>
  <c r="AF52" i="39"/>
  <c r="AG52" i="39"/>
  <c r="AH52" i="39"/>
  <c r="AI52" i="39"/>
  <c r="AJ52" i="39"/>
  <c r="AK52" i="39"/>
  <c r="AL52" i="39"/>
  <c r="S53" i="39"/>
  <c r="T53" i="39"/>
  <c r="U53" i="39"/>
  <c r="V53" i="39"/>
  <c r="W53" i="39"/>
  <c r="X53" i="39"/>
  <c r="Y53" i="39"/>
  <c r="Z53" i="39"/>
  <c r="AA53" i="39"/>
  <c r="AB53" i="39"/>
  <c r="AC53" i="39"/>
  <c r="AD53" i="39"/>
  <c r="AE53" i="39"/>
  <c r="AF53" i="39"/>
  <c r="AG53" i="39"/>
  <c r="AH53" i="39"/>
  <c r="AI53" i="39"/>
  <c r="AJ53" i="39"/>
  <c r="AK53" i="39"/>
  <c r="AL53" i="39"/>
  <c r="S54" i="39"/>
  <c r="T54" i="39"/>
  <c r="U54" i="39"/>
  <c r="V54" i="39"/>
  <c r="W54" i="39"/>
  <c r="X54" i="39"/>
  <c r="Y54" i="39"/>
  <c r="Z54" i="39"/>
  <c r="AA54" i="39"/>
  <c r="AB54" i="39"/>
  <c r="AC54" i="39"/>
  <c r="AD54" i="39"/>
  <c r="AE54" i="39"/>
  <c r="AF54" i="39"/>
  <c r="AG54" i="39"/>
  <c r="AH54" i="39"/>
  <c r="AI54" i="39"/>
  <c r="AJ54" i="39"/>
  <c r="AK54" i="39"/>
  <c r="AL54" i="39"/>
  <c r="S55" i="39"/>
  <c r="T55" i="39"/>
  <c r="U55" i="39"/>
  <c r="V55" i="39"/>
  <c r="W55" i="39"/>
  <c r="X55" i="39"/>
  <c r="Y55" i="39"/>
  <c r="Z55" i="39"/>
  <c r="AA55" i="39"/>
  <c r="AB55" i="39"/>
  <c r="AC55" i="39"/>
  <c r="AD55" i="39"/>
  <c r="AE55" i="39"/>
  <c r="AF55" i="39"/>
  <c r="AG55" i="39"/>
  <c r="AH55" i="39"/>
  <c r="AI55" i="39"/>
  <c r="AJ55" i="39"/>
  <c r="AK55" i="39"/>
  <c r="AL55" i="39"/>
  <c r="S56" i="39"/>
  <c r="T56" i="39"/>
  <c r="U56" i="39"/>
  <c r="V56" i="39"/>
  <c r="W56" i="39"/>
  <c r="X56" i="39"/>
  <c r="Y56" i="39"/>
  <c r="Z56" i="39"/>
  <c r="AA56" i="39"/>
  <c r="AB56" i="39"/>
  <c r="AC56" i="39"/>
  <c r="AD56" i="39"/>
  <c r="AE56" i="39"/>
  <c r="AF56" i="39"/>
  <c r="AG56" i="39"/>
  <c r="AH56" i="39"/>
  <c r="AI56" i="39"/>
  <c r="AJ56" i="39"/>
  <c r="AK56" i="39"/>
  <c r="AL56" i="39"/>
  <c r="S57" i="39"/>
  <c r="T57" i="39"/>
  <c r="U57" i="39"/>
  <c r="V57" i="39"/>
  <c r="W57" i="39"/>
  <c r="X57" i="39"/>
  <c r="Y57" i="39"/>
  <c r="Z57" i="39"/>
  <c r="AA57" i="39"/>
  <c r="AB57" i="39"/>
  <c r="AC57" i="39"/>
  <c r="AD57" i="39"/>
  <c r="AE57" i="39"/>
  <c r="AF57" i="39"/>
  <c r="AG57" i="39"/>
  <c r="AH57" i="39"/>
  <c r="AI57" i="39"/>
  <c r="AJ57" i="39"/>
  <c r="AK57" i="39"/>
  <c r="AL57" i="39"/>
  <c r="S58" i="39"/>
  <c r="T58" i="39"/>
  <c r="U58" i="39"/>
  <c r="V58" i="39"/>
  <c r="W58" i="39"/>
  <c r="X58" i="39"/>
  <c r="Y58" i="39"/>
  <c r="Z58" i="39"/>
  <c r="AA58" i="39"/>
  <c r="AB58" i="39"/>
  <c r="AC58" i="39"/>
  <c r="AD58" i="39"/>
  <c r="AE58" i="39"/>
  <c r="AF58" i="39"/>
  <c r="AG58" i="39"/>
  <c r="AH58" i="39"/>
  <c r="AI58" i="39"/>
  <c r="AJ58" i="39"/>
  <c r="AK58" i="39"/>
  <c r="AL58" i="39"/>
  <c r="S59" i="39"/>
  <c r="T59" i="39"/>
  <c r="U59" i="39"/>
  <c r="V59" i="39"/>
  <c r="W59" i="39"/>
  <c r="X59" i="39"/>
  <c r="Y59" i="39"/>
  <c r="Z59" i="39"/>
  <c r="AA59" i="39"/>
  <c r="AB59" i="39"/>
  <c r="AC59" i="39"/>
  <c r="AD59" i="39"/>
  <c r="AE59" i="39"/>
  <c r="AF59" i="39"/>
  <c r="AG59" i="39"/>
  <c r="AH59" i="39"/>
  <c r="AI59" i="39"/>
  <c r="AJ59" i="39"/>
  <c r="AK59" i="39"/>
  <c r="AL59" i="39"/>
  <c r="S60" i="39"/>
  <c r="T60" i="39"/>
  <c r="U60" i="39"/>
  <c r="V60" i="39"/>
  <c r="W60" i="39"/>
  <c r="X60" i="39"/>
  <c r="Y60" i="39"/>
  <c r="Z60" i="39"/>
  <c r="AA60" i="39"/>
  <c r="AB60" i="39"/>
  <c r="AC60" i="39"/>
  <c r="AD60" i="39"/>
  <c r="AE60" i="39"/>
  <c r="AF60" i="39"/>
  <c r="AG60" i="39"/>
  <c r="AH60" i="39"/>
  <c r="AI60" i="39"/>
  <c r="AJ60" i="39"/>
  <c r="AK60" i="39"/>
  <c r="AL60" i="39"/>
  <c r="S61" i="39"/>
  <c r="T61" i="39"/>
  <c r="U61" i="39"/>
  <c r="V61" i="39"/>
  <c r="W61" i="39"/>
  <c r="X61" i="39"/>
  <c r="Y61" i="39"/>
  <c r="Z61" i="39"/>
  <c r="AA61" i="39"/>
  <c r="AB61" i="39"/>
  <c r="AC61" i="39"/>
  <c r="AD61" i="39"/>
  <c r="AE61" i="39"/>
  <c r="AF61" i="39"/>
  <c r="AG61" i="39"/>
  <c r="AH61" i="39"/>
  <c r="AI61" i="39"/>
  <c r="AJ61" i="39"/>
  <c r="AK61" i="39"/>
  <c r="AL61" i="39"/>
  <c r="S62" i="39"/>
  <c r="T62" i="39"/>
  <c r="U62" i="39"/>
  <c r="V62" i="39"/>
  <c r="W62" i="39"/>
  <c r="X62" i="39"/>
  <c r="Y62" i="39"/>
  <c r="Z62" i="39"/>
  <c r="AA62" i="39"/>
  <c r="AB62" i="39"/>
  <c r="AC62" i="39"/>
  <c r="AD62" i="39"/>
  <c r="AE62" i="39"/>
  <c r="AF62" i="39"/>
  <c r="AG62" i="39"/>
  <c r="AH62" i="39"/>
  <c r="AI62" i="39"/>
  <c r="AJ62" i="39"/>
  <c r="AK62" i="39"/>
  <c r="AL62" i="39"/>
  <c r="S63" i="39"/>
  <c r="T63" i="39"/>
  <c r="U63" i="39"/>
  <c r="V63" i="39"/>
  <c r="W63" i="39"/>
  <c r="X63" i="39"/>
  <c r="Y63" i="39"/>
  <c r="Z63" i="39"/>
  <c r="AA63" i="39"/>
  <c r="AB63" i="39"/>
  <c r="AC63" i="39"/>
  <c r="AD63" i="39"/>
  <c r="AE63" i="39"/>
  <c r="AF63" i="39"/>
  <c r="AG63" i="39"/>
  <c r="AH63" i="39"/>
  <c r="AI63" i="39"/>
  <c r="AJ63" i="39"/>
  <c r="AK63" i="39"/>
  <c r="AL63" i="39"/>
  <c r="S64" i="39"/>
  <c r="T64" i="39"/>
  <c r="U64" i="39"/>
  <c r="V64" i="39"/>
  <c r="W64" i="39"/>
  <c r="X64" i="39"/>
  <c r="Y64" i="39"/>
  <c r="Z64" i="39"/>
  <c r="AA64" i="39"/>
  <c r="AB64" i="39"/>
  <c r="AC64" i="39"/>
  <c r="AD64" i="39"/>
  <c r="AE64" i="39"/>
  <c r="AF64" i="39"/>
  <c r="AG64" i="39"/>
  <c r="AH64" i="39"/>
  <c r="AI64" i="39"/>
  <c r="AJ64" i="39"/>
  <c r="AK64" i="39"/>
  <c r="AL64" i="39"/>
  <c r="S65" i="39"/>
  <c r="T65" i="39"/>
  <c r="U65" i="39"/>
  <c r="V65" i="39"/>
  <c r="W65" i="39"/>
  <c r="X65" i="39"/>
  <c r="Y65" i="39"/>
  <c r="Z65" i="39"/>
  <c r="AA65" i="39"/>
  <c r="AB65" i="39"/>
  <c r="AC65" i="39"/>
  <c r="AD65" i="39"/>
  <c r="AE65" i="39"/>
  <c r="AF65" i="39"/>
  <c r="AG65" i="39"/>
  <c r="AH65" i="39"/>
  <c r="AI65" i="39"/>
  <c r="AJ65" i="39"/>
  <c r="AK65" i="39"/>
  <c r="AL65" i="39"/>
  <c r="S69" i="39"/>
  <c r="T69" i="39"/>
  <c r="U69" i="39"/>
  <c r="V69" i="39"/>
  <c r="W69" i="39"/>
  <c r="X69" i="39"/>
  <c r="Y69" i="39"/>
  <c r="Z69" i="39"/>
  <c r="AA69" i="39"/>
  <c r="AB69" i="39"/>
  <c r="AC69" i="39"/>
  <c r="AD69" i="39"/>
  <c r="AE69" i="39"/>
  <c r="AF69" i="39"/>
  <c r="AG69" i="39"/>
  <c r="AH69" i="39"/>
  <c r="AI69" i="39"/>
  <c r="AJ69" i="39"/>
  <c r="AK69" i="39"/>
  <c r="AL69" i="39"/>
  <c r="S70" i="39"/>
  <c r="T70" i="39"/>
  <c r="U70" i="39"/>
  <c r="V70" i="39"/>
  <c r="W70" i="39"/>
  <c r="X70" i="39"/>
  <c r="Y70" i="39"/>
  <c r="Z70" i="39"/>
  <c r="AA70" i="39"/>
  <c r="AB70" i="39"/>
  <c r="AC70" i="39"/>
  <c r="AD70" i="39"/>
  <c r="AE70" i="39"/>
  <c r="AF70" i="39"/>
  <c r="AG70" i="39"/>
  <c r="AH70" i="39"/>
  <c r="AI70" i="39"/>
  <c r="AJ70" i="39"/>
  <c r="AK70" i="39"/>
  <c r="AL70" i="39"/>
  <c r="S71" i="39"/>
  <c r="T71" i="39"/>
  <c r="U71" i="39"/>
  <c r="V71" i="39"/>
  <c r="W71" i="39"/>
  <c r="X71" i="39"/>
  <c r="Y71" i="39"/>
  <c r="Z71" i="39"/>
  <c r="AA71" i="39"/>
  <c r="AB71" i="39"/>
  <c r="AC71" i="39"/>
  <c r="AD71" i="39"/>
  <c r="AE71" i="39"/>
  <c r="AF71" i="39"/>
  <c r="AG71" i="39"/>
  <c r="AH71" i="39"/>
  <c r="AI71" i="39"/>
  <c r="AJ71" i="39"/>
  <c r="AK71" i="39"/>
  <c r="AL71" i="39"/>
  <c r="S72" i="39"/>
  <c r="T72" i="39"/>
  <c r="U72" i="39"/>
  <c r="V72" i="39"/>
  <c r="W72" i="39"/>
  <c r="X72" i="39"/>
  <c r="Y72" i="39"/>
  <c r="Z72" i="39"/>
  <c r="AA72" i="39"/>
  <c r="AB72" i="39"/>
  <c r="AC72" i="39"/>
  <c r="AD72" i="39"/>
  <c r="AE72" i="39"/>
  <c r="AF72" i="39"/>
  <c r="AG72" i="39"/>
  <c r="AH72" i="39"/>
  <c r="AI72" i="39"/>
  <c r="AJ72" i="39"/>
  <c r="AK72" i="39"/>
  <c r="AL72" i="39"/>
  <c r="S74" i="39"/>
  <c r="T74" i="39"/>
  <c r="U74" i="39"/>
  <c r="V74" i="39"/>
  <c r="W74" i="39"/>
  <c r="X74" i="39"/>
  <c r="Y74" i="39"/>
  <c r="Z74" i="39"/>
  <c r="AA74" i="39"/>
  <c r="AB74" i="39"/>
  <c r="AC74" i="39"/>
  <c r="AD74" i="39"/>
  <c r="AE74" i="39"/>
  <c r="AF74" i="39"/>
  <c r="AG74" i="39"/>
  <c r="AH74" i="39"/>
  <c r="AI74" i="39"/>
  <c r="AJ74" i="39"/>
  <c r="AK74" i="39"/>
  <c r="AL74" i="39"/>
  <c r="S75" i="39"/>
  <c r="T75" i="39"/>
  <c r="U75" i="39"/>
  <c r="V75" i="39"/>
  <c r="W75" i="39"/>
  <c r="X75" i="39"/>
  <c r="Y75" i="39"/>
  <c r="Z75" i="39"/>
  <c r="AA75" i="39"/>
  <c r="AB75" i="39"/>
  <c r="AC75" i="39"/>
  <c r="AD75" i="39"/>
  <c r="AE75" i="39"/>
  <c r="AF75" i="39"/>
  <c r="AG75" i="39"/>
  <c r="AH75" i="39"/>
  <c r="AI75" i="39"/>
  <c r="AJ75" i="39"/>
  <c r="AK75" i="39"/>
  <c r="AL75" i="39"/>
  <c r="S76" i="39"/>
  <c r="T76" i="39"/>
  <c r="U76" i="39"/>
  <c r="V76" i="39"/>
  <c r="W76" i="39"/>
  <c r="X76" i="39"/>
  <c r="Y76" i="39"/>
  <c r="Z76" i="39"/>
  <c r="AA76" i="39"/>
  <c r="AB76" i="39"/>
  <c r="AC76" i="39"/>
  <c r="AD76" i="39"/>
  <c r="AE76" i="39"/>
  <c r="AF76" i="39"/>
  <c r="AG76" i="39"/>
  <c r="AH76" i="39"/>
  <c r="AI76" i="39"/>
  <c r="AJ76" i="39"/>
  <c r="AK76" i="39"/>
  <c r="AL76" i="39"/>
  <c r="S77" i="39"/>
  <c r="T77" i="39"/>
  <c r="U77" i="39"/>
  <c r="V77" i="39"/>
  <c r="W77" i="39"/>
  <c r="X77" i="39"/>
  <c r="Y77" i="39"/>
  <c r="Z77" i="39"/>
  <c r="AA77" i="39"/>
  <c r="AB77" i="39"/>
  <c r="AC77" i="39"/>
  <c r="AD77" i="39"/>
  <c r="AE77" i="39"/>
  <c r="AF77" i="39"/>
  <c r="AG77" i="39"/>
  <c r="AH77" i="39"/>
  <c r="AI77" i="39"/>
  <c r="AJ77" i="39"/>
  <c r="AK77" i="39"/>
  <c r="AL77" i="39"/>
  <c r="S78" i="39"/>
  <c r="T78" i="39"/>
  <c r="U78" i="39"/>
  <c r="V78" i="39"/>
  <c r="W78" i="39"/>
  <c r="X78" i="39"/>
  <c r="Y78" i="39"/>
  <c r="Z78" i="39"/>
  <c r="AA78" i="39"/>
  <c r="AB78" i="39"/>
  <c r="AC78" i="39"/>
  <c r="AD78" i="39"/>
  <c r="AE78" i="39"/>
  <c r="AF78" i="39"/>
  <c r="AG78" i="39"/>
  <c r="AH78" i="39"/>
  <c r="AI78" i="39"/>
  <c r="AJ78" i="39"/>
  <c r="AK78" i="39"/>
  <c r="AL78" i="39"/>
  <c r="S80" i="39"/>
  <c r="T80" i="39"/>
  <c r="U80" i="39"/>
  <c r="V80" i="39"/>
  <c r="W80" i="39"/>
  <c r="X80" i="39"/>
  <c r="Y80" i="39"/>
  <c r="Z80" i="39"/>
  <c r="AA80" i="39"/>
  <c r="AB80" i="39"/>
  <c r="AC80" i="39"/>
  <c r="AD80" i="39"/>
  <c r="AE80" i="39"/>
  <c r="AF80" i="39"/>
  <c r="AG80" i="39"/>
  <c r="AH80" i="39"/>
  <c r="AI80" i="39"/>
  <c r="AJ80" i="39"/>
  <c r="AK80" i="39"/>
  <c r="AL80" i="39"/>
  <c r="S81" i="39"/>
  <c r="T81" i="39"/>
  <c r="U81" i="39"/>
  <c r="V81" i="39"/>
  <c r="W81" i="39"/>
  <c r="X81" i="39"/>
  <c r="Y81" i="39"/>
  <c r="Z81" i="39"/>
  <c r="AA81" i="39"/>
  <c r="AB81" i="39"/>
  <c r="AC81" i="39"/>
  <c r="AD81" i="39"/>
  <c r="AE81" i="39"/>
  <c r="AF81" i="39"/>
  <c r="AG81" i="39"/>
  <c r="AH81" i="39"/>
  <c r="AI81" i="39"/>
  <c r="AJ81" i="39"/>
  <c r="AK81" i="39"/>
  <c r="AL81" i="39"/>
  <c r="S82" i="39"/>
  <c r="T82" i="39"/>
  <c r="U82" i="39"/>
  <c r="V82" i="39"/>
  <c r="W82" i="39"/>
  <c r="X82" i="39"/>
  <c r="Y82" i="39"/>
  <c r="Z82" i="39"/>
  <c r="AA82" i="39"/>
  <c r="AB82" i="39"/>
  <c r="AC82" i="39"/>
  <c r="AD82" i="39"/>
  <c r="AE82" i="39"/>
  <c r="AF82" i="39"/>
  <c r="AG82" i="39"/>
  <c r="AH82" i="39"/>
  <c r="AI82" i="39"/>
  <c r="AJ82" i="39"/>
  <c r="AK82" i="39"/>
  <c r="AL82" i="39"/>
  <c r="S83" i="39"/>
  <c r="T83" i="39"/>
  <c r="U83" i="39"/>
  <c r="V83" i="39"/>
  <c r="W83" i="39"/>
  <c r="X83" i="39"/>
  <c r="Y83" i="39"/>
  <c r="Z83" i="39"/>
  <c r="AA83" i="39"/>
  <c r="AB83" i="39"/>
  <c r="AC83" i="39"/>
  <c r="AD83" i="39"/>
  <c r="AE83" i="39"/>
  <c r="AF83" i="39"/>
  <c r="AG83" i="39"/>
  <c r="AH83" i="39"/>
  <c r="AI83" i="39"/>
  <c r="AJ83" i="39"/>
  <c r="AK83" i="39"/>
  <c r="AL83" i="39"/>
  <c r="S84" i="39"/>
  <c r="T84" i="39"/>
  <c r="U84" i="39"/>
  <c r="V84" i="39"/>
  <c r="W84" i="39"/>
  <c r="X84" i="39"/>
  <c r="Y84" i="39"/>
  <c r="Z84" i="39"/>
  <c r="AA84" i="39"/>
  <c r="AB84" i="39"/>
  <c r="AC84" i="39"/>
  <c r="AD84" i="39"/>
  <c r="AE84" i="39"/>
  <c r="AF84" i="39"/>
  <c r="AG84" i="39"/>
  <c r="AH84" i="39"/>
  <c r="AI84" i="39"/>
  <c r="AJ84" i="39"/>
  <c r="AK84" i="39"/>
  <c r="AL84" i="39"/>
  <c r="S85" i="39"/>
  <c r="T85" i="39"/>
  <c r="U85" i="39"/>
  <c r="V85" i="39"/>
  <c r="W85" i="39"/>
  <c r="X85" i="39"/>
  <c r="Y85" i="39"/>
  <c r="Z85" i="39"/>
  <c r="AA85" i="39"/>
  <c r="AB85" i="39"/>
  <c r="AC85" i="39"/>
  <c r="AD85" i="39"/>
  <c r="AE85" i="39"/>
  <c r="AF85" i="39"/>
  <c r="AG85" i="39"/>
  <c r="AH85" i="39"/>
  <c r="AI85" i="39"/>
  <c r="AJ85" i="39"/>
  <c r="AK85" i="39"/>
  <c r="AL85" i="39"/>
  <c r="S88" i="39"/>
  <c r="T88" i="39"/>
  <c r="U88" i="39"/>
  <c r="V88" i="39"/>
  <c r="W88" i="39"/>
  <c r="X88" i="39"/>
  <c r="Y88" i="39"/>
  <c r="Z88" i="39"/>
  <c r="AA88" i="39"/>
  <c r="AB88" i="39"/>
  <c r="AC88" i="39"/>
  <c r="AD88" i="39"/>
  <c r="AE88" i="39"/>
  <c r="AF88" i="39"/>
  <c r="AG88" i="39"/>
  <c r="AH88" i="39"/>
  <c r="AI88" i="39"/>
  <c r="AJ88" i="39"/>
  <c r="AK88" i="39"/>
  <c r="AL88" i="39"/>
  <c r="S89" i="39"/>
  <c r="T89" i="39"/>
  <c r="U89" i="39"/>
  <c r="V89" i="39"/>
  <c r="W89" i="39"/>
  <c r="X89" i="39"/>
  <c r="Y89" i="39"/>
  <c r="Z89" i="39"/>
  <c r="AA89" i="39"/>
  <c r="AB89" i="39"/>
  <c r="AC89" i="39"/>
  <c r="AD89" i="39"/>
  <c r="AE89" i="39"/>
  <c r="AF89" i="39"/>
  <c r="AG89" i="39"/>
  <c r="AH89" i="39"/>
  <c r="AI89" i="39"/>
  <c r="AJ89" i="39"/>
  <c r="AK89" i="39"/>
  <c r="AL89" i="39"/>
  <c r="S104" i="39"/>
  <c r="G3" i="40"/>
  <c r="H3" i="40"/>
  <c r="I3" i="40"/>
  <c r="J3" i="40"/>
  <c r="K3" i="40"/>
  <c r="G4" i="40"/>
  <c r="H4" i="40"/>
  <c r="I4" i="40"/>
  <c r="J4" i="40"/>
  <c r="K4" i="40"/>
  <c r="G6" i="40"/>
  <c r="H6" i="40"/>
  <c r="I6" i="40"/>
  <c r="J6" i="40"/>
  <c r="K6" i="40"/>
  <c r="G7" i="40"/>
  <c r="H7" i="40"/>
  <c r="I7" i="40"/>
  <c r="J7" i="40"/>
  <c r="K7" i="40"/>
  <c r="G9" i="40"/>
  <c r="H9" i="40"/>
  <c r="I9" i="40"/>
  <c r="J9" i="40"/>
  <c r="K9" i="40"/>
  <c r="G10" i="40"/>
  <c r="H10" i="40"/>
  <c r="I10" i="40"/>
  <c r="J10" i="40"/>
  <c r="K10" i="40"/>
  <c r="G11" i="40"/>
  <c r="H11" i="40"/>
  <c r="I11" i="40"/>
  <c r="J11" i="40"/>
  <c r="K11" i="40"/>
  <c r="G13" i="40"/>
  <c r="H13" i="40"/>
  <c r="I13" i="40"/>
  <c r="J13" i="40"/>
  <c r="K13" i="40"/>
  <c r="G17" i="40"/>
  <c r="H17" i="40"/>
  <c r="I17" i="40"/>
  <c r="J17" i="40"/>
  <c r="K17" i="40"/>
  <c r="G18" i="40"/>
  <c r="H18" i="40"/>
  <c r="I18" i="40"/>
  <c r="J18" i="40"/>
  <c r="K18" i="40"/>
  <c r="G19" i="40"/>
  <c r="H19" i="40"/>
  <c r="I19" i="40"/>
  <c r="J19" i="40"/>
  <c r="K19" i="40"/>
  <c r="G21" i="40"/>
  <c r="H21" i="40"/>
  <c r="I21" i="40"/>
  <c r="J21" i="40"/>
  <c r="K21" i="40"/>
  <c r="G22" i="40"/>
  <c r="H22" i="40"/>
  <c r="I22" i="40"/>
  <c r="J22" i="40"/>
  <c r="K22" i="40"/>
  <c r="G23" i="40"/>
  <c r="H23" i="40"/>
  <c r="I23" i="40"/>
  <c r="J23" i="40"/>
  <c r="K23" i="40"/>
  <c r="G25" i="40"/>
  <c r="H25" i="40"/>
  <c r="I25" i="40"/>
  <c r="J25" i="40"/>
  <c r="K25" i="40"/>
  <c r="G26" i="40"/>
  <c r="H26" i="40"/>
  <c r="I26" i="40"/>
  <c r="J26" i="40"/>
  <c r="K26" i="40"/>
  <c r="G27" i="40"/>
  <c r="H27" i="40"/>
  <c r="I27" i="40"/>
  <c r="J27" i="40"/>
  <c r="K27" i="40"/>
  <c r="G29" i="40"/>
  <c r="H29" i="40"/>
  <c r="I29" i="40"/>
  <c r="J29" i="40"/>
  <c r="K29" i="40"/>
  <c r="G33" i="40"/>
  <c r="H33" i="40"/>
  <c r="I33" i="40"/>
  <c r="J33" i="40"/>
  <c r="K33" i="40"/>
  <c r="G34" i="40"/>
  <c r="H34" i="40"/>
  <c r="I34" i="40"/>
  <c r="J34" i="40"/>
  <c r="K34" i="40"/>
  <c r="G35" i="40"/>
  <c r="H35" i="40"/>
  <c r="I35" i="40"/>
  <c r="J35" i="40"/>
  <c r="K35" i="40"/>
  <c r="G37" i="40"/>
  <c r="H37" i="40"/>
  <c r="I37" i="40"/>
  <c r="J37" i="40"/>
  <c r="K37" i="40"/>
  <c r="G38" i="40"/>
  <c r="H38" i="40"/>
  <c r="I38" i="40"/>
  <c r="J38" i="40"/>
  <c r="K38" i="40"/>
  <c r="G39" i="40"/>
  <c r="H39" i="40"/>
  <c r="I39" i="40"/>
  <c r="J39" i="40"/>
  <c r="K39" i="40"/>
  <c r="G41" i="40"/>
  <c r="H41" i="40"/>
  <c r="I41" i="40"/>
  <c r="J41" i="40"/>
  <c r="K41" i="40"/>
  <c r="G42" i="40"/>
  <c r="H42" i="40"/>
  <c r="I42" i="40"/>
  <c r="J42" i="40"/>
  <c r="K42" i="40"/>
  <c r="G43" i="40"/>
  <c r="H43" i="40"/>
  <c r="I43" i="40"/>
  <c r="J43" i="40"/>
  <c r="K43" i="40"/>
  <c r="G45" i="40"/>
  <c r="H45" i="40"/>
  <c r="I45" i="40"/>
  <c r="J45" i="40"/>
  <c r="K45" i="40"/>
  <c r="G46" i="40"/>
  <c r="H46" i="40"/>
  <c r="I46" i="40"/>
  <c r="J46" i="40"/>
  <c r="K46" i="40"/>
  <c r="G47" i="40"/>
  <c r="H47" i="40"/>
  <c r="I47" i="40"/>
  <c r="J47" i="40"/>
  <c r="K47" i="40"/>
  <c r="G49" i="40"/>
  <c r="H49" i="40"/>
  <c r="I49" i="40"/>
  <c r="J49" i="40"/>
  <c r="K49" i="40"/>
  <c r="G50" i="40"/>
  <c r="H50" i="40"/>
  <c r="I50" i="40"/>
  <c r="J50" i="40"/>
  <c r="K50" i="40"/>
  <c r="G51" i="40"/>
  <c r="H51" i="40"/>
  <c r="I51" i="40"/>
  <c r="J51" i="40"/>
  <c r="K51" i="40"/>
  <c r="G53" i="40"/>
  <c r="H53" i="40"/>
  <c r="I53" i="40"/>
  <c r="J53" i="40"/>
  <c r="K53" i="40"/>
  <c r="G54" i="40"/>
  <c r="H54" i="40"/>
  <c r="I54" i="40"/>
  <c r="J54" i="40"/>
  <c r="K54" i="40"/>
  <c r="G55" i="40"/>
  <c r="H55" i="40"/>
  <c r="I55" i="40"/>
  <c r="J55" i="40"/>
  <c r="K55" i="40"/>
  <c r="G57" i="40"/>
  <c r="H57" i="40"/>
  <c r="I57" i="40"/>
  <c r="J57" i="40"/>
  <c r="K57" i="40"/>
  <c r="G58" i="40"/>
  <c r="H58" i="40"/>
  <c r="I58" i="40"/>
  <c r="J58" i="40"/>
  <c r="K58" i="40"/>
  <c r="G59" i="40"/>
  <c r="H59" i="40"/>
  <c r="I59" i="40"/>
  <c r="J59" i="40"/>
  <c r="K59" i="40"/>
  <c r="G61" i="40"/>
  <c r="H61" i="40"/>
  <c r="I61" i="40"/>
  <c r="J61" i="40"/>
  <c r="K61" i="40"/>
  <c r="G62" i="40"/>
  <c r="H62" i="40"/>
  <c r="I62" i="40"/>
  <c r="J62" i="40"/>
  <c r="K62" i="40"/>
  <c r="G63" i="40"/>
  <c r="H63" i="40"/>
  <c r="I63" i="40"/>
  <c r="J63" i="40"/>
  <c r="K63" i="40"/>
  <c r="G65" i="40"/>
  <c r="H65" i="40"/>
  <c r="I65" i="40"/>
  <c r="J65" i="40"/>
  <c r="K65" i="40"/>
  <c r="G66" i="40"/>
  <c r="H66" i="40"/>
  <c r="I66" i="40"/>
  <c r="J66" i="40"/>
  <c r="G67" i="40"/>
  <c r="H67" i="40"/>
  <c r="I67" i="40"/>
  <c r="J67" i="40"/>
  <c r="K67" i="40"/>
  <c r="G69" i="40"/>
  <c r="H69" i="40"/>
  <c r="I69" i="40"/>
  <c r="J69" i="40"/>
  <c r="K69" i="40"/>
  <c r="G70" i="40"/>
  <c r="H70" i="40"/>
  <c r="I70" i="40"/>
  <c r="J70" i="40"/>
  <c r="K70" i="40"/>
  <c r="G71" i="40"/>
  <c r="H71" i="40"/>
  <c r="I71" i="40"/>
  <c r="J71" i="40"/>
  <c r="K71" i="40"/>
  <c r="G73" i="40"/>
  <c r="H73" i="40"/>
  <c r="I73" i="40"/>
  <c r="J73" i="40"/>
  <c r="K73" i="40"/>
  <c r="G74" i="40"/>
  <c r="H74" i="40"/>
  <c r="I74" i="40"/>
  <c r="J74" i="40"/>
  <c r="K74" i="40"/>
  <c r="G75" i="40"/>
  <c r="H75" i="40"/>
  <c r="I75" i="40"/>
  <c r="J75" i="40"/>
  <c r="K75" i="40"/>
  <c r="G77" i="40"/>
  <c r="H77" i="40"/>
  <c r="I77" i="40"/>
  <c r="J77" i="40"/>
  <c r="K77" i="40"/>
  <c r="G78" i="40"/>
  <c r="H78" i="40"/>
  <c r="I78" i="40"/>
  <c r="J78" i="40"/>
  <c r="K78" i="40"/>
  <c r="G79" i="40"/>
  <c r="H79" i="40"/>
  <c r="I79" i="40"/>
  <c r="J79" i="40"/>
  <c r="K79" i="40"/>
  <c r="G80" i="40"/>
  <c r="H80" i="40"/>
  <c r="I80" i="40"/>
  <c r="J80" i="40"/>
  <c r="K80" i="40"/>
  <c r="G81" i="40"/>
  <c r="H81" i="40"/>
  <c r="I81" i="40"/>
  <c r="J81" i="40"/>
  <c r="K81" i="40"/>
  <c r="G83" i="40"/>
  <c r="H83" i="40"/>
  <c r="I83" i="40"/>
  <c r="J83" i="40"/>
  <c r="K83" i="40"/>
  <c r="G84" i="40"/>
  <c r="H84" i="40"/>
  <c r="I84" i="40"/>
  <c r="J84" i="40"/>
  <c r="K84" i="40"/>
  <c r="G85" i="40"/>
  <c r="H85" i="40"/>
  <c r="I85" i="40"/>
  <c r="J85" i="40"/>
  <c r="K85" i="40"/>
  <c r="G88" i="40"/>
  <c r="H88" i="40"/>
  <c r="I88" i="40"/>
  <c r="J88" i="40"/>
  <c r="K88" i="40"/>
  <c r="G89" i="40"/>
  <c r="H89" i="40"/>
  <c r="I89" i="40"/>
  <c r="J89" i="40"/>
  <c r="K89" i="40"/>
  <c r="G91" i="40"/>
  <c r="H91" i="40"/>
  <c r="I91" i="40"/>
  <c r="J91" i="40"/>
  <c r="K91" i="40"/>
  <c r="G93" i="40"/>
  <c r="H93" i="40"/>
  <c r="I93" i="40"/>
  <c r="J93" i="40"/>
  <c r="K93" i="40"/>
  <c r="G94" i="40"/>
  <c r="H94" i="40"/>
  <c r="I94" i="40"/>
  <c r="J94" i="40"/>
  <c r="K94" i="40"/>
  <c r="G95" i="40"/>
  <c r="H95" i="40"/>
  <c r="I95" i="40"/>
  <c r="J95" i="40"/>
  <c r="K95" i="40"/>
  <c r="G96" i="40"/>
  <c r="H96" i="40"/>
  <c r="I96" i="40"/>
  <c r="J96" i="40"/>
  <c r="K96" i="40"/>
  <c r="G97" i="40"/>
  <c r="H97" i="40"/>
  <c r="I97" i="40"/>
  <c r="J97" i="40"/>
  <c r="K97" i="40"/>
  <c r="G98" i="40"/>
  <c r="H98" i="40"/>
  <c r="I98" i="40"/>
  <c r="J98" i="40"/>
  <c r="K98" i="40"/>
  <c r="G104" i="40"/>
  <c r="H104" i="40"/>
  <c r="I104" i="40"/>
  <c r="J104" i="40"/>
  <c r="K104" i="40"/>
  <c r="G106" i="40"/>
  <c r="H106" i="40"/>
  <c r="I106" i="40"/>
  <c r="J106" i="40"/>
  <c r="K106" i="40"/>
  <c r="G108" i="40"/>
  <c r="H108" i="40"/>
  <c r="I108" i="40"/>
  <c r="J108" i="40"/>
  <c r="K108" i="40"/>
  <c r="G109" i="40"/>
  <c r="H109" i="40"/>
  <c r="I109" i="40"/>
  <c r="J109" i="40"/>
  <c r="K109" i="40"/>
  <c r="G111" i="40"/>
  <c r="H111" i="40"/>
  <c r="I111" i="40"/>
  <c r="J111" i="40"/>
  <c r="K111" i="40"/>
  <c r="G114" i="40"/>
  <c r="H114" i="40"/>
  <c r="I114" i="40"/>
  <c r="J114" i="40"/>
  <c r="K114" i="40"/>
  <c r="G115" i="40"/>
  <c r="H115" i="40"/>
  <c r="I115" i="40"/>
  <c r="J115" i="40"/>
  <c r="K115" i="40"/>
  <c r="G117" i="40"/>
  <c r="H117" i="40"/>
  <c r="I117" i="40"/>
  <c r="J117" i="40"/>
  <c r="K117" i="40"/>
  <c r="G118" i="40"/>
  <c r="H118" i="40"/>
  <c r="I118" i="40"/>
  <c r="J118" i="40"/>
  <c r="K118" i="40"/>
  <c r="G119" i="40"/>
  <c r="H119" i="40"/>
  <c r="I119" i="40"/>
  <c r="J119" i="40"/>
  <c r="K119" i="40"/>
  <c r="G121" i="40"/>
  <c r="H121" i="40"/>
  <c r="I121" i="40"/>
  <c r="J121" i="40"/>
  <c r="K121" i="40"/>
  <c r="G123" i="40"/>
  <c r="H123" i="40"/>
  <c r="I123" i="40"/>
  <c r="J123" i="40"/>
  <c r="K123" i="40"/>
  <c r="J13" i="44"/>
  <c r="J14" i="44"/>
  <c r="J15" i="44"/>
  <c r="N15" i="44"/>
  <c r="H7" i="30"/>
  <c r="I7" i="30"/>
  <c r="J7" i="30"/>
  <c r="K7" i="30"/>
  <c r="L7" i="30"/>
  <c r="H8" i="30"/>
  <c r="I8" i="30"/>
  <c r="J8" i="30"/>
  <c r="K8" i="30"/>
  <c r="L8" i="30"/>
  <c r="H9" i="30"/>
  <c r="I9" i="30"/>
  <c r="J9" i="30"/>
  <c r="K9" i="30"/>
  <c r="L9" i="30"/>
  <c r="H10" i="30"/>
  <c r="I10" i="30"/>
  <c r="J10" i="30"/>
  <c r="K10" i="30"/>
  <c r="L10" i="30"/>
  <c r="I16" i="30"/>
  <c r="J16" i="30"/>
  <c r="K16" i="30"/>
  <c r="L16" i="30"/>
  <c r="H17" i="30"/>
  <c r="I17" i="30"/>
  <c r="J17" i="30"/>
  <c r="K17" i="30"/>
  <c r="L17" i="30"/>
  <c r="H19" i="30"/>
  <c r="I19" i="30"/>
  <c r="J19" i="30"/>
  <c r="K19" i="30"/>
  <c r="L19" i="30"/>
  <c r="H22" i="30"/>
  <c r="I22" i="30"/>
  <c r="J22" i="30"/>
  <c r="K22" i="30"/>
  <c r="L22" i="30"/>
  <c r="H23" i="30"/>
  <c r="I23" i="30"/>
  <c r="J23" i="30"/>
  <c r="K23" i="30"/>
  <c r="L23" i="30"/>
  <c r="I29" i="30"/>
  <c r="J29" i="30"/>
  <c r="K29" i="30"/>
  <c r="L29" i="30"/>
  <c r="H30" i="30"/>
  <c r="I30" i="30"/>
  <c r="J30" i="30"/>
  <c r="K30" i="30"/>
  <c r="L30" i="30"/>
  <c r="H32" i="30"/>
  <c r="I32" i="30"/>
  <c r="J32" i="30"/>
  <c r="K32" i="30"/>
  <c r="L32" i="30"/>
  <c r="H35" i="30"/>
  <c r="I35" i="30"/>
  <c r="J35" i="30"/>
  <c r="K35" i="30"/>
  <c r="L35" i="30"/>
  <c r="I42" i="30"/>
  <c r="J42" i="30"/>
  <c r="K42" i="30"/>
  <c r="L42" i="30"/>
  <c r="H43" i="30"/>
  <c r="I43" i="30"/>
  <c r="J43" i="30"/>
  <c r="K43" i="30"/>
  <c r="L43" i="30"/>
  <c r="H45" i="30"/>
  <c r="I45" i="30"/>
  <c r="J45" i="30"/>
  <c r="K45" i="30"/>
  <c r="L45" i="30"/>
  <c r="H48" i="30"/>
  <c r="I48" i="30"/>
  <c r="J48" i="30"/>
  <c r="K48" i="30"/>
  <c r="L48" i="30"/>
  <c r="H54" i="30"/>
  <c r="I54" i="30"/>
  <c r="J54" i="30"/>
  <c r="K54" i="30"/>
  <c r="L54" i="30"/>
  <c r="H55" i="30"/>
  <c r="I55" i="30"/>
  <c r="J55" i="30"/>
  <c r="K55" i="30"/>
  <c r="L55" i="30"/>
  <c r="H56" i="30"/>
  <c r="I56" i="30"/>
  <c r="J56" i="30"/>
  <c r="K56" i="30"/>
  <c r="L56" i="30"/>
  <c r="H62" i="30"/>
  <c r="I62" i="30"/>
  <c r="J62" i="30"/>
  <c r="K62" i="30"/>
  <c r="L62" i="30"/>
  <c r="H63" i="30"/>
  <c r="I63" i="30"/>
  <c r="J63" i="30"/>
  <c r="K63" i="30"/>
  <c r="L63" i="30"/>
  <c r="H64" i="30"/>
  <c r="I64" i="30"/>
  <c r="J64" i="30"/>
  <c r="K64" i="30"/>
  <c r="L64" i="30"/>
  <c r="H65" i="30"/>
  <c r="I65" i="30"/>
  <c r="J65" i="30"/>
  <c r="K65" i="30"/>
  <c r="L65" i="30"/>
  <c r="J25" i="14"/>
  <c r="K25" i="14"/>
  <c r="L25" i="14"/>
  <c r="M25" i="14"/>
  <c r="N25" i="14"/>
  <c r="J34" i="14"/>
  <c r="K34" i="14"/>
  <c r="L34" i="14"/>
  <c r="M34" i="14"/>
  <c r="N34" i="14"/>
  <c r="J37" i="14"/>
  <c r="K37" i="14"/>
  <c r="L37" i="14"/>
  <c r="M37" i="14"/>
  <c r="N37" i="14"/>
</calcChain>
</file>

<file path=xl/comments1.xml><?xml version="1.0" encoding="utf-8"?>
<comments xmlns="http://schemas.openxmlformats.org/spreadsheetml/2006/main">
  <authors>
    <author>作者</author>
  </authors>
  <commentList>
    <comment ref="C12" authorId="0">
      <text/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B38" authorId="0">
      <text>
        <r>
          <rPr>
            <sz val="9"/>
            <color indexed="81"/>
            <rFont val="宋体"/>
            <family val="3"/>
            <charset val="134"/>
          </rPr>
          <t>作者:
数字内容、特权订阅</t>
        </r>
      </text>
    </comment>
    <comment ref="B42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典型代表的是用户数排在前列的，MAU通常高于100万，属于极个别绝大多数仅20-30万的量级</t>
        </r>
      </text>
    </comment>
    <comment ref="B50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极光大数据
</t>
        </r>
      </text>
    </comment>
    <comment ref="B53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头部游戏占整个腾讯游戏月活数量的比例（估算）</t>
        </r>
      </text>
    </comment>
    <comment ref="B5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季度</t>
        </r>
      </text>
    </comment>
    <comment ref="Z57" authorId="0">
      <text>
        <r>
          <rPr>
            <b/>
            <sz val="10"/>
            <color indexed="81"/>
            <rFont val="宋体"/>
            <family val="3"/>
            <charset val="134"/>
          </rPr>
          <t>作者:</t>
        </r>
        <r>
          <rPr>
            <sz val="10"/>
            <color indexed="81"/>
            <rFont val="宋体"/>
            <family val="3"/>
            <charset val="134"/>
          </rPr>
          <t xml:space="preserve">
绝地求生玩家数量大幅增长，但尚无法货币化，导致整体付费率下降</t>
        </r>
      </text>
    </comment>
    <comment ref="B59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伽马数据</t>
        </r>
      </text>
    </comment>
    <comment ref="B68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艾瑞数据</t>
        </r>
      </text>
    </comment>
    <comment ref="B72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典型：地下城与勇士</t>
        </r>
      </text>
    </comment>
    <comment ref="B7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典型：英雄联盟、穿越火线、QQ飞车、QQ炫舞
</t>
        </r>
      </text>
    </comment>
    <comment ref="B78" authorId="0">
      <text>
        <r>
          <rPr>
            <b/>
            <sz val="10"/>
            <color indexed="81"/>
            <rFont val="宋体"/>
            <family val="3"/>
            <charset val="134"/>
          </rPr>
          <t>作者:</t>
        </r>
        <r>
          <rPr>
            <sz val="10"/>
            <color indexed="81"/>
            <rFont val="宋体"/>
            <family val="3"/>
            <charset val="134"/>
          </rPr>
          <t xml:space="preserve">
包括所有在手机上运行的腾讯游戏</t>
        </r>
      </text>
    </comment>
    <comment ref="B82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视频、音乐、在线文学、QQ会员、动画漫画、体育、直播
</t>
        </r>
      </text>
    </comment>
    <comment ref="B84" authorId="0">
      <text>
        <r>
          <rPr>
            <b/>
            <sz val="10"/>
            <color indexed="81"/>
            <rFont val="宋体"/>
            <family val="3"/>
            <charset val="134"/>
          </rPr>
          <t>作者:</t>
        </r>
        <r>
          <rPr>
            <sz val="10"/>
            <color indexed="81"/>
            <rFont val="宋体"/>
            <family val="3"/>
            <charset val="134"/>
          </rPr>
          <t xml:space="preserve">
腾讯音乐，数据来源见智腾讯音乐的模型</t>
        </r>
      </text>
    </comment>
    <comment ref="B85" authorId="0">
      <text>
        <r>
          <rPr>
            <b/>
            <sz val="10"/>
            <color indexed="81"/>
            <rFont val="宋体"/>
            <family val="3"/>
            <charset val="134"/>
          </rPr>
          <t>作者:</t>
        </r>
        <r>
          <rPr>
            <sz val="10"/>
            <color indexed="81"/>
            <rFont val="宋体"/>
            <family val="3"/>
            <charset val="134"/>
          </rPr>
          <t xml:space="preserve">
阅文集团，数据来源见智阅文模型</t>
        </r>
      </text>
    </comment>
    <comment ref="B87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参考爱奇艺，在腾讯视频中的整体收入中占比15%</t>
        </r>
      </text>
    </comment>
    <comment ref="U101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取的前后两个季度的中值</t>
        </r>
      </text>
    </comment>
    <comment ref="U102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取17Q4和18Q2的值的平均</t>
        </r>
      </text>
    </comment>
    <comment ref="Y102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取17Q4和18Q2的值的平均</t>
        </r>
      </text>
    </comment>
    <comment ref="B106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季度</t>
        </r>
      </text>
    </comment>
    <comment ref="B115" authorId="0">
      <text>
        <r>
          <rPr>
            <b/>
            <sz val="10"/>
            <color indexed="81"/>
            <rFont val="宋体"/>
            <family val="3"/>
            <charset val="134"/>
          </rPr>
          <t>作者:</t>
        </r>
        <r>
          <rPr>
            <sz val="10"/>
            <color indexed="81"/>
            <rFont val="宋体"/>
            <family val="3"/>
            <charset val="134"/>
          </rPr>
          <t xml:space="preserve">
朋友圈、小程序、移动广告联盟、QQ看点等。假设微信用户为所有用户</t>
        </r>
      </text>
    </comment>
    <comment ref="B121" authorId="0">
      <text>
        <r>
          <rPr>
            <b/>
            <sz val="10"/>
            <color indexed="81"/>
            <rFont val="宋体"/>
            <family val="3"/>
            <charset val="134"/>
          </rPr>
          <t>作者:</t>
        </r>
        <r>
          <rPr>
            <sz val="10"/>
            <color indexed="81"/>
            <rFont val="宋体"/>
            <family val="3"/>
            <charset val="134"/>
          </rPr>
          <t xml:space="preserve">
视频广告、新闻广告,17年底开始重启信息流商业化</t>
        </r>
      </text>
    </comment>
    <comment ref="B126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参考爱奇艺的推测</t>
        </r>
      </text>
    </comment>
    <comment ref="B145" authorId="0">
      <text>
        <r>
          <rPr>
            <b/>
            <sz val="10"/>
            <color indexed="81"/>
            <rFont val="宋体"/>
            <family val="3"/>
            <charset val="134"/>
          </rPr>
          <t>作者:</t>
        </r>
        <r>
          <rPr>
            <sz val="10"/>
            <color indexed="81"/>
            <rFont val="宋体"/>
            <family val="3"/>
            <charset val="134"/>
          </rPr>
          <t xml:space="preserve">
通过阿里云收入和IDC的市场调研市占率推测</t>
        </r>
      </text>
    </comment>
    <comment ref="B147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除云和支付以外的收入</t>
        </r>
      </text>
    </comment>
    <comment ref="B149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扣除云业务剩余的部分</t>
        </r>
      </text>
    </comment>
    <comment ref="AC149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备付金影响，预计影响收入</t>
        </r>
      </text>
    </comment>
    <comment ref="T151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16年财报披露，月活跃账户及日均交易笔数均超过6亿</t>
        </r>
      </text>
    </comment>
    <comment ref="Z151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日均成交量同比增长40%</t>
        </r>
      </text>
    </comment>
    <comment ref="Z152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6月末活跃用户数超过8亿</t>
        </r>
      </text>
    </comment>
    <comment ref="B153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与微信用户数比，16Q4和18Q2期末值较为确定，其它推测</t>
        </r>
      </text>
    </comment>
    <comment ref="B155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按已知数据比率推测</t>
        </r>
      </text>
    </comment>
    <comment ref="B156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这里比较粗糙，不太准确</t>
        </r>
      </text>
    </comment>
    <comment ref="AA168" authorId="0">
      <text>
        <r>
          <rPr>
            <b/>
            <sz val="10"/>
            <color indexed="81"/>
            <rFont val="宋体"/>
            <family val="3"/>
            <charset val="134"/>
          </rPr>
          <t>作者:</t>
        </r>
        <r>
          <rPr>
            <sz val="10"/>
            <color indexed="81"/>
            <rFont val="宋体"/>
            <family val="3"/>
            <charset val="134"/>
          </rPr>
          <t xml:space="preserve">
此处未考虑游戏税，如果征收35%的游戏税，将大幅降低毛利</t>
        </r>
      </text>
    </comment>
    <comment ref="B169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游戏成本、音乐视频的内容成本</t>
        </r>
      </text>
    </comment>
    <comment ref="B172" authorId="0">
      <text>
        <r>
          <rPr>
            <b/>
            <sz val="10"/>
            <color indexed="81"/>
            <rFont val="宋体"/>
            <family val="3"/>
            <charset val="134"/>
          </rPr>
          <t>作者:</t>
        </r>
        <r>
          <rPr>
            <sz val="10"/>
            <color indexed="81"/>
            <rFont val="宋体"/>
            <family val="3"/>
            <charset val="134"/>
          </rPr>
          <t xml:space="preserve">
毛利率比较低，FB的毛利超过80%，微博也有80%。</t>
        </r>
      </text>
    </comment>
    <comment ref="B173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内容成本、流量获取成本</t>
        </r>
      </text>
    </comment>
    <comment ref="AA176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备付金比率逐步提高至100%，影响利润率</t>
        </r>
      </text>
    </comment>
    <comment ref="B207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海外联营公司收入提升</t>
        </r>
      </text>
    </comment>
    <comment ref="B210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账面价值</t>
        </r>
      </text>
    </comment>
    <comment ref="B218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属于研发开支</t>
        </r>
      </text>
    </comment>
    <comment ref="B22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媒体内容及游戏特许权</t>
        </r>
      </text>
    </comment>
    <comment ref="B229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属于研发开支</t>
        </r>
      </text>
    </comment>
    <comment ref="B236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媒体内容及游戏特许权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N42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若干投资公司的资本活动产生的视同处置收益净额，和若干投资的估值增加产生的公允价值收益，以及退税和补贴</t>
        </r>
      </text>
    </comment>
    <comment ref="O42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若干投资公司的估值增加而产生的公允价值收益，以及若干投资公司的资本活动而产生的视同处置及处置收益净额</t>
        </r>
      </text>
    </comment>
    <comment ref="P42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投资的视同处置收益净额减少，若干投资的减值拨备增加，部分被投资组合公允价值的净增长带来的收益所抵消</t>
        </r>
      </text>
    </comment>
    <comment ref="Q45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仍然有待研究，后续修改可能性大</t>
        </r>
      </text>
    </comment>
    <comment ref="B70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海外联营公司收入提升</t>
        </r>
      </text>
    </comment>
    <comment ref="B79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简化计算</t>
        </r>
      </text>
    </comment>
    <comment ref="R10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过去3年均值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B70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海外联营公司收入提升</t>
        </r>
      </text>
    </comment>
    <comment ref="B79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简化计算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S20" authorId="0">
      <text>
        <r>
          <rPr>
            <b/>
            <sz val="9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新会计准则下变成585.15</t>
        </r>
      </text>
    </comment>
    <comment ref="S2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新会计准则下变成954.97</t>
        </r>
      </text>
    </comment>
    <comment ref="S2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变成18亿</t>
        </r>
      </text>
    </comment>
    <comment ref="S2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变成0</t>
        </r>
      </text>
    </comment>
    <comment ref="D4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投资京东87.98亿，收购乐居11.02亿。35.16亿对O2O、团购公司</t>
        </r>
      </text>
    </comment>
    <comment ref="E44" authorId="0">
      <text>
        <r>
          <rPr>
            <b/>
            <sz val="10"/>
            <color indexed="81"/>
            <rFont val="宋体"/>
            <family val="3"/>
            <charset val="134"/>
          </rPr>
          <t>作者:</t>
        </r>
        <r>
          <rPr>
            <sz val="10"/>
            <color indexed="81"/>
            <rFont val="宋体"/>
            <family val="3"/>
            <charset val="134"/>
          </rPr>
          <t xml:space="preserve">
京东上市追加投资81.61亿，额外认购乐居1.25亿，11.73亿收购四维图新11.28%，45.41亿收购58同城19.9%</t>
        </r>
      </text>
    </comment>
    <comment ref="F4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投资CJ Games的32.31亿</t>
        </r>
      </text>
    </comment>
    <comment ref="G4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追加京东9.2亿总代及为178.79亿。9亿投资微众银行。16.16亿收购中信资本23%。</t>
        </r>
      </text>
    </comment>
    <comment ref="N4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追加投资JD、微众银行和其它若干公司86.69亿</t>
        </r>
      </text>
    </comment>
    <comment ref="T4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64.62亿投资团购平台，33.17亿增持从事影视制作业务的公司28%的股权。29.85亿认购网游公司。</t>
        </r>
      </text>
    </comment>
    <comment ref="U4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64.62亿对一家从事电子商务的公司做出额外投资。
33.17亿增持一家媒体和娱乐业务公司28%的在外股权，并14.15亿进一步收购若干股权至44%，致使原本计入金融资产的转为对联营公司投资。
39.98亿进一步认购一家从事媒体和娱乐公司的股权，至43%。
29.85亿收购一家网络游戏业务公司的12%股权。</t>
        </r>
      </text>
    </comment>
    <comment ref="V4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三季度认购了生活服务电子商务平台27.57亿。</t>
        </r>
      </text>
    </comment>
    <comment ref="H4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投资移动娱乐行业公司，持股26.15%</t>
        </r>
      </text>
    </comment>
    <comment ref="I4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58同城24.57亿持有增至26.3%。Glu Mobile的7.73亿持有16.3%</t>
        </r>
      </text>
    </comment>
    <comment ref="J4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同程旅游15%</t>
        </r>
      </text>
    </comment>
    <comment ref="R4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在亚洲经营的网约车平台10%的在外股权</t>
        </r>
      </text>
    </comment>
    <comment ref="S4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从事电子商务的公司，收购其7%在外股权</t>
        </r>
      </text>
    </comment>
    <comment ref="E46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O2O生活资讯、互联网相关</t>
        </r>
      </text>
    </comment>
    <comment ref="H46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购买若干O2O生活资讯业务公司</t>
        </r>
      </text>
    </comment>
    <comment ref="I46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O2O</t>
        </r>
      </text>
    </comment>
    <comment ref="U48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有一家46.71亿的计入损益的金融资产重新指定为对联营公司投资</t>
        </r>
      </text>
    </comment>
    <comment ref="V48" authorId="0">
      <text>
        <r>
          <rPr>
            <b/>
            <sz val="10"/>
            <color indexed="81"/>
            <rFont val="宋体"/>
            <family val="3"/>
            <charset val="134"/>
          </rPr>
          <t>作者:</t>
        </r>
        <r>
          <rPr>
            <sz val="10"/>
            <color indexed="81"/>
            <rFont val="宋体"/>
            <family val="3"/>
            <charset val="134"/>
          </rPr>
          <t xml:space="preserve">
美团482.93亿，持有19%。从金融资产转过来。
102.66亿认购万达，后转拨
若干企业ipo后转拨，100.97亿</t>
        </r>
      </text>
    </comment>
    <comment ref="A52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在国际会计准则第9号下，被归类为以公允价值计量及其变动计入损益的金融资产</t>
        </r>
      </text>
    </comment>
    <comment ref="M52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19.7亿若干</t>
        </r>
      </text>
    </comment>
    <comment ref="N52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37.99亿若干</t>
        </r>
      </text>
    </comment>
    <comment ref="O52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36.28亿</t>
        </r>
      </text>
    </comment>
    <comment ref="P52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47.47亿，包括网络社区服务、共享单车、网络游戏等</t>
        </r>
      </text>
    </comment>
    <comment ref="Q52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152.2亿</t>
        </r>
      </text>
    </comment>
    <comment ref="H53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汽车金融互联网平台，占26.60%</t>
        </r>
      </text>
    </comment>
    <comment ref="H59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汽车杨业互联网内容及营销服务的第三方，购买了3.3%的股份</t>
        </r>
      </text>
    </comment>
    <comment ref="J59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华谊兄弟12.8亿，持有二增至8.06%</t>
        </r>
      </text>
    </comment>
    <comment ref="K6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将大众点评的股权转换为Internet Plus Holdings的股权，确认为金融资产。进一步认购其股份，63.96亿。</t>
        </r>
      </text>
    </comment>
    <comment ref="H62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O2O相关</t>
        </r>
      </text>
    </comment>
    <comment ref="I62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O2O和联营转入的</t>
        </r>
      </text>
    </comment>
    <comment ref="D6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11.77亿收购华南城9.9%的普通股。8.95亿对互联网相关业务</t>
        </r>
      </text>
    </comment>
    <comment ref="E6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华南城重分类到对联营公司投资，15.36亿O2O和互联网</t>
        </r>
      </text>
    </comment>
    <comment ref="M6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21.55亿收购一家网络运输公司的额外股权，若干公司50.57亿</t>
        </r>
      </text>
    </comment>
    <comment ref="N6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追加投资一家出行服务公司，及联营公司的投资转入</t>
        </r>
      </text>
    </comment>
    <comment ref="O6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收购Supercell，189.85亿。上市企业58亿，非上市企业56.12亿，对若干被投资公司做出额外投资金额69.22亿，从事的O2O及互联网相关业务</t>
        </r>
      </text>
    </comment>
    <comment ref="P6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72.07亿投资特斯拉</t>
        </r>
      </text>
    </comment>
    <comment ref="Q6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81.91亿投资特斯拉，46.7亿投资若干从事娱乐、科技、O2O的企业</t>
        </r>
      </text>
    </comment>
    <comment ref="S6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投资新能车、社交网络等243.12亿，收购音乐流媒体公司8%的股权114.28亿，投资106.45亿对从事本地生活服务线上到线下运营的公司。106.23亿若干游戏、娱乐、科技等互联网公司。</t>
        </r>
      </text>
    </comment>
    <comment ref="M6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其它全面收益中确认</t>
        </r>
      </text>
    </comment>
    <comment ref="Q6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其它全面收益中确认</t>
        </r>
      </text>
    </comment>
    <comment ref="A67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单季度值，非累积</t>
        </r>
      </text>
    </comment>
    <comment ref="A71" authorId="0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单季度值，非累积</t>
        </r>
      </text>
    </comment>
    <comment ref="T80" authorId="0">
      <text>
        <r>
          <rPr>
            <b/>
            <sz val="10"/>
            <color indexed="81"/>
            <rFont val="宋体"/>
            <family val="3"/>
            <charset val="134"/>
          </rPr>
          <t>作者:</t>
        </r>
        <r>
          <rPr>
            <sz val="10"/>
            <color indexed="81"/>
            <rFont val="宋体"/>
            <family val="3"/>
            <charset val="134"/>
          </rPr>
          <t xml:space="preserve">
29.22亿直播平台业务
25.36亿短视频分享
140.84亿若干游戏、娱乐、科技和互联网相关</t>
        </r>
      </text>
    </comment>
    <comment ref="V80" authorId="0">
      <text>
        <r>
          <rPr>
            <b/>
            <sz val="10"/>
            <color indexed="81"/>
            <rFont val="宋体"/>
            <family val="3"/>
            <charset val="134"/>
          </rPr>
          <t>作者:</t>
        </r>
        <r>
          <rPr>
            <sz val="10"/>
            <color indexed="81"/>
            <rFont val="宋体"/>
            <family val="3"/>
            <charset val="134"/>
          </rPr>
          <t xml:space="preserve">
29.22亿认购一间投资公司股权，从事媒体及娱乐业务。
27.99亿从事网络游戏业务。
25.36亿媒体及娱乐业务
34.81亿互联网相关
（转拨中的数据）</t>
        </r>
      </text>
    </comment>
    <comment ref="T9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永辉、唯品会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B10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网游和广告</t>
        </r>
      </text>
    </comment>
  </commentList>
</comments>
</file>

<file path=xl/comments7.xml><?xml version="1.0" encoding="utf-8"?>
<comments xmlns="http://schemas.openxmlformats.org/spreadsheetml/2006/main">
  <authors>
    <author>作者</author>
  </authors>
  <commentList>
    <comment ref="B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上市公司部分以公司公布的公允价值计算，非上市部分打8折</t>
        </r>
      </text>
    </comment>
    <comment ref="B1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1人民币兑1.16港元</t>
        </r>
      </text>
    </comment>
  </commentList>
</comments>
</file>

<file path=xl/sharedStrings.xml><?xml version="1.0" encoding="utf-8"?>
<sst xmlns="http://schemas.openxmlformats.org/spreadsheetml/2006/main" count="1569" uniqueCount="1102">
  <si>
    <t xml:space="preserve"> </t>
    <phoneticPr fontId="3" type="noConversion"/>
  </si>
  <si>
    <t xml:space="preserve"> </t>
    <phoneticPr fontId="3" type="noConversion"/>
  </si>
  <si>
    <t xml:space="preserve"> </t>
    <phoneticPr fontId="7" type="noConversion"/>
  </si>
  <si>
    <t>预测基准</t>
    <phoneticPr fontId="7" type="noConversion"/>
  </si>
  <si>
    <t xml:space="preserve"> </t>
    <phoneticPr fontId="7" type="noConversion"/>
  </si>
  <si>
    <t xml:space="preserve"> </t>
    <phoneticPr fontId="3" type="noConversion"/>
  </si>
  <si>
    <t xml:space="preserve"> </t>
    <phoneticPr fontId="3" type="noConversion"/>
  </si>
  <si>
    <t xml:space="preserve"> </t>
    <phoneticPr fontId="3" type="noConversion"/>
  </si>
  <si>
    <t xml:space="preserve"> </t>
    <phoneticPr fontId="7" type="noConversion"/>
  </si>
  <si>
    <t>期初现金余额</t>
    <phoneticPr fontId="3" type="noConversion"/>
  </si>
  <si>
    <t>期初余额</t>
    <phoneticPr fontId="3" type="noConversion"/>
  </si>
  <si>
    <t>当期增加/(减少)</t>
    <phoneticPr fontId="3" type="noConversion"/>
  </si>
  <si>
    <t>长期贷款利息费用</t>
    <phoneticPr fontId="3" type="noConversion"/>
  </si>
  <si>
    <t xml:space="preserve"> </t>
    <phoneticPr fontId="7" type="noConversion"/>
  </si>
  <si>
    <t xml:space="preserve"> </t>
    <phoneticPr fontId="7" type="noConversion"/>
  </si>
  <si>
    <t xml:space="preserve"> </t>
    <phoneticPr fontId="7" type="noConversion"/>
  </si>
  <si>
    <t>证券代码</t>
    <phoneticPr fontId="7" type="noConversion"/>
  </si>
  <si>
    <t>市盈率</t>
    <phoneticPr fontId="7" type="noConversion"/>
  </si>
  <si>
    <t>=</t>
  </si>
  <si>
    <t>输入数字假设，可以变动</t>
    <phoneticPr fontId="18" type="noConversion"/>
  </si>
  <si>
    <t>=</t>
    <phoneticPr fontId="3" type="noConversion"/>
  </si>
  <si>
    <t>模型的批注</t>
    <phoneticPr fontId="3" type="noConversion"/>
  </si>
  <si>
    <t>适用折现率：</t>
  </si>
  <si>
    <t>永续增长率g</t>
  </si>
  <si>
    <t>税后债务成本率</t>
  </si>
  <si>
    <t>股权成本率</t>
  </si>
  <si>
    <t>无风险报酬率</t>
  </si>
  <si>
    <t>风险补偿率</t>
  </si>
  <si>
    <t>贝塔系数</t>
  </si>
  <si>
    <t>目标资本结构</t>
  </si>
  <si>
    <t>结果输出</t>
    <phoneticPr fontId="7" type="noConversion"/>
  </si>
  <si>
    <t>关键假设</t>
    <phoneticPr fontId="7" type="noConversion"/>
  </si>
  <si>
    <t>估值过程</t>
    <phoneticPr fontId="7" type="noConversion"/>
  </si>
  <si>
    <t>公式或给定数字，无需变动</t>
    <phoneticPr fontId="18" type="noConversion"/>
  </si>
  <si>
    <t>3、根据以上假设参数，生成“资产负债表”和“利润表”的预测数据；</t>
    <phoneticPr fontId="7" type="noConversion"/>
  </si>
  <si>
    <t>5、根据迭代后的“资产负债表”和“利润表”，生成“现金流量表”；</t>
    <phoneticPr fontId="7" type="noConversion"/>
  </si>
  <si>
    <t>相关sheet颜色</t>
    <phoneticPr fontId="7" type="noConversion"/>
  </si>
  <si>
    <t>2018E</t>
  </si>
  <si>
    <t>2019E</t>
  </si>
  <si>
    <t>当期现金流量</t>
    <phoneticPr fontId="3" type="noConversion"/>
  </si>
  <si>
    <t>＋经营活动产生的现金流量</t>
    <phoneticPr fontId="3" type="noConversion"/>
  </si>
  <si>
    <t>＋投资活动产生的现金流量</t>
    <phoneticPr fontId="3" type="noConversion"/>
  </si>
  <si>
    <t>＋计入循环贷款前融资活动产生的现金流量</t>
    <phoneticPr fontId="3" type="noConversion"/>
  </si>
  <si>
    <t>期末余额</t>
    <phoneticPr fontId="3" type="noConversion"/>
  </si>
  <si>
    <t>利息收入</t>
    <phoneticPr fontId="3" type="noConversion"/>
  </si>
  <si>
    <t>期末余额</t>
    <phoneticPr fontId="3" type="noConversion"/>
  </si>
  <si>
    <t>利息费用合计</t>
    <phoneticPr fontId="3" type="noConversion"/>
  </si>
  <si>
    <t>-最低现金余额</t>
    <phoneticPr fontId="3" type="noConversion"/>
  </si>
  <si>
    <t>现金剩余/(缺口）</t>
    <phoneticPr fontId="3" type="noConversion"/>
  </si>
  <si>
    <t>财务费用</t>
    <phoneticPr fontId="3" type="noConversion"/>
  </si>
  <si>
    <t>加：所得税</t>
    <phoneticPr fontId="3" type="noConversion"/>
  </si>
  <si>
    <t>加：财务费用</t>
    <phoneticPr fontId="3" type="noConversion"/>
  </si>
  <si>
    <t>减：所得税（Taxes on EBIT）</t>
    <phoneticPr fontId="3" type="noConversion"/>
  </si>
  <si>
    <t>税后经营利润 (NOPAT)</t>
    <phoneticPr fontId="3" type="noConversion"/>
  </si>
  <si>
    <t>加：折旧</t>
    <phoneticPr fontId="3" type="noConversion"/>
  </si>
  <si>
    <t>加：摊销</t>
    <phoneticPr fontId="3" type="noConversion"/>
  </si>
  <si>
    <t>减：营运资本的增加（加：减少）</t>
    <phoneticPr fontId="3" type="noConversion"/>
  </si>
  <si>
    <t xml:space="preserve">    资本性支出</t>
    <phoneticPr fontId="3" type="noConversion"/>
  </si>
  <si>
    <t>同比变化（%）</t>
    <phoneticPr fontId="3" type="noConversion"/>
  </si>
  <si>
    <t xml:space="preserve">企业自由现金流量 </t>
    <phoneticPr fontId="3" type="noConversion"/>
  </si>
  <si>
    <t>适用折现率：</t>
    <phoneticPr fontId="3" type="noConversion"/>
  </si>
  <si>
    <t>永续增长率g</t>
    <phoneticPr fontId="3" type="noConversion"/>
  </si>
  <si>
    <t>税后债务成本率</t>
    <phoneticPr fontId="3" type="noConversion"/>
  </si>
  <si>
    <t>股权成本率</t>
    <phoneticPr fontId="3" type="noConversion"/>
  </si>
  <si>
    <t>无风险报酬率</t>
    <phoneticPr fontId="3" type="noConversion"/>
  </si>
  <si>
    <t>风险补偿率</t>
    <phoneticPr fontId="3" type="noConversion"/>
  </si>
  <si>
    <t>贝塔系数</t>
    <phoneticPr fontId="3" type="noConversion"/>
  </si>
  <si>
    <t>目标资本结构</t>
    <phoneticPr fontId="3" type="noConversion"/>
  </si>
  <si>
    <t>WACC/g</t>
    <phoneticPr fontId="3" type="noConversion"/>
  </si>
  <si>
    <t>敏感性分析</t>
    <phoneticPr fontId="3" type="noConversion"/>
  </si>
  <si>
    <t>紫色</t>
    <phoneticPr fontId="7" type="noConversion"/>
  </si>
  <si>
    <t>蓝色</t>
    <phoneticPr fontId="7" type="noConversion"/>
  </si>
  <si>
    <t>ROE检验</t>
    <phoneticPr fontId="3" type="noConversion"/>
  </si>
  <si>
    <t>净利润增速</t>
    <phoneticPr fontId="3" type="noConversion"/>
  </si>
  <si>
    <t>收入/固定资产</t>
    <phoneticPr fontId="7" type="noConversion"/>
  </si>
  <si>
    <t>固定资产折旧</t>
    <phoneticPr fontId="7" type="noConversion"/>
  </si>
  <si>
    <t>合计</t>
    <phoneticPr fontId="7" type="noConversion"/>
  </si>
  <si>
    <t>净利率</t>
    <phoneticPr fontId="3" type="noConversion"/>
  </si>
  <si>
    <t>1、“资产负债表”、“利润表”的会计科目和历史数据根据公司定期报告数据做适当调整而得；</t>
    <phoneticPr fontId="7" type="noConversion"/>
  </si>
  <si>
    <t>2、结合以上历史数据及分析判断确定各预测假设参数；</t>
    <phoneticPr fontId="7" type="noConversion"/>
  </si>
  <si>
    <t>6、利用最终预测的三张表格进行DCF或者PE等模型估值。</t>
    <phoneticPr fontId="7" type="noConversion"/>
  </si>
  <si>
    <t>敏感性分析</t>
    <phoneticPr fontId="7" type="noConversion"/>
  </si>
  <si>
    <t>企业价值</t>
  </si>
  <si>
    <t>减净负债</t>
  </si>
  <si>
    <t>减少数股东权益</t>
  </si>
  <si>
    <t>估值结果</t>
    <phoneticPr fontId="7" type="noConversion"/>
  </si>
  <si>
    <t>估值参数</t>
    <phoneticPr fontId="7" type="noConversion"/>
  </si>
  <si>
    <t>三年利润
复合增速</t>
    <phoneticPr fontId="7" type="noConversion"/>
  </si>
  <si>
    <t>1、经营性流动资产</t>
    <phoneticPr fontId="3" type="noConversion"/>
  </si>
  <si>
    <t>检验</t>
    <phoneticPr fontId="3" type="noConversion"/>
  </si>
  <si>
    <t>营收增速</t>
    <phoneticPr fontId="3" type="noConversion"/>
  </si>
  <si>
    <t>运营资本测算</t>
    <phoneticPr fontId="3" type="noConversion"/>
  </si>
  <si>
    <t>参数假设</t>
    <phoneticPr fontId="3" type="noConversion"/>
  </si>
  <si>
    <t>折现过程及结果</t>
    <phoneticPr fontId="3" type="noConversion"/>
  </si>
  <si>
    <t>WACC/g</t>
    <phoneticPr fontId="7" type="noConversion"/>
  </si>
  <si>
    <t>二、数据输入和引用说明：</t>
    <phoneticPr fontId="3" type="noConversion"/>
  </si>
  <si>
    <t>三、估值模版各sheet颜色标记说明：</t>
    <phoneticPr fontId="3" type="noConversion"/>
  </si>
  <si>
    <t>四、估值模版运行过程说明：</t>
    <phoneticPr fontId="3" type="noConversion"/>
  </si>
  <si>
    <t>4、根据设定的融资假设，预测具体的融资计划，并对“资产负债表”及“利润表”进行迭代优化计算；</t>
    <phoneticPr fontId="7" type="noConversion"/>
  </si>
  <si>
    <t>一、EXCEL循环计算功能说明</t>
    <phoneticPr fontId="7" type="noConversion"/>
  </si>
  <si>
    <t>以WORD2007为例，依次点击文件-选项-公式-启用迭代计算，打开EXCEL循环计算功能。</t>
    <phoneticPr fontId="7" type="noConversion"/>
  </si>
  <si>
    <r>
      <t>折现系数1/(1+k)</t>
    </r>
    <r>
      <rPr>
        <vertAlign val="superscript"/>
        <sz val="11"/>
        <rFont val="微软雅黑"/>
        <family val="2"/>
        <charset val="134"/>
      </rPr>
      <t xml:space="preserve">t </t>
    </r>
    <phoneticPr fontId="3" type="noConversion"/>
  </si>
  <si>
    <t>红色</t>
    <phoneticPr fontId="7" type="noConversion"/>
  </si>
  <si>
    <t>3、经营性流动负债</t>
    <phoneticPr fontId="3" type="noConversion"/>
  </si>
  <si>
    <t>2、经营性非流动资产</t>
    <phoneticPr fontId="3" type="noConversion"/>
  </si>
  <si>
    <t>资产负债科目假设</t>
    <phoneticPr fontId="3" type="noConversion"/>
  </si>
  <si>
    <t>融资假设</t>
    <phoneticPr fontId="3" type="noConversion"/>
  </si>
  <si>
    <t>检验</t>
    <phoneticPr fontId="3" type="noConversion"/>
  </si>
  <si>
    <t>折旧与摊销汇总</t>
    <phoneticPr fontId="3" type="noConversion"/>
  </si>
  <si>
    <t>当前股价</t>
    <phoneticPr fontId="7" type="noConversion"/>
  </si>
  <si>
    <t>DCF估值对应股价</t>
    <phoneticPr fontId="7" type="noConversion"/>
  </si>
  <si>
    <t>（1）物业、厂房及设备投资额</t>
    <phoneticPr fontId="7" type="noConversion"/>
  </si>
  <si>
    <t>息税前利润（EBIT）</t>
    <phoneticPr fontId="3" type="noConversion"/>
  </si>
  <si>
    <t>权益科目假设</t>
    <phoneticPr fontId="3" type="noConversion"/>
  </si>
  <si>
    <t>1、股本</t>
    <phoneticPr fontId="3" type="noConversion"/>
  </si>
  <si>
    <t>2、期权成本假设</t>
    <phoneticPr fontId="3" type="noConversion"/>
  </si>
  <si>
    <t>3、权益融资净额假设</t>
    <phoneticPr fontId="3" type="noConversion"/>
  </si>
  <si>
    <t>归属母公司权益价值</t>
    <phoneticPr fontId="7" type="noConversion"/>
  </si>
  <si>
    <t>4、经营性非流动负债</t>
    <phoneticPr fontId="3" type="noConversion"/>
  </si>
  <si>
    <t>短期贷款实际需求</t>
    <phoneticPr fontId="7" type="noConversion"/>
  </si>
  <si>
    <t>短期贷款期末余额</t>
    <phoneticPr fontId="3" type="noConversion"/>
  </si>
  <si>
    <t>短期贷款期初余额</t>
    <phoneticPr fontId="3" type="noConversion"/>
  </si>
  <si>
    <t>短期贷款的增加/(减少)</t>
    <phoneticPr fontId="3" type="noConversion"/>
  </si>
  <si>
    <t>短期贷款利息费用</t>
    <phoneticPr fontId="3" type="noConversion"/>
  </si>
  <si>
    <t>（2）长期借款假设</t>
    <phoneticPr fontId="3" type="noConversion"/>
  </si>
  <si>
    <t>（1）短期借款假设</t>
    <phoneticPr fontId="3" type="noConversion"/>
  </si>
  <si>
    <t>（3）现金测算</t>
    <phoneticPr fontId="3" type="noConversion"/>
  </si>
  <si>
    <t>资产负债率</t>
    <phoneticPr fontId="3" type="noConversion"/>
  </si>
  <si>
    <t>2020E</t>
  </si>
  <si>
    <t>期末账面余额（净值）</t>
    <phoneticPr fontId="3" type="noConversion"/>
  </si>
  <si>
    <t>期初账面价值（净值）</t>
    <phoneticPr fontId="3" type="noConversion"/>
  </si>
  <si>
    <t xml:space="preserve">    年内折旧</t>
    <phoneticPr fontId="3" type="noConversion"/>
  </si>
  <si>
    <t>折旧率</t>
    <phoneticPr fontId="3" type="noConversion"/>
  </si>
  <si>
    <t>股票代码</t>
    <phoneticPr fontId="7" type="noConversion"/>
  </si>
  <si>
    <t>物业、厂房及设备假设</t>
    <phoneticPr fontId="3" type="noConversion"/>
  </si>
  <si>
    <t>今日汇率</t>
    <phoneticPr fontId="7" type="noConversion"/>
  </si>
  <si>
    <t>最新日期</t>
    <phoneticPr fontId="7" type="noConversion"/>
  </si>
  <si>
    <t xml:space="preserve">    年内计提摊销</t>
    <phoneticPr fontId="3" type="noConversion"/>
  </si>
  <si>
    <t xml:space="preserve">   添置</t>
    <phoneticPr fontId="7" type="noConversion"/>
  </si>
  <si>
    <t>假设1：公司最低现金余额占营业收入比例为：</t>
    <phoneticPr fontId="3" type="noConversion"/>
  </si>
  <si>
    <t>假设2：公司银行结余利率为：</t>
    <phoneticPr fontId="3" type="noConversion"/>
  </si>
  <si>
    <t>在建工程</t>
    <phoneticPr fontId="3" type="noConversion"/>
  </si>
  <si>
    <t>假设5：公司短期借款利率为：</t>
    <phoneticPr fontId="3" type="noConversion"/>
  </si>
  <si>
    <t>假设6：长期借款/固定资产+无形资产</t>
    <phoneticPr fontId="3" type="noConversion"/>
  </si>
  <si>
    <t>假设7：公司长期借款利率为：</t>
    <phoneticPr fontId="3" type="noConversion"/>
  </si>
  <si>
    <t>假设8：利息费用化率</t>
    <phoneticPr fontId="3" type="noConversion"/>
  </si>
  <si>
    <t>总市值
（亿美元）</t>
    <phoneticPr fontId="7" type="noConversion"/>
  </si>
  <si>
    <t>收盘价
（美元）</t>
    <phoneticPr fontId="7" type="noConversion"/>
  </si>
  <si>
    <t>摊销率</t>
    <phoneticPr fontId="3" type="noConversion"/>
  </si>
  <si>
    <t>4、借款循环假设：</t>
    <phoneticPr fontId="7" type="noConversion"/>
  </si>
  <si>
    <t>年中日期</t>
    <phoneticPr fontId="7" type="noConversion"/>
  </si>
  <si>
    <t>2021E</t>
  </si>
  <si>
    <t>2022E</t>
  </si>
  <si>
    <t xml:space="preserve">    普通股股数</t>
    <phoneticPr fontId="3" type="noConversion"/>
  </si>
  <si>
    <t xml:space="preserve">    稀释股数</t>
    <phoneticPr fontId="3" type="noConversion"/>
  </si>
  <si>
    <t>股利支付率</t>
    <phoneticPr fontId="7" type="noConversion"/>
  </si>
  <si>
    <t xml:space="preserve">     同比增速</t>
    <phoneticPr fontId="3" type="noConversion"/>
  </si>
  <si>
    <t>毛利</t>
    <phoneticPr fontId="3" type="noConversion"/>
  </si>
  <si>
    <t xml:space="preserve">    毛利率</t>
    <phoneticPr fontId="3" type="noConversion"/>
  </si>
  <si>
    <t xml:space="preserve">    同比增速</t>
    <phoneticPr fontId="3" type="noConversion"/>
  </si>
  <si>
    <t>营业费用:</t>
    <phoneticPr fontId="3" type="noConversion"/>
  </si>
  <si>
    <t>营业费用合计</t>
    <phoneticPr fontId="3" type="noConversion"/>
  </si>
  <si>
    <t>其他收入/(支出):</t>
    <phoneticPr fontId="3" type="noConversion"/>
  </si>
  <si>
    <t>股利</t>
    <phoneticPr fontId="3" type="noConversion"/>
  </si>
  <si>
    <t xml:space="preserve">     股利支付率</t>
    <phoneticPr fontId="3" type="noConversion"/>
  </si>
  <si>
    <t>分红后净利润</t>
    <phoneticPr fontId="3" type="noConversion"/>
  </si>
  <si>
    <t>其他综合收益</t>
    <phoneticPr fontId="3" type="noConversion"/>
  </si>
  <si>
    <t>综合收益</t>
    <phoneticPr fontId="3" type="noConversion"/>
  </si>
  <si>
    <t>稀释每股收益</t>
    <phoneticPr fontId="3" type="noConversion"/>
  </si>
  <si>
    <t>现金及现金等价物</t>
    <phoneticPr fontId="3" type="noConversion"/>
  </si>
  <si>
    <t>定期存款</t>
    <phoneticPr fontId="3" type="noConversion"/>
  </si>
  <si>
    <t>流动资产合计</t>
    <phoneticPr fontId="3" type="noConversion"/>
  </si>
  <si>
    <t>非流动资产合计</t>
    <phoneticPr fontId="3" type="noConversion"/>
  </si>
  <si>
    <t>资产合计</t>
    <phoneticPr fontId="3" type="noConversion"/>
  </si>
  <si>
    <t>短期借款</t>
    <phoneticPr fontId="3" type="noConversion"/>
  </si>
  <si>
    <t>递延收入</t>
    <phoneticPr fontId="3" type="noConversion"/>
  </si>
  <si>
    <t>流动负债合计</t>
    <phoneticPr fontId="3" type="noConversion"/>
  </si>
  <si>
    <t>长期借款</t>
    <phoneticPr fontId="3" type="noConversion"/>
  </si>
  <si>
    <t>非流动负债合计</t>
    <phoneticPr fontId="3" type="noConversion"/>
  </si>
  <si>
    <t>负债合计</t>
    <phoneticPr fontId="3" type="noConversion"/>
  </si>
  <si>
    <t>储备</t>
    <phoneticPr fontId="3" type="noConversion"/>
  </si>
  <si>
    <t>股东权益合计</t>
    <phoneticPr fontId="3" type="noConversion"/>
  </si>
  <si>
    <t>平衡测试</t>
    <phoneticPr fontId="3" type="noConversion"/>
  </si>
  <si>
    <t>—法定储备</t>
    <phoneticPr fontId="3" type="noConversion"/>
  </si>
  <si>
    <t>—其他综合收益</t>
    <phoneticPr fontId="3" type="noConversion"/>
  </si>
  <si>
    <t>1、经营活动现金流量：</t>
  </si>
  <si>
    <t>净利润</t>
    <phoneticPr fontId="7" type="noConversion"/>
  </si>
  <si>
    <t>经调整：</t>
  </si>
  <si>
    <t>营运资金变动前经营现金流量：</t>
  </si>
  <si>
    <t>2、投资活动现金流量：</t>
  </si>
  <si>
    <t>经营活动（所用）╱所得现金净额</t>
  </si>
  <si>
    <t>投资活动所得╱（所用）现金净额</t>
  </si>
  <si>
    <t>3、融资活动现金流量：</t>
  </si>
  <si>
    <t>融资活动所得╱（所用）现金净额</t>
  </si>
  <si>
    <t>现金及现金等价物（减少）╱增加净额</t>
    <phoneticPr fontId="7" type="noConversion"/>
  </si>
  <si>
    <t>年初现金及现金等价物</t>
    <phoneticPr fontId="7" type="noConversion"/>
  </si>
  <si>
    <t>汇率变动对现金及现金等价物的影响</t>
    <phoneticPr fontId="7" type="noConversion"/>
  </si>
  <si>
    <t>年末现金及现金等价物</t>
    <phoneticPr fontId="7" type="noConversion"/>
  </si>
  <si>
    <t>增加/(减少)递延收入</t>
    <phoneticPr fontId="7" type="noConversion"/>
  </si>
  <si>
    <t>已付股东之股息</t>
    <phoneticPr fontId="7" type="noConversion"/>
  </si>
  <si>
    <t>负债，夹层资本及股东权益合计</t>
    <phoneticPr fontId="3" type="noConversion"/>
  </si>
  <si>
    <t>无形资产</t>
    <phoneticPr fontId="3" type="noConversion"/>
  </si>
  <si>
    <t xml:space="preserve">    净添置</t>
    <phoneticPr fontId="7" type="noConversion"/>
  </si>
  <si>
    <t>无形资产假设</t>
    <phoneticPr fontId="3" type="noConversion"/>
  </si>
  <si>
    <t>收入/无形资产</t>
    <phoneticPr fontId="7" type="noConversion"/>
  </si>
  <si>
    <t>无形资产摊销</t>
    <phoneticPr fontId="7" type="noConversion"/>
  </si>
  <si>
    <t>2025E</t>
  </si>
  <si>
    <t>2026E</t>
  </si>
  <si>
    <t>2027E</t>
  </si>
  <si>
    <t>2028E</t>
  </si>
  <si>
    <t>2029E</t>
  </si>
  <si>
    <t>2030E</t>
  </si>
  <si>
    <t>企业自由现金流量 （中期预测）</t>
    <phoneticPr fontId="3" type="noConversion"/>
  </si>
  <si>
    <r>
      <t>折现系数1/(1+k)</t>
    </r>
    <r>
      <rPr>
        <vertAlign val="superscript"/>
        <sz val="11"/>
        <rFont val="微软雅黑"/>
        <family val="2"/>
        <charset val="134"/>
      </rPr>
      <t xml:space="preserve">t </t>
    </r>
    <phoneticPr fontId="3" type="noConversion"/>
  </si>
  <si>
    <t>预测期自由现金流量总计（亿元）</t>
    <phoneticPr fontId="3" type="noConversion"/>
  </si>
  <si>
    <t>永续期自由现金流量总计（亿元）</t>
    <phoneticPr fontId="3" type="noConversion"/>
  </si>
  <si>
    <t>企业价值（亿元）</t>
    <phoneticPr fontId="3" type="noConversion"/>
  </si>
  <si>
    <t>减净负债（亿元）</t>
    <phoneticPr fontId="3" type="noConversion"/>
  </si>
  <si>
    <t>减少数股东权益（亿元）</t>
    <phoneticPr fontId="3" type="noConversion"/>
  </si>
  <si>
    <t>假设3：公司定期存款利率为：</t>
    <phoneticPr fontId="3" type="noConversion"/>
  </si>
  <si>
    <t>摊薄每股收益</t>
    <phoneticPr fontId="3" type="noConversion"/>
  </si>
  <si>
    <t xml:space="preserve">    期权成本占收入比例假设</t>
    <phoneticPr fontId="7" type="noConversion"/>
  </si>
  <si>
    <t>所得税开支</t>
    <phoneticPr fontId="3" type="noConversion"/>
  </si>
  <si>
    <t>营业盈利</t>
    <phoneticPr fontId="3" type="noConversion"/>
  </si>
  <si>
    <t>存货</t>
    <phoneticPr fontId="3" type="noConversion"/>
  </si>
  <si>
    <t>定期存款</t>
    <phoneticPr fontId="3" type="noConversion"/>
  </si>
  <si>
    <t>股本</t>
    <phoneticPr fontId="3" type="noConversion"/>
  </si>
  <si>
    <t>(增加)/减少存货</t>
    <phoneticPr fontId="7" type="noConversion"/>
  </si>
  <si>
    <t>（2）无形资产投资额</t>
    <phoneticPr fontId="7" type="noConversion"/>
  </si>
  <si>
    <t>商誉</t>
    <phoneticPr fontId="3" type="noConversion"/>
  </si>
  <si>
    <t>2019E</t>
    <phoneticPr fontId="46" type="noConversion"/>
  </si>
  <si>
    <t>自营</t>
    <phoneticPr fontId="46" type="noConversion"/>
  </si>
  <si>
    <t>版权运营</t>
    <phoneticPr fontId="46" type="noConversion"/>
  </si>
  <si>
    <t>纸质图书</t>
    <phoneticPr fontId="46" type="noConversion"/>
  </si>
  <si>
    <t>营业成本</t>
    <phoneticPr fontId="46" type="noConversion"/>
  </si>
  <si>
    <t>2020E</t>
    <phoneticPr fontId="46" type="noConversion"/>
  </si>
  <si>
    <t>利息收入</t>
    <phoneticPr fontId="46" type="noConversion"/>
  </si>
  <si>
    <t>人民币/港币</t>
    <phoneticPr fontId="7" type="noConversion"/>
  </si>
  <si>
    <t>DCF估值对应股价（港元）</t>
    <phoneticPr fontId="3" type="noConversion"/>
  </si>
  <si>
    <t>当前股价（港元）</t>
    <phoneticPr fontId="3" type="noConversion"/>
  </si>
  <si>
    <t>当前市值（亿港元）</t>
    <phoneticPr fontId="3" type="noConversion"/>
  </si>
  <si>
    <t>物业、设备及器材</t>
    <phoneticPr fontId="3" type="noConversion"/>
  </si>
  <si>
    <t>递延所得税资产</t>
    <phoneticPr fontId="3" type="noConversion"/>
  </si>
  <si>
    <t>—股本溢价</t>
    <phoneticPr fontId="3" type="noConversion"/>
  </si>
  <si>
    <t>—其他储备</t>
    <phoneticPr fontId="3" type="noConversion"/>
  </si>
  <si>
    <t>—保留盈利╱（累计亏损）</t>
    <phoneticPr fontId="3" type="noConversion"/>
  </si>
  <si>
    <t>非控制性权益</t>
    <phoneticPr fontId="3" type="noConversion"/>
  </si>
  <si>
    <t>年内盈利</t>
    <phoneticPr fontId="3" type="noConversion"/>
  </si>
  <si>
    <t>归属公司权益持有人</t>
    <phoneticPr fontId="3" type="noConversion"/>
  </si>
  <si>
    <t>归属非控制性权益</t>
    <phoneticPr fontId="3" type="noConversion"/>
  </si>
  <si>
    <t>归属公司权益持有人的净利润</t>
    <phoneticPr fontId="3" type="noConversion"/>
  </si>
  <si>
    <t>归属非控制性权益的综合收益</t>
    <phoneticPr fontId="3" type="noConversion"/>
  </si>
  <si>
    <t>所得税开支</t>
    <phoneticPr fontId="7" type="noConversion"/>
  </si>
  <si>
    <t>发行普通股的所得款项</t>
    <phoneticPr fontId="7" type="noConversion"/>
  </si>
  <si>
    <t>假设4：公司短期贷款占相关资产项目比例为：</t>
    <phoneticPr fontId="3" type="noConversion"/>
  </si>
  <si>
    <t>亿港元</t>
    <phoneticPr fontId="7" type="noConversion"/>
  </si>
  <si>
    <t>港元</t>
    <phoneticPr fontId="7" type="noConversion"/>
  </si>
  <si>
    <t>港元</t>
    <phoneticPr fontId="7" type="noConversion"/>
  </si>
  <si>
    <t>可比公司</t>
    <phoneticPr fontId="7" type="noConversion"/>
  </si>
  <si>
    <t>0700.HK</t>
    <phoneticPr fontId="7" type="noConversion"/>
  </si>
  <si>
    <t>收入</t>
    <phoneticPr fontId="3" type="noConversion"/>
  </si>
  <si>
    <t>收入合计</t>
    <phoneticPr fontId="3" type="noConversion"/>
  </si>
  <si>
    <t>其他</t>
    <phoneticPr fontId="3" type="noConversion"/>
  </si>
  <si>
    <t>收入成本</t>
    <phoneticPr fontId="3" type="noConversion"/>
  </si>
  <si>
    <t>单位：百万元</t>
    <phoneticPr fontId="3" type="noConversion"/>
  </si>
  <si>
    <t>年结日：12月31日（单位：百万元）</t>
    <phoneticPr fontId="7" type="noConversion"/>
  </si>
  <si>
    <t>在建工程</t>
    <phoneticPr fontId="3" type="noConversion"/>
  </si>
  <si>
    <t>股息收入</t>
    <phoneticPr fontId="7" type="noConversion"/>
  </si>
  <si>
    <t>利息收入</t>
    <phoneticPr fontId="7" type="noConversion"/>
  </si>
  <si>
    <t>增加/(减少)受限制现金</t>
    <phoneticPr fontId="7" type="noConversion"/>
  </si>
  <si>
    <t>已付所得税</t>
    <phoneticPr fontId="7" type="noConversion"/>
  </si>
  <si>
    <t>已收利息</t>
    <phoneticPr fontId="7" type="noConversion"/>
  </si>
  <si>
    <t>已收股息</t>
    <phoneticPr fontId="7" type="noConversion"/>
  </si>
  <si>
    <t>资本开支汇总（百万元）</t>
    <phoneticPr fontId="3" type="noConversion"/>
  </si>
  <si>
    <t>单位：亿</t>
    <phoneticPr fontId="7" type="noConversion"/>
  </si>
  <si>
    <t>15Q1</t>
  </si>
  <si>
    <t>15Q2</t>
  </si>
  <si>
    <t>15Q3</t>
  </si>
  <si>
    <t>15Q4</t>
  </si>
  <si>
    <t>16Q1</t>
  </si>
  <si>
    <t>16Q2</t>
  </si>
  <si>
    <t>16Q3</t>
  </si>
  <si>
    <t>16Q4</t>
  </si>
  <si>
    <t>17Q1</t>
  </si>
  <si>
    <t>17Q2</t>
  </si>
  <si>
    <t>17Q3</t>
  </si>
  <si>
    <t>17Q4</t>
  </si>
  <si>
    <t>18Q1</t>
  </si>
  <si>
    <t>18Q2</t>
  </si>
  <si>
    <t>18Q3</t>
  </si>
  <si>
    <t>18Q4</t>
  </si>
  <si>
    <t>19Q1</t>
  </si>
  <si>
    <t>19Q2</t>
  </si>
  <si>
    <t>19Q3</t>
  </si>
  <si>
    <t>19Q4</t>
  </si>
  <si>
    <t>20Q1</t>
  </si>
  <si>
    <t>20Q2</t>
  </si>
  <si>
    <t>20Q3</t>
  </si>
  <si>
    <t>20Q4</t>
  </si>
  <si>
    <t>21Q1</t>
    <phoneticPr fontId="46" type="noConversion"/>
  </si>
  <si>
    <t>21Q2</t>
  </si>
  <si>
    <t>21Q3</t>
  </si>
  <si>
    <t>21Q4</t>
  </si>
  <si>
    <t>22Q2</t>
  </si>
  <si>
    <t>22Q3</t>
  </si>
  <si>
    <t>22Q4</t>
  </si>
  <si>
    <t>总收入</t>
    <phoneticPr fontId="46" type="noConversion"/>
  </si>
  <si>
    <t>QQ</t>
    <phoneticPr fontId="46" type="noConversion"/>
  </si>
  <si>
    <t>QQ智能终端</t>
    <phoneticPr fontId="46" type="noConversion"/>
  </si>
  <si>
    <t>微信</t>
    <phoneticPr fontId="46" type="noConversion"/>
  </si>
  <si>
    <t>QQ空间</t>
    <phoneticPr fontId="46" type="noConversion"/>
  </si>
  <si>
    <t>QQ空间智能终端</t>
    <phoneticPr fontId="46" type="noConversion"/>
  </si>
  <si>
    <t>腾讯视频</t>
    <phoneticPr fontId="46" type="noConversion"/>
  </si>
  <si>
    <t>其它</t>
    <phoneticPr fontId="46" type="noConversion"/>
  </si>
  <si>
    <t>收费注册用户数</t>
    <phoneticPr fontId="46" type="noConversion"/>
  </si>
  <si>
    <t>同比</t>
    <phoneticPr fontId="46" type="noConversion"/>
  </si>
  <si>
    <t>收入侧</t>
    <phoneticPr fontId="46" type="noConversion"/>
  </si>
  <si>
    <t>增值服务</t>
    <phoneticPr fontId="46" type="noConversion"/>
  </si>
  <si>
    <t>网络游戏收入</t>
    <phoneticPr fontId="46" type="noConversion"/>
  </si>
  <si>
    <t>社交网络收入</t>
    <phoneticPr fontId="46" type="noConversion"/>
  </si>
  <si>
    <t>手游收入</t>
    <phoneticPr fontId="46" type="noConversion"/>
  </si>
  <si>
    <t>端游收入</t>
    <phoneticPr fontId="46" type="noConversion"/>
  </si>
  <si>
    <t>数字内容</t>
    <phoneticPr fontId="46" type="noConversion"/>
  </si>
  <si>
    <t>手游同比</t>
    <phoneticPr fontId="46" type="noConversion"/>
  </si>
  <si>
    <t>典型手游MAU</t>
    <phoneticPr fontId="46" type="noConversion"/>
  </si>
  <si>
    <t>王者荣耀</t>
  </si>
  <si>
    <t>欢乐斗地主</t>
  </si>
  <si>
    <t>欢乐麻将</t>
  </si>
  <si>
    <t>QQ飞车</t>
  </si>
  <si>
    <t>绝地求生</t>
    <phoneticPr fontId="46" type="noConversion"/>
  </si>
  <si>
    <t>付费用户数（亿）</t>
    <phoneticPr fontId="46" type="noConversion"/>
  </si>
  <si>
    <t>付费率</t>
    <phoneticPr fontId="46" type="noConversion"/>
  </si>
  <si>
    <t>中国手游市场规模（亿）</t>
    <phoneticPr fontId="46" type="noConversion"/>
  </si>
  <si>
    <t>网易手游收入</t>
    <phoneticPr fontId="46" type="noConversion"/>
  </si>
  <si>
    <t>网易市占率</t>
    <phoneticPr fontId="46" type="noConversion"/>
  </si>
  <si>
    <t>合计市占率</t>
    <phoneticPr fontId="46" type="noConversion"/>
  </si>
  <si>
    <t>端游市场规模</t>
    <phoneticPr fontId="46" type="noConversion"/>
  </si>
  <si>
    <t>MMOGs</t>
    <phoneticPr fontId="46" type="noConversion"/>
  </si>
  <si>
    <t>ARPPU高</t>
    <phoneticPr fontId="46" type="noConversion"/>
  </si>
  <si>
    <t>ARPPU低</t>
    <phoneticPr fontId="46" type="noConversion"/>
  </si>
  <si>
    <t>ACGs</t>
    <phoneticPr fontId="46" type="noConversion"/>
  </si>
  <si>
    <t>Mobile QQ &amp; Weixin Game</t>
    <phoneticPr fontId="46" type="noConversion"/>
  </si>
  <si>
    <t>音乐</t>
    <phoneticPr fontId="46" type="noConversion"/>
  </si>
  <si>
    <t>阅读</t>
    <phoneticPr fontId="46" type="noConversion"/>
  </si>
  <si>
    <t>视频订阅及其它增值</t>
    <phoneticPr fontId="46" type="noConversion"/>
  </si>
  <si>
    <t>视频分销</t>
    <phoneticPr fontId="46" type="noConversion"/>
  </si>
  <si>
    <t>QQ包月、直播和其它</t>
    <phoneticPr fontId="46" type="noConversion"/>
  </si>
  <si>
    <t>环比</t>
    <phoneticPr fontId="46" type="noConversion"/>
  </si>
  <si>
    <t>视频订阅</t>
    <phoneticPr fontId="46" type="noConversion"/>
  </si>
  <si>
    <t>视频分销等</t>
    <phoneticPr fontId="46" type="noConversion"/>
  </si>
  <si>
    <t>QQ包月直播等</t>
    <phoneticPr fontId="46" type="noConversion"/>
  </si>
  <si>
    <t>占比</t>
    <phoneticPr fontId="46" type="noConversion"/>
  </si>
  <si>
    <t>腾讯视频月活</t>
    <phoneticPr fontId="46" type="noConversion"/>
  </si>
  <si>
    <t>视频付费用户数</t>
    <phoneticPr fontId="46" type="noConversion"/>
  </si>
  <si>
    <t>视频付费率</t>
    <phoneticPr fontId="46" type="noConversion"/>
  </si>
  <si>
    <t>单订阅用户月付费额</t>
    <phoneticPr fontId="46" type="noConversion"/>
  </si>
  <si>
    <t>网络广告</t>
    <phoneticPr fontId="46" type="noConversion"/>
  </si>
  <si>
    <t>社交及其它广告</t>
    <phoneticPr fontId="46" type="noConversion"/>
  </si>
  <si>
    <t>社交广告同比</t>
    <phoneticPr fontId="46" type="noConversion"/>
  </si>
  <si>
    <t>微信月活</t>
    <phoneticPr fontId="46" type="noConversion"/>
  </si>
  <si>
    <t>社交ARPU</t>
    <phoneticPr fontId="46" type="noConversion"/>
  </si>
  <si>
    <t>ARPU同比</t>
    <phoneticPr fontId="46" type="noConversion"/>
  </si>
  <si>
    <t>媒体广告</t>
    <phoneticPr fontId="46" type="noConversion"/>
  </si>
  <si>
    <t>媒体广告同比</t>
    <phoneticPr fontId="46" type="noConversion"/>
  </si>
  <si>
    <t>腾讯视频MAU</t>
    <phoneticPr fontId="46" type="noConversion"/>
  </si>
  <si>
    <t>视频ARPU(广告)</t>
    <phoneticPr fontId="46" type="noConversion"/>
  </si>
  <si>
    <t>视频广告</t>
    <phoneticPr fontId="46" type="noConversion"/>
  </si>
  <si>
    <t>腾讯新闻MAU</t>
    <phoneticPr fontId="46" type="noConversion"/>
  </si>
  <si>
    <t>新闻ARPU</t>
    <phoneticPr fontId="46" type="noConversion"/>
  </si>
  <si>
    <t>新闻广告</t>
    <phoneticPr fontId="46" type="noConversion"/>
  </si>
  <si>
    <t>视频广告占比</t>
    <phoneticPr fontId="46" type="noConversion"/>
  </si>
  <si>
    <t>新闻广告占比</t>
    <phoneticPr fontId="46" type="noConversion"/>
  </si>
  <si>
    <t>网络广告收入合计</t>
    <phoneticPr fontId="46" type="noConversion"/>
  </si>
  <si>
    <t>网络广告同比</t>
    <phoneticPr fontId="46" type="noConversion"/>
  </si>
  <si>
    <t>社交广告占比</t>
    <phoneticPr fontId="46" type="noConversion"/>
  </si>
  <si>
    <t>媒体广告占比</t>
    <phoneticPr fontId="46" type="noConversion"/>
  </si>
  <si>
    <t>其它业务</t>
    <phoneticPr fontId="46" type="noConversion"/>
  </si>
  <si>
    <t>支付云及其他业务</t>
    <phoneticPr fontId="46" type="noConversion"/>
  </si>
  <si>
    <t>腾讯云收入</t>
    <phoneticPr fontId="46" type="noConversion"/>
  </si>
  <si>
    <t>腾讯云</t>
    <phoneticPr fontId="46" type="noConversion"/>
  </si>
  <si>
    <t>其他收入</t>
    <phoneticPr fontId="46" type="noConversion"/>
  </si>
  <si>
    <t>其它业务</t>
    <phoneticPr fontId="46" type="noConversion"/>
  </si>
  <si>
    <t>支付业务收入</t>
    <phoneticPr fontId="46" type="noConversion"/>
  </si>
  <si>
    <t>日均交易总笔数（亿）</t>
    <phoneticPr fontId="46" type="noConversion"/>
  </si>
  <si>
    <t>支付MAU</t>
    <phoneticPr fontId="46" type="noConversion"/>
  </si>
  <si>
    <t>支付渗透率</t>
    <phoneticPr fontId="46" type="noConversion"/>
  </si>
  <si>
    <t>人月均交易笔数</t>
    <phoneticPr fontId="46" type="noConversion"/>
  </si>
  <si>
    <t>平均每笔获得的收入</t>
    <phoneticPr fontId="46" type="noConversion"/>
  </si>
  <si>
    <t>活跃账户</t>
    <phoneticPr fontId="46" type="noConversion"/>
  </si>
  <si>
    <t>日成交量同比</t>
    <phoneticPr fontId="46" type="noConversion"/>
  </si>
  <si>
    <t>线下成交量同比</t>
    <phoneticPr fontId="46" type="noConversion"/>
  </si>
  <si>
    <t>总收入</t>
    <phoneticPr fontId="46" type="noConversion"/>
  </si>
  <si>
    <t>同比</t>
    <phoneticPr fontId="46" type="noConversion"/>
  </si>
  <si>
    <t>成本侧</t>
    <phoneticPr fontId="46" type="noConversion"/>
  </si>
  <si>
    <t>增值服务</t>
    <phoneticPr fontId="46" type="noConversion"/>
  </si>
  <si>
    <t>毛利率</t>
    <phoneticPr fontId="46" type="noConversion"/>
  </si>
  <si>
    <t>成本</t>
    <phoneticPr fontId="46" type="noConversion"/>
  </si>
  <si>
    <t>毛利润</t>
    <phoneticPr fontId="46" type="noConversion"/>
  </si>
  <si>
    <t>网络广告</t>
    <phoneticPr fontId="46" type="noConversion"/>
  </si>
  <si>
    <t>毛利润</t>
    <phoneticPr fontId="46" type="noConversion"/>
  </si>
  <si>
    <t>总成本</t>
    <phoneticPr fontId="46" type="noConversion"/>
  </si>
  <si>
    <t>综合毛利率</t>
    <phoneticPr fontId="46" type="noConversion"/>
  </si>
  <si>
    <t>费用侧</t>
    <phoneticPr fontId="46" type="noConversion"/>
  </si>
  <si>
    <t>销售费用</t>
    <phoneticPr fontId="46" type="noConversion"/>
  </si>
  <si>
    <t>研发支出</t>
    <phoneticPr fontId="46" type="noConversion"/>
  </si>
  <si>
    <t>管理费用</t>
    <phoneticPr fontId="46" type="noConversion"/>
  </si>
  <si>
    <t>销售费用率</t>
    <phoneticPr fontId="46" type="noConversion"/>
  </si>
  <si>
    <t>研发支出率</t>
    <phoneticPr fontId="46" type="noConversion"/>
  </si>
  <si>
    <t>管理费用率</t>
    <phoneticPr fontId="46" type="noConversion"/>
  </si>
  <si>
    <t>处置视同处置投资公司的收益</t>
    <phoneticPr fontId="46" type="noConversion"/>
  </si>
  <si>
    <t>以公允价值计量的公允价值收益</t>
    <phoneticPr fontId="46" type="noConversion"/>
  </si>
  <si>
    <t>其它金融工具的公允价值收益</t>
    <phoneticPr fontId="46" type="noConversion"/>
  </si>
  <si>
    <t>投资公司和收购的无形资产减值拨备</t>
    <phoneticPr fontId="46" type="noConversion"/>
  </si>
  <si>
    <t>补贴及退税</t>
    <phoneticPr fontId="46" type="noConversion"/>
  </si>
  <si>
    <t>股息收入</t>
    <phoneticPr fontId="46" type="noConversion"/>
  </si>
  <si>
    <t>向腾讯公益基金会捐款</t>
    <phoneticPr fontId="46" type="noConversion"/>
  </si>
  <si>
    <t>其它</t>
    <phoneticPr fontId="46" type="noConversion"/>
  </si>
  <si>
    <t>分占联营/合营公司盈利（亿）</t>
    <phoneticPr fontId="46" type="noConversion"/>
  </si>
  <si>
    <t>联营/合营资产（亿）</t>
    <phoneticPr fontId="46" type="noConversion"/>
  </si>
  <si>
    <t>盈利占资产比</t>
    <phoneticPr fontId="46" type="noConversion"/>
  </si>
  <si>
    <t>投资收益净额（亿）</t>
    <phoneticPr fontId="46" type="noConversion"/>
  </si>
  <si>
    <t>投资类资产（亿）</t>
    <phoneticPr fontId="46" type="noConversion"/>
  </si>
  <si>
    <t>投资收益占投资资产比</t>
    <phoneticPr fontId="46" type="noConversion"/>
  </si>
  <si>
    <t>单位：亿</t>
    <phoneticPr fontId="46" type="noConversion"/>
  </si>
  <si>
    <t>15Q1</t>
    <phoneticPr fontId="46" type="noConversion"/>
  </si>
  <si>
    <t>16Q1</t>
    <phoneticPr fontId="46" type="noConversion"/>
  </si>
  <si>
    <t>17Q1</t>
    <phoneticPr fontId="46" type="noConversion"/>
  </si>
  <si>
    <t>18Q1</t>
    <phoneticPr fontId="46" type="noConversion"/>
  </si>
  <si>
    <t>总营收</t>
    <phoneticPr fontId="46" type="noConversion"/>
  </si>
  <si>
    <t>同比</t>
    <phoneticPr fontId="46" type="noConversion"/>
  </si>
  <si>
    <t>环比</t>
    <phoneticPr fontId="46" type="noConversion"/>
  </si>
  <si>
    <t>增值服务</t>
    <phoneticPr fontId="46" type="noConversion"/>
  </si>
  <si>
    <t>增值服务同比</t>
    <phoneticPr fontId="46" type="noConversion"/>
  </si>
  <si>
    <t>环比</t>
    <phoneticPr fontId="46" type="noConversion"/>
  </si>
  <si>
    <t>占比</t>
    <phoneticPr fontId="46" type="noConversion"/>
  </si>
  <si>
    <t>支付及云业务</t>
    <phoneticPr fontId="46" type="noConversion"/>
  </si>
  <si>
    <t>其它同比</t>
    <phoneticPr fontId="46" type="noConversion"/>
  </si>
  <si>
    <t>环比</t>
    <phoneticPr fontId="46" type="noConversion"/>
  </si>
  <si>
    <t>同比</t>
    <phoneticPr fontId="46" type="noConversion"/>
  </si>
  <si>
    <t>营业成本率</t>
    <phoneticPr fontId="46" type="noConversion"/>
  </si>
  <si>
    <t>增值服务成本</t>
    <phoneticPr fontId="46" type="noConversion"/>
  </si>
  <si>
    <t>同比</t>
    <phoneticPr fontId="46" type="noConversion"/>
  </si>
  <si>
    <t>增值服务成本占比</t>
    <phoneticPr fontId="46" type="noConversion"/>
  </si>
  <si>
    <t>广告成本</t>
    <phoneticPr fontId="46" type="noConversion"/>
  </si>
  <si>
    <t>环比</t>
    <phoneticPr fontId="46" type="noConversion"/>
  </si>
  <si>
    <t>广告成本占比</t>
    <phoneticPr fontId="46" type="noConversion"/>
  </si>
  <si>
    <t>云和支付成本</t>
    <phoneticPr fontId="46" type="noConversion"/>
  </si>
  <si>
    <t>环比</t>
    <phoneticPr fontId="46" type="noConversion"/>
  </si>
  <si>
    <t>云和支付成本占比</t>
    <phoneticPr fontId="46" type="noConversion"/>
  </si>
  <si>
    <t>毛利</t>
    <phoneticPr fontId="46" type="noConversion"/>
  </si>
  <si>
    <t>利息收入</t>
    <phoneticPr fontId="46" type="noConversion"/>
  </si>
  <si>
    <t>占收入比</t>
    <phoneticPr fontId="46" type="noConversion"/>
  </si>
  <si>
    <t>运营支出合计</t>
    <phoneticPr fontId="46" type="noConversion"/>
  </si>
  <si>
    <t>同比</t>
    <phoneticPr fontId="46" type="noConversion"/>
  </si>
  <si>
    <t>研发支出</t>
    <phoneticPr fontId="46" type="noConversion"/>
  </si>
  <si>
    <t>同比</t>
    <phoneticPr fontId="46" type="noConversion"/>
  </si>
  <si>
    <t>经营利润</t>
    <phoneticPr fontId="46" type="noConversion"/>
  </si>
  <si>
    <t>经营利润率</t>
    <phoneticPr fontId="46" type="noConversion"/>
  </si>
  <si>
    <t>财务成本净额</t>
    <phoneticPr fontId="46" type="noConversion"/>
  </si>
  <si>
    <t>分占联营/合营公司盈利</t>
  </si>
  <si>
    <t>同比</t>
    <phoneticPr fontId="46" type="noConversion"/>
  </si>
  <si>
    <t>税前利润</t>
    <phoneticPr fontId="46" type="noConversion"/>
  </si>
  <si>
    <t>税前净利润率</t>
    <phoneticPr fontId="46" type="noConversion"/>
  </si>
  <si>
    <t>所得税</t>
    <phoneticPr fontId="46" type="noConversion"/>
  </si>
  <si>
    <t>所得税占税前利润比</t>
    <phoneticPr fontId="46" type="noConversion"/>
  </si>
  <si>
    <t>税后净利润</t>
    <phoneticPr fontId="46" type="noConversion"/>
  </si>
  <si>
    <t>税后净利润率</t>
    <phoneticPr fontId="46" type="noConversion"/>
  </si>
  <si>
    <t>归属本公司股东净利润</t>
    <phoneticPr fontId="46" type="noConversion"/>
  </si>
  <si>
    <t>归属少数股东净利润</t>
    <phoneticPr fontId="46" type="noConversion"/>
  </si>
  <si>
    <t>已发行普通股的加权平均数</t>
    <phoneticPr fontId="46" type="noConversion"/>
  </si>
  <si>
    <t>摊薄的普通股加权平均数</t>
    <phoneticPr fontId="46" type="noConversion"/>
  </si>
  <si>
    <t>基本EPS</t>
    <phoneticPr fontId="46" type="noConversion"/>
  </si>
  <si>
    <t>摊薄后EPS</t>
    <phoneticPr fontId="46" type="noConversion"/>
  </si>
  <si>
    <t>归属少数股东利润占收入比</t>
    <phoneticPr fontId="46" type="noConversion"/>
  </si>
  <si>
    <t>折旧</t>
    <phoneticPr fontId="46" type="noConversion"/>
  </si>
  <si>
    <t>无形资产摊销</t>
    <phoneticPr fontId="46" type="noConversion"/>
  </si>
  <si>
    <t>EBITDA</t>
    <phoneticPr fontId="46" type="noConversion"/>
  </si>
  <si>
    <t>按照权益结算的股份酬金</t>
    <phoneticPr fontId="46" type="noConversion"/>
  </si>
  <si>
    <t>经调整的EBITDA</t>
    <phoneticPr fontId="46" type="noConversion"/>
  </si>
  <si>
    <t>非通用会计准则下</t>
    <phoneticPr fontId="46" type="noConversion"/>
  </si>
  <si>
    <t>Non-GAAP经营利润率</t>
    <phoneticPr fontId="46" type="noConversion"/>
  </si>
  <si>
    <t>利润率</t>
    <phoneticPr fontId="46" type="noConversion"/>
  </si>
  <si>
    <t>利润率</t>
    <phoneticPr fontId="46" type="noConversion"/>
  </si>
  <si>
    <t>单位：亿元</t>
    <phoneticPr fontId="46" type="noConversion"/>
  </si>
  <si>
    <t>总营收</t>
    <phoneticPr fontId="46" type="noConversion"/>
  </si>
  <si>
    <t>同比</t>
    <phoneticPr fontId="46" type="noConversion"/>
  </si>
  <si>
    <t>占比</t>
    <phoneticPr fontId="46" type="noConversion"/>
  </si>
  <si>
    <t>毛利率</t>
    <phoneticPr fontId="46" type="noConversion"/>
  </si>
  <si>
    <t>归属少数股东利润占收入比</t>
    <phoneticPr fontId="46" type="noConversion"/>
  </si>
  <si>
    <t>折旧</t>
    <phoneticPr fontId="46" type="noConversion"/>
  </si>
  <si>
    <t>EBITDA</t>
    <phoneticPr fontId="46" type="noConversion"/>
  </si>
  <si>
    <t>经调整的EBITDA</t>
    <phoneticPr fontId="46" type="noConversion"/>
  </si>
  <si>
    <t>单位：亿元</t>
    <phoneticPr fontId="46" type="noConversion"/>
  </si>
  <si>
    <t>10年年报</t>
    <phoneticPr fontId="46" type="noConversion"/>
  </si>
  <si>
    <t>14年一季报</t>
    <phoneticPr fontId="46" type="noConversion"/>
  </si>
  <si>
    <t>14年中报</t>
    <phoneticPr fontId="46" type="noConversion"/>
  </si>
  <si>
    <t>14年三季报</t>
    <phoneticPr fontId="46" type="noConversion"/>
  </si>
  <si>
    <t>14年年报</t>
    <phoneticPr fontId="46" type="noConversion"/>
  </si>
  <si>
    <t>15年一季报</t>
    <phoneticPr fontId="46" type="noConversion"/>
  </si>
  <si>
    <t>15年中报</t>
    <phoneticPr fontId="46" type="noConversion"/>
  </si>
  <si>
    <t>15年三季报</t>
    <phoneticPr fontId="46" type="noConversion"/>
  </si>
  <si>
    <t>15年年报</t>
    <phoneticPr fontId="46" type="noConversion"/>
  </si>
  <si>
    <t>16年一季报</t>
    <phoneticPr fontId="46" type="noConversion"/>
  </si>
  <si>
    <t>16年中报</t>
    <phoneticPr fontId="46" type="noConversion"/>
  </si>
  <si>
    <t>16年三季报</t>
    <phoneticPr fontId="46" type="noConversion"/>
  </si>
  <si>
    <t>16年年报</t>
    <phoneticPr fontId="46" type="noConversion"/>
  </si>
  <si>
    <t>17年一季报</t>
    <phoneticPr fontId="46" type="noConversion"/>
  </si>
  <si>
    <t>17年中报</t>
    <phoneticPr fontId="46" type="noConversion"/>
  </si>
  <si>
    <t>17年三季报</t>
    <phoneticPr fontId="46" type="noConversion"/>
  </si>
  <si>
    <t>17年年报</t>
    <phoneticPr fontId="46" type="noConversion"/>
  </si>
  <si>
    <t>18年一季报</t>
    <phoneticPr fontId="46" type="noConversion"/>
  </si>
  <si>
    <t>18年中报</t>
    <phoneticPr fontId="46" type="noConversion"/>
  </si>
  <si>
    <t>18年三季报</t>
    <phoneticPr fontId="46" type="noConversion"/>
  </si>
  <si>
    <t>经营性资产</t>
    <phoneticPr fontId="46" type="noConversion"/>
  </si>
  <si>
    <t>投资性资产</t>
    <phoneticPr fontId="46" type="noConversion"/>
  </si>
  <si>
    <t>类现金资产</t>
    <phoneticPr fontId="46" type="noConversion"/>
  </si>
  <si>
    <t>经营类占比</t>
    <phoneticPr fontId="46" type="noConversion"/>
  </si>
  <si>
    <t>投资类占比</t>
    <phoneticPr fontId="46" type="noConversion"/>
  </si>
  <si>
    <t>类现金类占比</t>
    <phoneticPr fontId="46" type="noConversion"/>
  </si>
  <si>
    <t>固定资产(亿元)</t>
    <phoneticPr fontId="46" type="noConversion"/>
  </si>
  <si>
    <t>物业、设备及器材(亿元)</t>
    <phoneticPr fontId="46" type="noConversion"/>
  </si>
  <si>
    <t>投资物业(亿元)</t>
    <phoneticPr fontId="46" type="noConversion"/>
  </si>
  <si>
    <t>无形资产(亿元)</t>
    <phoneticPr fontId="46" type="noConversion"/>
  </si>
  <si>
    <t>土地使用权(亿元)</t>
    <phoneticPr fontId="46" type="noConversion"/>
  </si>
  <si>
    <t>在建工程(亿元)</t>
    <phoneticPr fontId="46" type="noConversion"/>
  </si>
  <si>
    <t>递延所得税资产(亿元)</t>
    <phoneticPr fontId="46" type="noConversion"/>
  </si>
  <si>
    <t>预付款项、按金及其他资产(亿元)</t>
    <phoneticPr fontId="46" type="noConversion"/>
  </si>
  <si>
    <t>于联营公司的投资(亿元)</t>
    <phoneticPr fontId="46" type="noConversion"/>
  </si>
  <si>
    <t>于合营公司的投资(亿元)</t>
    <phoneticPr fontId="46" type="noConversion"/>
  </si>
  <si>
    <t>以公允价值计量且其变动计入其他全面收益的金融资产(亿元)</t>
    <phoneticPr fontId="46" type="noConversion"/>
  </si>
  <si>
    <t>以公允价值计量且其变动计入损益的金融资产</t>
    <phoneticPr fontId="46" type="noConversion"/>
  </si>
  <si>
    <t>可供出售金融资产(亿元)</t>
    <phoneticPr fontId="46" type="noConversion"/>
  </si>
  <si>
    <t>定期存款(亿元)</t>
    <phoneticPr fontId="46" type="noConversion"/>
  </si>
  <si>
    <t>其他金融资产(亿元)</t>
    <phoneticPr fontId="46" type="noConversion"/>
  </si>
  <si>
    <t>于联营公司可赎回工具的投资(亿元)</t>
    <phoneticPr fontId="46" type="noConversion"/>
  </si>
  <si>
    <t>于联营公司可赎回优先股的投资</t>
    <phoneticPr fontId="46" type="noConversion"/>
  </si>
  <si>
    <t>非流动资产合计(亿元)</t>
    <phoneticPr fontId="46" type="noConversion"/>
  </si>
  <si>
    <t>存货(亿元)</t>
    <phoneticPr fontId="46" type="noConversion"/>
  </si>
  <si>
    <t>应收账款(亿元)</t>
    <phoneticPr fontId="46" type="noConversion"/>
  </si>
  <si>
    <t>预付款项、按金及其他资产(亿元)</t>
    <phoneticPr fontId="46" type="noConversion"/>
  </si>
  <si>
    <t>受限制现金(亿元)</t>
    <phoneticPr fontId="46" type="noConversion"/>
  </si>
  <si>
    <t>现金及现金等价物(亿元)</t>
    <phoneticPr fontId="46" type="noConversion"/>
  </si>
  <si>
    <t>定期存款(亿元)</t>
    <phoneticPr fontId="46" type="noConversion"/>
  </si>
  <si>
    <t>以公允价值计量且其变动计入损益的金融资产(亿元)</t>
    <phoneticPr fontId="46" type="noConversion"/>
  </si>
  <si>
    <t>其他金融资产(亿元)</t>
    <phoneticPr fontId="46" type="noConversion"/>
  </si>
  <si>
    <t>流动资产(亿元)</t>
    <phoneticPr fontId="46" type="noConversion"/>
  </si>
  <si>
    <t>资产总额(亿元)</t>
    <phoneticPr fontId="46" type="noConversion"/>
  </si>
  <si>
    <t>13年底</t>
    <phoneticPr fontId="46" type="noConversion"/>
  </si>
  <si>
    <t>对联营公司权益（亿）</t>
    <phoneticPr fontId="46" type="noConversion"/>
  </si>
  <si>
    <t>投资总额</t>
    <phoneticPr fontId="46" type="noConversion"/>
  </si>
  <si>
    <t>对上市股份的投资</t>
    <phoneticPr fontId="46" type="noConversion"/>
  </si>
  <si>
    <t>对非上市股份的投资</t>
    <phoneticPr fontId="46" type="noConversion"/>
  </si>
  <si>
    <t>披露增加值</t>
    <phoneticPr fontId="46" type="noConversion"/>
  </si>
  <si>
    <t>增加中明确的</t>
    <phoneticPr fontId="46" type="noConversion"/>
  </si>
  <si>
    <t>若干其它</t>
    <phoneticPr fontId="46" type="noConversion"/>
  </si>
  <si>
    <t>减值拨备</t>
    <phoneticPr fontId="46" type="noConversion"/>
  </si>
  <si>
    <t>处置或转拨</t>
    <phoneticPr fontId="46" type="noConversion"/>
  </si>
  <si>
    <t>其它</t>
    <phoneticPr fontId="46" type="noConversion"/>
  </si>
  <si>
    <t>外币折算差额</t>
    <phoneticPr fontId="46" type="noConversion"/>
  </si>
  <si>
    <t>对可赎回优先股/工具的投资</t>
    <phoneticPr fontId="46" type="noConversion"/>
  </si>
  <si>
    <t>披露增加值</t>
    <phoneticPr fontId="46" type="noConversion"/>
  </si>
  <si>
    <t>可供出售金融资产（亿）</t>
    <phoneticPr fontId="46" type="noConversion"/>
  </si>
  <si>
    <t>上市股权权益</t>
    <phoneticPr fontId="46" type="noConversion"/>
  </si>
  <si>
    <t>公允价值变动确认综合收益</t>
    <phoneticPr fontId="46" type="noConversion"/>
  </si>
  <si>
    <t>明确的</t>
    <phoneticPr fontId="46" type="noConversion"/>
  </si>
  <si>
    <t>非上市股权权益</t>
    <phoneticPr fontId="46" type="noConversion"/>
  </si>
  <si>
    <t>非上市权益增加值</t>
    <phoneticPr fontId="46" type="noConversion"/>
  </si>
  <si>
    <t>非上市其它投资权益</t>
    <phoneticPr fontId="46" type="noConversion"/>
  </si>
  <si>
    <t>金融资产披露增加值</t>
    <phoneticPr fontId="46" type="noConversion"/>
  </si>
  <si>
    <t>处置或转拨</t>
    <phoneticPr fontId="7" type="noConversion"/>
  </si>
  <si>
    <t>公允价值变动计入综合收益的净额</t>
    <phoneticPr fontId="46" type="noConversion"/>
  </si>
  <si>
    <t>处置转入损益</t>
    <phoneticPr fontId="46" type="noConversion"/>
  </si>
  <si>
    <t>其它综合收益中的外币折算差额</t>
    <phoneticPr fontId="46" type="noConversion"/>
  </si>
  <si>
    <t>合营公司的投资</t>
    <phoneticPr fontId="46" type="noConversion"/>
  </si>
  <si>
    <t>公允价值计量且其变动计入损益的</t>
    <phoneticPr fontId="46" type="noConversion"/>
  </si>
  <si>
    <t>对上市企业的投资</t>
    <phoneticPr fontId="46" type="noConversion"/>
  </si>
  <si>
    <t>对非上市企业的投资</t>
    <phoneticPr fontId="46" type="noConversion"/>
  </si>
  <si>
    <t>理财投资及其它</t>
    <phoneticPr fontId="46" type="noConversion"/>
  </si>
  <si>
    <t>增加值披露</t>
    <phoneticPr fontId="46" type="noConversion"/>
  </si>
  <si>
    <t>公允价值变动</t>
    <phoneticPr fontId="46" type="noConversion"/>
  </si>
  <si>
    <t>转拨</t>
    <phoneticPr fontId="7" type="noConversion"/>
  </si>
  <si>
    <t>处置</t>
    <phoneticPr fontId="7" type="noConversion"/>
  </si>
  <si>
    <t>外币折算差额</t>
    <phoneticPr fontId="7" type="noConversion"/>
  </si>
  <si>
    <t>变动计入其它综合收益的</t>
    <phoneticPr fontId="46" type="noConversion"/>
  </si>
  <si>
    <t>美国上市企业股权投资</t>
    <phoneticPr fontId="7" type="noConversion"/>
  </si>
  <si>
    <t>中国上市公司股权投资</t>
    <phoneticPr fontId="7" type="noConversion"/>
  </si>
  <si>
    <t>法国上市公司股权投资</t>
    <phoneticPr fontId="7" type="noConversion"/>
  </si>
  <si>
    <t>其它</t>
    <phoneticPr fontId="7" type="noConversion"/>
  </si>
  <si>
    <t>增加值</t>
    <phoneticPr fontId="7" type="noConversion"/>
  </si>
  <si>
    <t>公允价值变动</t>
    <phoneticPr fontId="7" type="noConversion"/>
  </si>
  <si>
    <t>14年一季报</t>
    <phoneticPr fontId="46" type="noConversion"/>
  </si>
  <si>
    <t>14年中报</t>
    <phoneticPr fontId="46" type="noConversion"/>
  </si>
  <si>
    <t>14年三季报</t>
    <phoneticPr fontId="46" type="noConversion"/>
  </si>
  <si>
    <t>14年年报</t>
    <phoneticPr fontId="46" type="noConversion"/>
  </si>
  <si>
    <t>15年三季报</t>
    <phoneticPr fontId="46" type="noConversion"/>
  </si>
  <si>
    <t>15年年报</t>
    <phoneticPr fontId="46" type="noConversion"/>
  </si>
  <si>
    <t>16年一季报</t>
    <phoneticPr fontId="46" type="noConversion"/>
  </si>
  <si>
    <t>16年中报</t>
    <phoneticPr fontId="46" type="noConversion"/>
  </si>
  <si>
    <t>16年三季报</t>
    <phoneticPr fontId="46" type="noConversion"/>
  </si>
  <si>
    <t>16年年报</t>
    <phoneticPr fontId="46" type="noConversion"/>
  </si>
  <si>
    <t>17年一季报</t>
    <phoneticPr fontId="46" type="noConversion"/>
  </si>
  <si>
    <t>17年三季报</t>
    <phoneticPr fontId="46" type="noConversion"/>
  </si>
  <si>
    <t>18年一季报</t>
    <phoneticPr fontId="46" type="noConversion"/>
  </si>
  <si>
    <t>18年三季报</t>
    <phoneticPr fontId="46" type="noConversion"/>
  </si>
  <si>
    <t>联营公司</t>
    <phoneticPr fontId="7" type="noConversion"/>
  </si>
  <si>
    <t>京东、乐居</t>
    <phoneticPr fontId="7" type="noConversion"/>
  </si>
  <si>
    <t>京东、乐居、四维图新、58同城</t>
    <phoneticPr fontId="7" type="noConversion"/>
  </si>
  <si>
    <t>CJ Games</t>
    <phoneticPr fontId="7" type="noConversion"/>
  </si>
  <si>
    <t>微众银行、中信资本</t>
    <phoneticPr fontId="7" type="noConversion"/>
  </si>
  <si>
    <t>58同城、Glu Mobile</t>
    <phoneticPr fontId="7" type="noConversion"/>
  </si>
  <si>
    <t>同程旅游</t>
    <phoneticPr fontId="7" type="noConversion"/>
  </si>
  <si>
    <t>拼多多、新丽传媒、盛大游戏</t>
    <phoneticPr fontId="7" type="noConversion"/>
  </si>
  <si>
    <t>新丽传媒、斗鱼</t>
    <phoneticPr fontId="7" type="noConversion"/>
  </si>
  <si>
    <t>万达、美团</t>
    <phoneticPr fontId="7" type="noConversion"/>
  </si>
  <si>
    <t>金融资产</t>
    <phoneticPr fontId="7" type="noConversion"/>
  </si>
  <si>
    <t>华南城</t>
    <phoneticPr fontId="7" type="noConversion"/>
  </si>
  <si>
    <t>美团转换过来</t>
    <phoneticPr fontId="7" type="noConversion"/>
  </si>
  <si>
    <t>易车</t>
    <phoneticPr fontId="7" type="noConversion"/>
  </si>
  <si>
    <t>supercell</t>
    <phoneticPr fontId="7" type="noConversion"/>
  </si>
  <si>
    <t>特斯拉</t>
    <phoneticPr fontId="7" type="noConversion"/>
  </si>
  <si>
    <t>美团、spotify</t>
    <phoneticPr fontId="7" type="noConversion"/>
  </si>
  <si>
    <t>虎牙</t>
    <phoneticPr fontId="7" type="noConversion"/>
  </si>
  <si>
    <t>万达</t>
    <phoneticPr fontId="7" type="noConversion"/>
  </si>
  <si>
    <t>14Q1</t>
    <phoneticPr fontId="7" type="noConversion"/>
  </si>
  <si>
    <t>14Q2</t>
  </si>
  <si>
    <t>14Q3</t>
  </si>
  <si>
    <t>14Q4</t>
  </si>
  <si>
    <t>15Q1</t>
    <phoneticPr fontId="7" type="noConversion"/>
  </si>
  <si>
    <t>16Q1</t>
    <phoneticPr fontId="7" type="noConversion"/>
  </si>
  <si>
    <t>17Q1</t>
    <phoneticPr fontId="7" type="noConversion"/>
  </si>
  <si>
    <t>18Q1</t>
    <phoneticPr fontId="7" type="noConversion"/>
  </si>
  <si>
    <t>对联营公司投资披露增加值</t>
    <phoneticPr fontId="7" type="noConversion"/>
  </si>
  <si>
    <t>对联营公司投资金额（亿）</t>
    <phoneticPr fontId="7" type="noConversion"/>
  </si>
  <si>
    <t>实际对联营增加值</t>
    <phoneticPr fontId="7" type="noConversion"/>
  </si>
  <si>
    <t>处置或转拨备</t>
    <phoneticPr fontId="46" type="noConversion"/>
  </si>
  <si>
    <t>可供出售金融资产披露增加值</t>
    <phoneticPr fontId="7" type="noConversion"/>
  </si>
  <si>
    <t>投资可供出售金融资产金额（亿）</t>
    <phoneticPr fontId="7" type="noConversion"/>
  </si>
  <si>
    <t>实际金融资产增加值</t>
    <phoneticPr fontId="7" type="noConversion"/>
  </si>
  <si>
    <t>实际金融资产增加值</t>
    <phoneticPr fontId="7" type="noConversion"/>
  </si>
  <si>
    <t>处置/转拨</t>
    <phoneticPr fontId="7" type="noConversion"/>
  </si>
  <si>
    <t>处置了</t>
    <phoneticPr fontId="7" type="noConversion"/>
  </si>
  <si>
    <t>市场风险年回报率</t>
    <phoneticPr fontId="46" type="noConversion"/>
  </si>
  <si>
    <t>年收益率</t>
    <phoneticPr fontId="46" type="noConversion"/>
  </si>
  <si>
    <t>年收益率</t>
    <phoneticPr fontId="46" type="noConversion"/>
  </si>
  <si>
    <t>年收益率</t>
    <phoneticPr fontId="46" type="noConversion"/>
  </si>
  <si>
    <t>季度回报率</t>
    <phoneticPr fontId="46" type="noConversion"/>
  </si>
  <si>
    <t>13Q4</t>
    <phoneticPr fontId="46" type="noConversion"/>
  </si>
  <si>
    <t>14Q1</t>
    <phoneticPr fontId="46" type="noConversion"/>
  </si>
  <si>
    <t>15Q1</t>
    <phoneticPr fontId="46" type="noConversion"/>
  </si>
  <si>
    <t>17Q1</t>
    <phoneticPr fontId="46" type="noConversion"/>
  </si>
  <si>
    <t>18Q1</t>
    <phoneticPr fontId="46" type="noConversion"/>
  </si>
  <si>
    <t>金融资产</t>
    <phoneticPr fontId="46" type="noConversion"/>
  </si>
  <si>
    <t>新投</t>
    <phoneticPr fontId="46" type="noConversion"/>
  </si>
  <si>
    <t>处置/转拨</t>
    <phoneticPr fontId="46" type="noConversion"/>
  </si>
  <si>
    <t>15%回报率下测算值</t>
    <phoneticPr fontId="46" type="noConversion"/>
  </si>
  <si>
    <t>腾讯实际值（亿）</t>
    <phoneticPr fontId="46" type="noConversion"/>
  </si>
  <si>
    <t>对联营公司投资</t>
    <phoneticPr fontId="46" type="noConversion"/>
  </si>
  <si>
    <t>新投</t>
    <phoneticPr fontId="46" type="noConversion"/>
  </si>
  <si>
    <t>减值/转拨/处置</t>
    <phoneticPr fontId="46" type="noConversion"/>
  </si>
  <si>
    <t>腾讯实际值（亿）</t>
    <phoneticPr fontId="46" type="noConversion"/>
  </si>
  <si>
    <t>估算的公允价值</t>
    <phoneticPr fontId="46" type="noConversion"/>
  </si>
  <si>
    <t>王者荣耀</t>
    <phoneticPr fontId="46" type="noConversion"/>
  </si>
  <si>
    <t>MAU（万）</t>
    <phoneticPr fontId="46" type="noConversion"/>
  </si>
  <si>
    <t>王者荣耀</t>
    <phoneticPr fontId="46" type="noConversion"/>
  </si>
  <si>
    <t>欢乐斗地主</t>
    <phoneticPr fontId="46" type="noConversion"/>
  </si>
  <si>
    <t>欢乐麻将</t>
    <phoneticPr fontId="46" type="noConversion"/>
  </si>
  <si>
    <t>QQ飞车</t>
    <phoneticPr fontId="46" type="noConversion"/>
  </si>
  <si>
    <t>绝地求生：刺激战场</t>
    <phoneticPr fontId="46" type="noConversion"/>
  </si>
  <si>
    <t>绝地求生：全军出击</t>
    <phoneticPr fontId="46" type="noConversion"/>
  </si>
  <si>
    <t>17Q4</t>
    <phoneticPr fontId="46" type="noConversion"/>
  </si>
  <si>
    <t>18Q1</t>
    <phoneticPr fontId="46" type="noConversion"/>
  </si>
  <si>
    <t>18Q2</t>
    <phoneticPr fontId="46" type="noConversion"/>
  </si>
  <si>
    <t>18Q3</t>
    <phoneticPr fontId="46" type="noConversion"/>
  </si>
  <si>
    <t>王者荣耀</t>
    <phoneticPr fontId="46" type="noConversion"/>
  </si>
  <si>
    <t>欢乐斗地主</t>
    <phoneticPr fontId="46" type="noConversion"/>
  </si>
  <si>
    <t>欢乐麻将</t>
    <phoneticPr fontId="46" type="noConversion"/>
  </si>
  <si>
    <t>QQ飞车</t>
    <phoneticPr fontId="46" type="noConversion"/>
  </si>
  <si>
    <t>绝地求生</t>
    <phoneticPr fontId="46" type="noConversion"/>
  </si>
  <si>
    <t>渗透率</t>
    <phoneticPr fontId="46" type="noConversion"/>
  </si>
  <si>
    <t>绝地求生：刺激战场</t>
    <phoneticPr fontId="46" type="noConversion"/>
  </si>
  <si>
    <t>欢乐斗地主</t>
    <phoneticPr fontId="46" type="noConversion"/>
  </si>
  <si>
    <t>穿越火线</t>
    <phoneticPr fontId="46" type="noConversion"/>
  </si>
  <si>
    <t>合计</t>
    <phoneticPr fontId="46" type="noConversion"/>
  </si>
  <si>
    <t>DAU（百万）</t>
    <phoneticPr fontId="46" type="noConversion"/>
  </si>
  <si>
    <t>手机</t>
    <phoneticPr fontId="46" type="noConversion"/>
  </si>
  <si>
    <t>手机</t>
    <phoneticPr fontId="46" type="noConversion"/>
  </si>
  <si>
    <t>acg</t>
    <phoneticPr fontId="46" type="noConversion"/>
  </si>
  <si>
    <t>欢乐麻将</t>
    <phoneticPr fontId="46" type="noConversion"/>
  </si>
  <si>
    <t>单位：亿</t>
    <phoneticPr fontId="46" type="noConversion"/>
  </si>
  <si>
    <t>2015H2</t>
    <phoneticPr fontId="46" type="noConversion"/>
  </si>
  <si>
    <t>2016H1</t>
    <phoneticPr fontId="46" type="noConversion"/>
  </si>
  <si>
    <t>2016H2</t>
    <phoneticPr fontId="46" type="noConversion"/>
  </si>
  <si>
    <t>2017H1</t>
    <phoneticPr fontId="46" type="noConversion"/>
  </si>
  <si>
    <t>2017H2</t>
    <phoneticPr fontId="46" type="noConversion"/>
  </si>
  <si>
    <t>2018H1</t>
    <phoneticPr fontId="46" type="noConversion"/>
  </si>
  <si>
    <t>2018H2</t>
  </si>
  <si>
    <t>2019H1</t>
    <phoneticPr fontId="46" type="noConversion"/>
  </si>
  <si>
    <t>2019H2</t>
  </si>
  <si>
    <t>2020H1</t>
    <phoneticPr fontId="46" type="noConversion"/>
  </si>
  <si>
    <t>2020H2</t>
  </si>
  <si>
    <t>在线阅读合计</t>
    <phoneticPr fontId="46" type="noConversion"/>
  </si>
  <si>
    <t>自有平台</t>
    <phoneticPr fontId="46" type="noConversion"/>
  </si>
  <si>
    <t>第三方</t>
    <phoneticPr fontId="46" type="noConversion"/>
  </si>
  <si>
    <t>其它</t>
    <phoneticPr fontId="46" type="noConversion"/>
  </si>
  <si>
    <t>在线阅读收入占比</t>
    <phoneticPr fontId="46" type="noConversion"/>
  </si>
  <si>
    <t>21Q1</t>
    <phoneticPr fontId="46" type="noConversion"/>
  </si>
  <si>
    <t>22Q1</t>
    <phoneticPr fontId="46" type="noConversion"/>
  </si>
  <si>
    <t>在线阅读</t>
    <phoneticPr fontId="46" type="noConversion"/>
  </si>
  <si>
    <t>亿元人民币</t>
  </si>
  <si>
    <t>3Q16</t>
  </si>
  <si>
    <t>4Q16</t>
  </si>
  <si>
    <t>1Q17</t>
  </si>
  <si>
    <t>2Q17</t>
  </si>
  <si>
    <t>3Q17</t>
  </si>
  <si>
    <t>4Q17</t>
  </si>
  <si>
    <t>1Q18</t>
  </si>
  <si>
    <t>22Q1</t>
    <phoneticPr fontId="46" type="noConversion"/>
  </si>
  <si>
    <t>占比</t>
    <phoneticPr fontId="46" type="noConversion"/>
  </si>
  <si>
    <t>在线音乐月活（亿）</t>
    <phoneticPr fontId="46" type="noConversion"/>
  </si>
  <si>
    <t>同比</t>
    <phoneticPr fontId="46" type="noConversion"/>
  </si>
  <si>
    <t>环比</t>
    <phoneticPr fontId="46" type="noConversion"/>
  </si>
  <si>
    <t>社交娱乐月活（亿）</t>
    <phoneticPr fontId="46" type="noConversion"/>
  </si>
  <si>
    <t>在线音乐付费人数（万）</t>
    <phoneticPr fontId="46" type="noConversion"/>
  </si>
  <si>
    <t>付费比率</t>
    <phoneticPr fontId="46" type="noConversion"/>
  </si>
  <si>
    <t>社交娱乐付费人数（万）</t>
    <phoneticPr fontId="46" type="noConversion"/>
  </si>
  <si>
    <t>同比</t>
    <phoneticPr fontId="46" type="noConversion"/>
  </si>
  <si>
    <t>环比</t>
    <phoneticPr fontId="46" type="noConversion"/>
  </si>
  <si>
    <t>基础订阅月均ARPPU（元）</t>
    <phoneticPr fontId="46" type="noConversion"/>
  </si>
  <si>
    <t>年度同比</t>
    <phoneticPr fontId="46" type="noConversion"/>
  </si>
  <si>
    <t>季度环比</t>
    <phoneticPr fontId="46" type="noConversion"/>
  </si>
  <si>
    <t>社交娱乐月均ARPPU（元）</t>
    <phoneticPr fontId="46" type="noConversion"/>
  </si>
  <si>
    <t>在线音乐服务营收</t>
    <phoneticPr fontId="46" type="noConversion"/>
  </si>
  <si>
    <t>订阅营收</t>
    <phoneticPr fontId="46" type="noConversion"/>
  </si>
  <si>
    <t>其他在线音乐服务收入</t>
    <phoneticPr fontId="46" type="noConversion"/>
  </si>
  <si>
    <t>社交娱乐服务及其他营收</t>
    <phoneticPr fontId="46" type="noConversion"/>
  </si>
  <si>
    <t>总营收</t>
    <phoneticPr fontId="46" type="noConversion"/>
  </si>
  <si>
    <t>同比</t>
    <phoneticPr fontId="46" type="noConversion"/>
  </si>
  <si>
    <t>季度</t>
    <phoneticPr fontId="46" type="noConversion"/>
  </si>
  <si>
    <t>17Q3</t>
    <phoneticPr fontId="46" type="noConversion"/>
  </si>
  <si>
    <t>17Q4</t>
    <phoneticPr fontId="46" type="noConversion"/>
  </si>
  <si>
    <t>18Q2</t>
    <phoneticPr fontId="46" type="noConversion"/>
  </si>
  <si>
    <t>月度独立设备数（万台）</t>
  </si>
  <si>
    <t>腾讯系</t>
    <phoneticPr fontId="46" type="noConversion"/>
  </si>
  <si>
    <t>微信</t>
  </si>
  <si>
    <t>腾讯系</t>
    <phoneticPr fontId="46" type="noConversion"/>
  </si>
  <si>
    <t>腾讯视频</t>
    <phoneticPr fontId="46" type="noConversion"/>
  </si>
  <si>
    <t>腾讯新闻</t>
  </si>
  <si>
    <t>天天快报</t>
  </si>
  <si>
    <t>腾讯系</t>
    <phoneticPr fontId="46" type="noConversion"/>
  </si>
  <si>
    <t>QQ浏览器</t>
    <phoneticPr fontId="46" type="noConversion"/>
  </si>
  <si>
    <t>腾讯系</t>
    <phoneticPr fontId="46" type="noConversion"/>
  </si>
  <si>
    <t>微视</t>
    <phoneticPr fontId="46" type="noConversion"/>
  </si>
  <si>
    <t>百度系</t>
    <phoneticPr fontId="46" type="noConversion"/>
  </si>
  <si>
    <t>爱奇艺</t>
    <phoneticPr fontId="46" type="noConversion"/>
  </si>
  <si>
    <t>阿里系</t>
    <phoneticPr fontId="46" type="noConversion"/>
  </si>
  <si>
    <t>优酷</t>
    <phoneticPr fontId="46" type="noConversion"/>
  </si>
  <si>
    <t>新浪系</t>
    <phoneticPr fontId="46" type="noConversion"/>
  </si>
  <si>
    <t>新浪新闻</t>
  </si>
  <si>
    <t>网易系</t>
    <phoneticPr fontId="46" type="noConversion"/>
  </si>
  <si>
    <t>网易新闻</t>
    <phoneticPr fontId="46" type="noConversion"/>
  </si>
  <si>
    <t>爱奇艺广告收入</t>
    <phoneticPr fontId="46" type="noConversion"/>
  </si>
  <si>
    <t>月活</t>
    <phoneticPr fontId="46" type="noConversion"/>
  </si>
  <si>
    <t>ARPU</t>
    <phoneticPr fontId="46" type="noConversion"/>
  </si>
  <si>
    <t>腾讯视频推算</t>
    <phoneticPr fontId="46" type="noConversion"/>
  </si>
  <si>
    <t>网易新闻</t>
    <phoneticPr fontId="46" type="noConversion"/>
  </si>
  <si>
    <t>腾讯新闻推算</t>
    <phoneticPr fontId="46" type="noConversion"/>
  </si>
  <si>
    <t>消费总时长（万小时）</t>
  </si>
  <si>
    <t>亿小时</t>
    <phoneticPr fontId="46" type="noConversion"/>
  </si>
  <si>
    <t>腾讯视频</t>
    <phoneticPr fontId="46" type="noConversion"/>
  </si>
  <si>
    <t>QQ浏览器</t>
    <phoneticPr fontId="46" type="noConversion"/>
  </si>
  <si>
    <t>腾讯系合计</t>
    <phoneticPr fontId="46" type="noConversion"/>
  </si>
  <si>
    <t>阿里系</t>
    <phoneticPr fontId="46" type="noConversion"/>
  </si>
  <si>
    <t>手机淘宝</t>
  </si>
  <si>
    <t>支付宝</t>
    <phoneticPr fontId="46" type="noConversion"/>
  </si>
  <si>
    <t>UC浏览器</t>
    <phoneticPr fontId="46" type="noConversion"/>
  </si>
  <si>
    <t>阿里系合计</t>
    <phoneticPr fontId="46" type="noConversion"/>
  </si>
  <si>
    <t>头条系</t>
    <phoneticPr fontId="46" type="noConversion"/>
  </si>
  <si>
    <t>今日头条</t>
  </si>
  <si>
    <t>抖音短视频</t>
    <phoneticPr fontId="46" type="noConversion"/>
  </si>
  <si>
    <t>头条系</t>
    <phoneticPr fontId="46" type="noConversion"/>
  </si>
  <si>
    <t>火山小视频</t>
    <phoneticPr fontId="46" type="noConversion"/>
  </si>
  <si>
    <t>头条系</t>
    <phoneticPr fontId="46" type="noConversion"/>
  </si>
  <si>
    <t>西瓜视频</t>
    <phoneticPr fontId="46" type="noConversion"/>
  </si>
  <si>
    <t>头条系合计</t>
    <phoneticPr fontId="46" type="noConversion"/>
  </si>
  <si>
    <t>百度系</t>
    <phoneticPr fontId="46" type="noConversion"/>
  </si>
  <si>
    <t>百度</t>
  </si>
  <si>
    <t>百度系</t>
    <phoneticPr fontId="46" type="noConversion"/>
  </si>
  <si>
    <t>爱奇艺</t>
    <phoneticPr fontId="46" type="noConversion"/>
  </si>
  <si>
    <t>百度输入法</t>
    <phoneticPr fontId="46" type="noConversion"/>
  </si>
  <si>
    <t>百度系合计</t>
    <phoneticPr fontId="46" type="noConversion"/>
  </si>
  <si>
    <t>新浪微博</t>
  </si>
  <si>
    <t>新浪系合计</t>
    <phoneticPr fontId="46" type="noConversion"/>
  </si>
  <si>
    <t>五大合计总时长</t>
    <phoneticPr fontId="46" type="noConversion"/>
  </si>
  <si>
    <t>占比</t>
    <phoneticPr fontId="46" type="noConversion"/>
  </si>
  <si>
    <t>百度系</t>
    <phoneticPr fontId="46" type="noConversion"/>
  </si>
  <si>
    <t>微信</t>
    <phoneticPr fontId="46" type="noConversion"/>
  </si>
  <si>
    <t>（1）应收账款周转率假设</t>
    <phoneticPr fontId="3" type="noConversion"/>
  </si>
  <si>
    <t>（2）预付款项周转率假设</t>
    <phoneticPr fontId="7" type="noConversion"/>
  </si>
  <si>
    <t>土地使用权假设</t>
    <phoneticPr fontId="3" type="noConversion"/>
  </si>
  <si>
    <t>（4）资本开支合计</t>
    <phoneticPr fontId="7" type="noConversion"/>
  </si>
  <si>
    <t>（3）土地使用权投资额</t>
    <phoneticPr fontId="7" type="noConversion"/>
  </si>
  <si>
    <t>收入/土地使用权</t>
    <phoneticPr fontId="7" type="noConversion"/>
  </si>
  <si>
    <t>土地使用权摊销</t>
    <phoneticPr fontId="7" type="noConversion"/>
  </si>
  <si>
    <t>以公允价值计量且其变动计入损益的金融资产</t>
    <phoneticPr fontId="3" type="noConversion"/>
  </si>
  <si>
    <t>以公允价值计量且其变动计入其他全面收益的金融资产</t>
    <phoneticPr fontId="3" type="noConversion"/>
  </si>
  <si>
    <t>（1）应付账款周转率假设</t>
    <phoneticPr fontId="7" type="noConversion"/>
  </si>
  <si>
    <t>（2）其他應付款項及預提費用周转率假设</t>
    <phoneticPr fontId="7" type="noConversion"/>
  </si>
  <si>
    <t>人民币：百万元</t>
    <phoneticPr fontId="3" type="noConversion"/>
  </si>
  <si>
    <t>单位：百万元</t>
    <phoneticPr fontId="3" type="noConversion"/>
  </si>
  <si>
    <t>5、分红假设</t>
    <phoneticPr fontId="3" type="noConversion"/>
  </si>
  <si>
    <t>6、储备</t>
    <phoneticPr fontId="3" type="noConversion"/>
  </si>
  <si>
    <t>4、股本假设(百万股)</t>
    <phoneticPr fontId="3" type="noConversion"/>
  </si>
  <si>
    <t>普通股股数（百万股）</t>
    <phoneticPr fontId="3" type="noConversion"/>
  </si>
  <si>
    <t>稀释普通股股数（百万股）</t>
    <phoneticPr fontId="3" type="noConversion"/>
  </si>
  <si>
    <t>增值服务</t>
    <phoneticPr fontId="3" type="noConversion"/>
  </si>
  <si>
    <t>网络广告</t>
    <phoneticPr fontId="3" type="noConversion"/>
  </si>
  <si>
    <t>其他收益净额</t>
    <phoneticPr fontId="3" type="noConversion"/>
  </si>
  <si>
    <t>销售及市场推广开支</t>
    <phoneticPr fontId="3" type="noConversion"/>
  </si>
  <si>
    <t>一般及行政开支</t>
    <phoneticPr fontId="3" type="noConversion"/>
  </si>
  <si>
    <t>财务成本净额</t>
    <phoneticPr fontId="3" type="noConversion"/>
  </si>
  <si>
    <t>分占联营公司及合营公司盈利╱（亏损）</t>
    <phoneticPr fontId="3" type="noConversion"/>
  </si>
  <si>
    <t>除税前盈利</t>
    <phoneticPr fontId="3" type="noConversion"/>
  </si>
  <si>
    <t>下列人士应占：</t>
    <phoneticPr fontId="3" type="noConversion"/>
  </si>
  <si>
    <t>受限制现金</t>
    <phoneticPr fontId="3" type="noConversion"/>
  </si>
  <si>
    <t>应收账款</t>
    <phoneticPr fontId="3" type="noConversion"/>
  </si>
  <si>
    <t>预付款项、按金及其他资产</t>
    <phoneticPr fontId="3" type="noConversion"/>
  </si>
  <si>
    <t>其他金融资产</t>
    <phoneticPr fontId="3" type="noConversion"/>
  </si>
  <si>
    <t>投资物业</t>
    <phoneticPr fontId="3" type="noConversion"/>
  </si>
  <si>
    <t>土地使用权</t>
    <phoneticPr fontId="3" type="noConversion"/>
  </si>
  <si>
    <t>于联营公司的投资</t>
    <phoneticPr fontId="3" type="noConversion"/>
  </si>
  <si>
    <t>于联营公司可赎回工具的投资</t>
    <phoneticPr fontId="3" type="noConversion"/>
  </si>
  <si>
    <t>于合营公司的投资</t>
    <phoneticPr fontId="3" type="noConversion"/>
  </si>
  <si>
    <t>可供出售金融资产</t>
    <phoneticPr fontId="3" type="noConversion"/>
  </si>
  <si>
    <t>预付款项、按金及其他资产</t>
    <phoneticPr fontId="3" type="noConversion"/>
  </si>
  <si>
    <t>其他金融资产</t>
    <phoneticPr fontId="3" type="noConversion"/>
  </si>
  <si>
    <t>应付账款</t>
    <phoneticPr fontId="3" type="noConversion"/>
  </si>
  <si>
    <t>其他应付款项及预提费用</t>
    <phoneticPr fontId="3" type="noConversion"/>
  </si>
  <si>
    <t>应付票据</t>
    <phoneticPr fontId="3" type="noConversion"/>
  </si>
  <si>
    <t>流动所得税负债</t>
    <phoneticPr fontId="3" type="noConversion"/>
  </si>
  <si>
    <t>其他税项负债</t>
    <phoneticPr fontId="3" type="noConversion"/>
  </si>
  <si>
    <t>应付票据</t>
    <phoneticPr fontId="3" type="noConversion"/>
  </si>
  <si>
    <t>长期应付款项</t>
    <phoneticPr fontId="3" type="noConversion"/>
  </si>
  <si>
    <t>其他金融负债</t>
    <phoneticPr fontId="3" type="noConversion"/>
  </si>
  <si>
    <t>递延所得税负债</t>
    <phoneticPr fontId="3" type="noConversion"/>
  </si>
  <si>
    <t>递延收入</t>
    <phoneticPr fontId="3" type="noConversion"/>
  </si>
  <si>
    <t>—股份奖励计划所持股份</t>
    <phoneticPr fontId="3" type="noConversion"/>
  </si>
  <si>
    <t>处置及视同处置投资公司及业务的收益</t>
    <phoneticPr fontId="7" type="noConversion"/>
  </si>
  <si>
    <t>清算投资公司亏损</t>
    <phoneticPr fontId="7" type="noConversion"/>
  </si>
  <si>
    <t>物业、设备及器材以及投资物业折旧</t>
    <phoneticPr fontId="7" type="noConversion"/>
  </si>
  <si>
    <t>无形资产及土地使用权摊销</t>
    <phoneticPr fontId="7" type="noConversion"/>
  </si>
  <si>
    <t>处置无形资产、物业、设备及器材以及在建工程的亏损净额</t>
    <phoneticPr fontId="7" type="noConversion"/>
  </si>
  <si>
    <t>按权益结算的股份酬金开支</t>
    <phoneticPr fontId="7" type="noConversion"/>
  </si>
  <si>
    <t>分占联营公司及合营公司的（盈利）╱亏损</t>
    <phoneticPr fontId="7" type="noConversion"/>
  </si>
  <si>
    <t>可供出售金融资产、于联营公司、合营公司及联营公司可赎回工具的投资的减值拨备</t>
    <phoneticPr fontId="7" type="noConversion"/>
  </si>
  <si>
    <t>其他金融资产公允价值收益</t>
    <phoneticPr fontId="7" type="noConversion"/>
  </si>
  <si>
    <t>无形资产减值</t>
    <phoneticPr fontId="7" type="noConversion"/>
  </si>
  <si>
    <t>汇兑收益</t>
    <phoneticPr fontId="7" type="noConversion"/>
  </si>
  <si>
    <t>(增加)/减少应收账款</t>
    <phoneticPr fontId="7" type="noConversion"/>
  </si>
  <si>
    <t>(增加)/减少预付款项、按金及其他应收款项</t>
    <phoneticPr fontId="7" type="noConversion"/>
  </si>
  <si>
    <t>增加/(减少)应付账款</t>
    <phoneticPr fontId="7" type="noConversion"/>
  </si>
  <si>
    <t>增加/(减少)其他应付款项及预提费用</t>
    <phoneticPr fontId="7" type="noConversion"/>
  </si>
  <si>
    <t>其他税项负债</t>
    <phoneticPr fontId="7" type="noConversion"/>
  </si>
  <si>
    <t>进行业务合并产生的（付款）╱所得款项（扣除取得现金）</t>
    <phoneticPr fontId="7" type="noConversion"/>
  </si>
  <si>
    <t>处置附属公司的现金流入净额</t>
    <phoneticPr fontId="7" type="noConversion"/>
  </si>
  <si>
    <t>处置附属公司的现金（流出）╱流入净额</t>
    <phoneticPr fontId="7" type="noConversion"/>
  </si>
  <si>
    <t>购买物业、设备及器材、在建工程与投资物业</t>
    <phoneticPr fontId="7" type="noConversion"/>
  </si>
  <si>
    <t>处置物业、设备及器材</t>
    <phoneticPr fontId="7" type="noConversion"/>
  </si>
  <si>
    <t>对联营公司的投资</t>
    <phoneticPr fontId="7" type="noConversion"/>
  </si>
  <si>
    <t>处置于联营公司的投资</t>
    <phoneticPr fontId="7" type="noConversion"/>
  </si>
  <si>
    <t>对联营公司可赎回工具的投资</t>
    <phoneticPr fontId="7" type="noConversion"/>
  </si>
  <si>
    <t>处置于联营公司可赎回优先股投资的所得款项</t>
    <phoneticPr fontId="7" type="noConversion"/>
  </si>
  <si>
    <t>处置于联营公司可赎回工具的投资</t>
    <phoneticPr fontId="7" type="noConversion"/>
  </si>
  <si>
    <t>对合营公司的投资</t>
    <phoneticPr fontId="7" type="noConversion"/>
  </si>
  <si>
    <t>处置于合营公司的投资</t>
    <phoneticPr fontId="7" type="noConversion"/>
  </si>
  <si>
    <t>购买无形资产的付款╱预付款项</t>
    <phoneticPr fontId="7" type="noConversion"/>
  </si>
  <si>
    <t>处置无形资产的所得款项</t>
    <phoneticPr fontId="7" type="noConversion"/>
  </si>
  <si>
    <t>购买土地使用权的付款╱预付款项</t>
    <phoneticPr fontId="7" type="noConversion"/>
  </si>
  <si>
    <t>处置土地使用权的所得款项</t>
    <phoneticPr fontId="7" type="noConversion"/>
  </si>
  <si>
    <t>购买可供出售金融资产及相关衍生金融工具</t>
    <phoneticPr fontId="7" type="noConversion"/>
  </si>
  <si>
    <t>处置可供出售金融资产</t>
    <phoneticPr fontId="7" type="noConversion"/>
  </si>
  <si>
    <t>购买以公允价值计量且其变动计入损益的金融资产</t>
    <phoneticPr fontId="7" type="noConversion"/>
  </si>
  <si>
    <t>购买以公允价值计量且其变动计入其他全面收益的金融资产</t>
    <phoneticPr fontId="7" type="noConversion"/>
  </si>
  <si>
    <t>向投资公司及其他人士提供贷款</t>
    <phoneticPr fontId="7" type="noConversion"/>
  </si>
  <si>
    <t>收回对投资公司及其他人士的贷款</t>
    <phoneticPr fontId="7" type="noConversion"/>
  </si>
  <si>
    <t>购买其他金融资产</t>
    <phoneticPr fontId="7" type="noConversion"/>
  </si>
  <si>
    <t>结算其他金融资产的所得款项</t>
    <phoneticPr fontId="7" type="noConversion"/>
  </si>
  <si>
    <t>向联营公司提供贷款的（付款）╱结算所得款项</t>
    <phoneticPr fontId="7" type="noConversion"/>
  </si>
  <si>
    <t>向合营公司提供贷款的付款</t>
    <phoneticPr fontId="7" type="noConversion"/>
  </si>
  <si>
    <t>初步为期超过三个月的定期存款到期的收款</t>
    <phoneticPr fontId="7" type="noConversion"/>
  </si>
  <si>
    <t>存入初步为期超过三个月的定期存款</t>
    <phoneticPr fontId="7" type="noConversion"/>
  </si>
  <si>
    <t>短期借款所得款项</t>
    <phoneticPr fontId="7" type="noConversion"/>
  </si>
  <si>
    <t>偿还短期借款</t>
    <phoneticPr fontId="7" type="noConversion"/>
  </si>
  <si>
    <t>长期借款所得款项</t>
    <phoneticPr fontId="7" type="noConversion"/>
  </si>
  <si>
    <t>偿还长期借款</t>
    <phoneticPr fontId="7" type="noConversion"/>
  </si>
  <si>
    <t>偿还可转股债券</t>
    <phoneticPr fontId="7" type="noConversion"/>
  </si>
  <si>
    <t>发行应付票据所得款项净额</t>
    <phoneticPr fontId="7" type="noConversion"/>
  </si>
  <si>
    <t>偿还应付票据</t>
    <phoneticPr fontId="7" type="noConversion"/>
  </si>
  <si>
    <t>发行普通股所得款项</t>
    <phoneticPr fontId="7" type="noConversion"/>
  </si>
  <si>
    <t>支付购回股份款项</t>
    <phoneticPr fontId="7" type="noConversion"/>
  </si>
  <si>
    <t>股份奖励计划代扣股份</t>
    <phoneticPr fontId="7" type="noConversion"/>
  </si>
  <si>
    <t>非控制性权益注资所得款项</t>
    <phoneticPr fontId="7" type="noConversion"/>
  </si>
  <si>
    <t>发行非全资附属公司额外股权的所得款项</t>
    <phoneticPr fontId="7" type="noConversion"/>
  </si>
  <si>
    <t>处置非全资附属公司非控制性权益</t>
    <phoneticPr fontId="7" type="noConversion"/>
  </si>
  <si>
    <t>购买非全资附属公司非控制性权益</t>
    <phoneticPr fontId="7" type="noConversion"/>
  </si>
  <si>
    <t>向本公司股东支付股息</t>
    <phoneticPr fontId="7" type="noConversion"/>
  </si>
  <si>
    <t>向非控制性权益支付股息</t>
    <phoneticPr fontId="7" type="noConversion"/>
  </si>
  <si>
    <t>折价</t>
    <phoneticPr fontId="7" type="noConversion"/>
  </si>
  <si>
    <t>NAV（亿元）</t>
    <phoneticPr fontId="7" type="noConversion"/>
  </si>
  <si>
    <t>同比</t>
    <phoneticPr fontId="7" type="noConversion"/>
  </si>
  <si>
    <t>年份</t>
    <phoneticPr fontId="7" type="noConversion"/>
  </si>
  <si>
    <t>非上市</t>
    <phoneticPr fontId="7" type="noConversion"/>
  </si>
  <si>
    <t>市场估值折算</t>
    <phoneticPr fontId="7" type="noConversion"/>
  </si>
  <si>
    <t>加权平均股数（亿股）</t>
    <phoneticPr fontId="7" type="noConversion"/>
  </si>
  <si>
    <t>金融资产（亿）</t>
    <phoneticPr fontId="7" type="noConversion"/>
  </si>
  <si>
    <t>联营公司权益（亿）</t>
    <phoneticPr fontId="7" type="noConversion"/>
  </si>
  <si>
    <t>截至2018年末</t>
    <phoneticPr fontId="7" type="noConversion"/>
  </si>
  <si>
    <t>数据来源：网络</t>
    <phoneticPr fontId="7" type="noConversion"/>
  </si>
  <si>
    <t>年份</t>
    <phoneticPr fontId="7" type="noConversion"/>
  </si>
  <si>
    <t>市场对NAV进行估值的折价</t>
    <phoneticPr fontId="7" type="noConversion"/>
  </si>
  <si>
    <t>同比</t>
    <phoneticPr fontId="7" type="noConversion"/>
  </si>
  <si>
    <t>每股NAV（港元）</t>
    <phoneticPr fontId="7" type="noConversion"/>
  </si>
  <si>
    <t>每一股中含有的投资资产的价值</t>
    <phoneticPr fontId="7" type="noConversion"/>
  </si>
  <si>
    <t>上市</t>
    <phoneticPr fontId="7" type="noConversion"/>
  </si>
  <si>
    <t>上市</t>
    <phoneticPr fontId="7" type="noConversion"/>
  </si>
  <si>
    <t>非上市</t>
    <phoneticPr fontId="7" type="noConversion"/>
  </si>
  <si>
    <t>联营上市部分公允</t>
    <phoneticPr fontId="7" type="noConversion"/>
  </si>
  <si>
    <t>溢价</t>
    <phoneticPr fontId="7" type="noConversion"/>
  </si>
  <si>
    <t>联营非上市部分公允</t>
    <phoneticPr fontId="7" type="noConversion"/>
  </si>
  <si>
    <t>伯克希尔哈撒韦的NAV与股价的关系</t>
    <phoneticPr fontId="7" type="noConversion"/>
  </si>
  <si>
    <t>复星国际NAV与股价的关系</t>
    <phoneticPr fontId="7" type="noConversion"/>
  </si>
  <si>
    <t>NAV</t>
    <phoneticPr fontId="7" type="noConversion"/>
  </si>
  <si>
    <t>市值</t>
    <phoneticPr fontId="7" type="noConversion"/>
  </si>
  <si>
    <t>1、核心业务估值</t>
    <phoneticPr fontId="3" type="noConversion"/>
  </si>
  <si>
    <t>2、投资业务估值</t>
    <phoneticPr fontId="3" type="noConversion"/>
  </si>
  <si>
    <t>投资业务NAV估值（亿元）</t>
    <phoneticPr fontId="3" type="noConversion"/>
  </si>
  <si>
    <t>3、整体估值</t>
    <phoneticPr fontId="3" type="noConversion"/>
  </si>
  <si>
    <t>股权价值合计（亿港元）</t>
    <phoneticPr fontId="3" type="noConversion"/>
  </si>
  <si>
    <t>股权价值合计（亿元）</t>
    <phoneticPr fontId="3" type="noConversion"/>
  </si>
  <si>
    <t>核心业务股权价值合计（亿元）</t>
    <phoneticPr fontId="3" type="noConversion"/>
  </si>
  <si>
    <t>收盘价
（港元）</t>
    <phoneticPr fontId="7" type="noConversion"/>
  </si>
  <si>
    <t>总市值
（亿港元）</t>
    <phoneticPr fontId="7" type="noConversion"/>
  </si>
  <si>
    <t>BABA.N</t>
    <phoneticPr fontId="7" type="noConversion"/>
  </si>
  <si>
    <t>FB.O</t>
    <phoneticPr fontId="7" type="noConversion"/>
  </si>
  <si>
    <t>NTES.O</t>
    <phoneticPr fontId="7" type="noConversion"/>
  </si>
  <si>
    <t>腾讯控股</t>
  </si>
  <si>
    <t>网易</t>
  </si>
  <si>
    <t>阿里巴巴</t>
  </si>
  <si>
    <t>FACEBOOK</t>
  </si>
  <si>
    <t>细节请参考见智的阅文模型</t>
    <phoneticPr fontId="7" type="noConversion"/>
  </si>
  <si>
    <t>2021H1</t>
    <phoneticPr fontId="7" type="noConversion"/>
  </si>
  <si>
    <t>2021H2</t>
  </si>
  <si>
    <t>2022H1</t>
    <phoneticPr fontId="7" type="noConversion"/>
  </si>
  <si>
    <t>2022H2</t>
    <phoneticPr fontId="7" type="noConversion"/>
  </si>
  <si>
    <t>数据来源：艾瑞</t>
    <phoneticPr fontId="7" type="noConversion"/>
  </si>
  <si>
    <t>最新市值</t>
    <phoneticPr fontId="7" type="noConversion"/>
  </si>
  <si>
    <t>搜狗</t>
  </si>
  <si>
    <t>富途证券</t>
    <phoneticPr fontId="7" type="noConversion"/>
  </si>
  <si>
    <t>SEA</t>
  </si>
  <si>
    <t>58同城</t>
    <phoneticPr fontId="7" type="noConversion"/>
  </si>
  <si>
    <t>同程艺龙</t>
    <phoneticPr fontId="7" type="noConversion"/>
  </si>
  <si>
    <t>易鑫集团</t>
  </si>
  <si>
    <t>蘑菇街</t>
    <phoneticPr fontId="7" type="noConversion"/>
  </si>
  <si>
    <t>创梦天地</t>
  </si>
  <si>
    <t>京东</t>
  </si>
  <si>
    <t>Netmarble</t>
  </si>
  <si>
    <t>拼多多</t>
    <phoneticPr fontId="7" type="noConversion"/>
  </si>
  <si>
    <t>猎豹移动</t>
  </si>
  <si>
    <t>乐居</t>
  </si>
  <si>
    <t>蔚来</t>
    <phoneticPr fontId="7" type="noConversion"/>
  </si>
  <si>
    <t>哔哩哔哩</t>
  </si>
  <si>
    <t>众安在线</t>
  </si>
  <si>
    <t>四维图新</t>
  </si>
  <si>
    <t>华谊兄弟</t>
  </si>
  <si>
    <t>唯品会</t>
  </si>
  <si>
    <t>金山软件</t>
  </si>
  <si>
    <t>趣头条</t>
    <phoneticPr fontId="7" type="noConversion"/>
  </si>
  <si>
    <t>易车</t>
  </si>
  <si>
    <t>spotify</t>
    <phoneticPr fontId="7" type="noConversion"/>
  </si>
  <si>
    <t>步步高</t>
  </si>
  <si>
    <t>海澜之家</t>
  </si>
  <si>
    <t>中国联通</t>
    <phoneticPr fontId="7" type="noConversion"/>
  </si>
  <si>
    <t>动视暴雪</t>
  </si>
  <si>
    <t>特斯拉</t>
  </si>
  <si>
    <t>永辉超市</t>
  </si>
  <si>
    <t>育碧</t>
  </si>
  <si>
    <t>中金公司</t>
  </si>
  <si>
    <t>微盟</t>
    <phoneticPr fontId="7" type="noConversion"/>
  </si>
  <si>
    <t>被投公司</t>
    <phoneticPr fontId="7" type="noConversion"/>
  </si>
  <si>
    <t>腾讯份额</t>
    <phoneticPr fontId="7" type="noConversion"/>
  </si>
  <si>
    <t>最新
应占市值</t>
    <phoneticPr fontId="7" type="noConversion"/>
  </si>
  <si>
    <t>股份酬金</t>
    <phoneticPr fontId="7" type="noConversion"/>
  </si>
  <si>
    <t>减值拨备</t>
    <phoneticPr fontId="7" type="noConversion"/>
  </si>
  <si>
    <t>投资（收益）/亏损</t>
    <phoneticPr fontId="7" type="noConversion"/>
  </si>
  <si>
    <t>以上合计</t>
    <phoneticPr fontId="7" type="noConversion"/>
  </si>
  <si>
    <t>占其他收益净额比</t>
    <phoneticPr fontId="46" type="noConversion"/>
  </si>
  <si>
    <t>腾讯手游用户规模（亿）</t>
    <phoneticPr fontId="7" type="noConversion"/>
  </si>
  <si>
    <t>渗透率</t>
    <phoneticPr fontId="7" type="noConversion"/>
  </si>
  <si>
    <t>中国手游用户规模（亿）</t>
    <phoneticPr fontId="7" type="noConversion"/>
  </si>
  <si>
    <t>总用户数</t>
    <phoneticPr fontId="7" type="noConversion"/>
  </si>
  <si>
    <t>穿越火线</t>
    <phoneticPr fontId="7" type="noConversion"/>
  </si>
  <si>
    <t>数据来源：极光大数据、艾瑞咨询</t>
    <phoneticPr fontId="7" type="noConversion"/>
  </si>
  <si>
    <t>腾讯手游</t>
    <phoneticPr fontId="7" type="noConversion"/>
  </si>
  <si>
    <t>腾讯手游用户规模（亿）</t>
    <phoneticPr fontId="7" type="noConversion"/>
  </si>
  <si>
    <t>穿越火线</t>
    <phoneticPr fontId="7" type="noConversion"/>
  </si>
  <si>
    <t>环比</t>
    <phoneticPr fontId="7" type="noConversion"/>
  </si>
  <si>
    <t>渗透率</t>
    <phoneticPr fontId="7" type="noConversion"/>
  </si>
  <si>
    <t>调整后净利润</t>
    <phoneticPr fontId="3" type="noConversion"/>
  </si>
  <si>
    <t>同比</t>
    <phoneticPr fontId="7" type="noConversion"/>
  </si>
  <si>
    <t>用户数据（MAU）</t>
    <phoneticPr fontId="46" type="noConversion"/>
  </si>
  <si>
    <t>QQ</t>
    <phoneticPr fontId="7" type="noConversion"/>
  </si>
  <si>
    <t>QQ智能终端</t>
    <phoneticPr fontId="7" type="noConversion"/>
  </si>
  <si>
    <t>微信</t>
    <phoneticPr fontId="7" type="noConversion"/>
  </si>
  <si>
    <t>QQ空间</t>
    <phoneticPr fontId="7" type="noConversion"/>
  </si>
  <si>
    <t>QQ空间智能终端</t>
    <phoneticPr fontId="7" type="noConversion"/>
  </si>
  <si>
    <t>腾讯视频</t>
    <phoneticPr fontId="7" type="noConversion"/>
  </si>
  <si>
    <t>收费注册用户数</t>
    <phoneticPr fontId="7" type="noConversion"/>
  </si>
  <si>
    <t>收入合计</t>
    <phoneticPr fontId="7" type="noConversion"/>
  </si>
  <si>
    <t>典型与用户规模比</t>
    <phoneticPr fontId="7" type="noConversion"/>
  </si>
  <si>
    <t>腾讯手游市占率</t>
    <phoneticPr fontId="7" type="noConversion"/>
  </si>
  <si>
    <t>腾讯端游市占率</t>
    <phoneticPr fontId="7" type="noConversion"/>
  </si>
  <si>
    <t>占比</t>
    <phoneticPr fontId="7" type="noConversion"/>
  </si>
  <si>
    <t>支付业务</t>
    <phoneticPr fontId="46" type="noConversion"/>
  </si>
  <si>
    <t>环比</t>
    <phoneticPr fontId="7" type="noConversion"/>
  </si>
  <si>
    <t>广告</t>
    <phoneticPr fontId="7" type="noConversion"/>
  </si>
  <si>
    <t>增值服务</t>
    <phoneticPr fontId="7" type="noConversion"/>
  </si>
  <si>
    <t>云、支付及其他</t>
    <phoneticPr fontId="7" type="noConversion"/>
  </si>
  <si>
    <t>增值服务</t>
    <phoneticPr fontId="7" type="noConversion"/>
  </si>
  <si>
    <t>广告</t>
    <phoneticPr fontId="7" type="noConversion"/>
  </si>
  <si>
    <t>云、支付及其他</t>
    <phoneticPr fontId="7" type="noConversion"/>
  </si>
  <si>
    <t>总费用</t>
    <phoneticPr fontId="46" type="noConversion"/>
  </si>
  <si>
    <t>占收入比</t>
    <phoneticPr fontId="7" type="noConversion"/>
  </si>
  <si>
    <t>研发</t>
    <phoneticPr fontId="46" type="noConversion"/>
  </si>
  <si>
    <t>管理</t>
    <phoneticPr fontId="46" type="noConversion"/>
  </si>
  <si>
    <t>销售</t>
    <phoneticPr fontId="46" type="noConversion"/>
  </si>
  <si>
    <t>其他收益净额</t>
    <phoneticPr fontId="46" type="noConversion"/>
  </si>
  <si>
    <t>投资相关收益</t>
    <phoneticPr fontId="46" type="noConversion"/>
  </si>
  <si>
    <t>细节请参考见智的腾讯音乐模型</t>
    <phoneticPr fontId="7" type="noConversion"/>
  </si>
  <si>
    <t>其他在线音乐月均ARPPU（元）</t>
    <phoneticPr fontId="46" type="noConversion"/>
  </si>
  <si>
    <t>归属本公司股东的盈利</t>
    <phoneticPr fontId="46" type="noConversion"/>
  </si>
  <si>
    <t>税后净利</t>
    <phoneticPr fontId="46" type="noConversion"/>
  </si>
  <si>
    <t>其他收入净额</t>
    <phoneticPr fontId="46" type="noConversion"/>
  </si>
  <si>
    <t>剔除18Q4上市的公司后</t>
    <phoneticPr fontId="7" type="noConversion"/>
  </si>
  <si>
    <t>平均ARPPU</t>
    <phoneticPr fontId="46" type="noConversion"/>
  </si>
  <si>
    <t>单位：百万元</t>
    <phoneticPr fontId="7" type="noConversion"/>
  </si>
  <si>
    <t>视频ARPPU(数字）</t>
    <phoneticPr fontId="46" type="noConversion"/>
  </si>
  <si>
    <t>环比（年度为同比）</t>
    <phoneticPr fontId="46" type="noConversion"/>
  </si>
  <si>
    <t>端游同比</t>
    <phoneticPr fontId="46" type="noConversion"/>
  </si>
  <si>
    <t>数字同比</t>
    <phoneticPr fontId="46" type="noConversion"/>
  </si>
  <si>
    <t>收费注册用户ARPPU</t>
    <phoneticPr fontId="46" type="noConversion"/>
  </si>
  <si>
    <t>云同比</t>
    <phoneticPr fontId="46" type="noConversion"/>
  </si>
  <si>
    <t>支付同比</t>
    <phoneticPr fontId="46" type="noConversion"/>
  </si>
  <si>
    <t>23Q1</t>
    <phoneticPr fontId="7" type="noConversion"/>
  </si>
  <si>
    <t>23Q2</t>
  </si>
  <si>
    <t>23Q3</t>
  </si>
  <si>
    <t>23Q4</t>
  </si>
  <si>
    <t>18年年报</t>
    <phoneticPr fontId="7" type="noConversion"/>
  </si>
  <si>
    <t>18Q4市值</t>
    <phoneticPr fontId="7" type="noConversion"/>
  </si>
  <si>
    <t>18Q4
应占市值</t>
    <phoneticPr fontId="7" type="noConversion"/>
  </si>
  <si>
    <t>美团点评</t>
    <phoneticPr fontId="7" type="noConversion"/>
  </si>
  <si>
    <t>Snapchat</t>
    <phoneticPr fontId="7" type="noConversion"/>
  </si>
  <si>
    <t>上涨</t>
    <phoneticPr fontId="7" type="noConversion"/>
  </si>
  <si>
    <t>2019E</t>
    <phoneticPr fontId="7" type="noConversion"/>
  </si>
  <si>
    <t>2023E</t>
  </si>
  <si>
    <t>19Q1E</t>
    <phoneticPr fontId="7" type="noConversion"/>
  </si>
  <si>
    <t>19Q2E</t>
  </si>
  <si>
    <t>19Q3E</t>
  </si>
  <si>
    <t>19Q4E</t>
  </si>
  <si>
    <t>20Q1E</t>
    <phoneticPr fontId="7" type="noConversion"/>
  </si>
  <si>
    <t>20Q2E</t>
  </si>
  <si>
    <t>20Q3E</t>
  </si>
  <si>
    <t>20Q4E</t>
  </si>
  <si>
    <t>21Q1E</t>
    <phoneticPr fontId="46" type="noConversion"/>
  </si>
  <si>
    <t>21Q2E</t>
  </si>
  <si>
    <t>21Q3E</t>
  </si>
  <si>
    <t>21Q4E</t>
  </si>
  <si>
    <t>22Q1E</t>
    <phoneticPr fontId="46" type="noConversion"/>
  </si>
  <si>
    <t>22Q2E</t>
  </si>
  <si>
    <t>22Q3E</t>
  </si>
  <si>
    <t>22Q4E</t>
  </si>
  <si>
    <t>23Q1E</t>
    <phoneticPr fontId="7" type="noConversion"/>
  </si>
  <si>
    <t>23Q2E</t>
  </si>
  <si>
    <t>23Q3E</t>
  </si>
  <si>
    <t>23Q4E</t>
  </si>
  <si>
    <t>按公允值计入损益的金融资产</t>
    <phoneticPr fontId="3" type="noConversion"/>
  </si>
  <si>
    <t>其他金融资产</t>
    <phoneticPr fontId="3" type="noConversion"/>
  </si>
  <si>
    <t>以公允价值计量且其变动计入 损益的金融资产</t>
    <phoneticPr fontId="3" type="noConversion"/>
  </si>
  <si>
    <t>以公允价值计量且其变动计入其他全面收益的金融资产</t>
    <phoneticPr fontId="3" type="noConversion"/>
  </si>
  <si>
    <t>2024E</t>
    <phoneticPr fontId="3" type="noConversion"/>
  </si>
  <si>
    <t>2031E</t>
  </si>
  <si>
    <t>预测期（2024-2031）自由现金流量现值</t>
    <phoneticPr fontId="3" type="noConversion"/>
  </si>
  <si>
    <t>预测期（2019-2023）自由现金流量现值</t>
    <phoneticPr fontId="3" type="noConversion"/>
  </si>
  <si>
    <t>EPS</t>
    <phoneticPr fontId="7" type="noConversion"/>
  </si>
  <si>
    <t>按性质划分的开支</t>
    <phoneticPr fontId="46" type="noConversion"/>
  </si>
  <si>
    <t>雇员福利开支</t>
    <phoneticPr fontId="7" type="noConversion"/>
  </si>
  <si>
    <t>内容成本（不包括无形资产摊销）</t>
    <phoneticPr fontId="7" type="noConversion"/>
  </si>
  <si>
    <t>渠道及分销成本</t>
    <phoneticPr fontId="7" type="noConversion"/>
  </si>
  <si>
    <t>推广及广告费</t>
    <phoneticPr fontId="7" type="noConversion"/>
  </si>
  <si>
    <t>办公室楼宇经营租赁租金</t>
    <phoneticPr fontId="7" type="noConversion"/>
  </si>
  <si>
    <t>差旅费及交际费</t>
    <phoneticPr fontId="7" type="noConversion"/>
  </si>
  <si>
    <t>无形资产摊销</t>
    <phoneticPr fontId="7" type="noConversion"/>
  </si>
  <si>
    <t>物业、设备及器材折旧</t>
    <phoneticPr fontId="7" type="noConversion"/>
  </si>
  <si>
    <t>宽带和服务器托管费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</si>
</sst>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5">
    <numFmt numFmtId="43" formatCode="_ * #,##0.00_ ;_ * \-#,##0.00_ ;_ * &quot;-&quot;??_ ;_ @_ "/>
    <numFmt numFmtId="176" formatCode="_-* #,##0_-;\-* #,##0_-;_-* &quot;-&quot;_-;_-@_-"/>
    <numFmt numFmtId="177" formatCode="_ * #,##0_ ;_ * \-#,##0_ ;_ * &quot;-&quot;??_ ;_ @_ "/>
    <numFmt numFmtId="178" formatCode="_-* #,##0.00_-;\-* #,##0.00_-;_-* &quot;-&quot;_-;_-@_-"/>
    <numFmt numFmtId="179" formatCode="#,##0.0_);\(#,##0.0\)"/>
    <numFmt numFmtId="180" formatCode="yyyy\ &quot;年&quot;"/>
    <numFmt numFmtId="181" formatCode="###,##0_ "/>
    <numFmt numFmtId="182" formatCode="#,##0_);[Red]\(#,##0\)"/>
    <numFmt numFmtId="183" formatCode="###,###,##0.0000"/>
    <numFmt numFmtId="184" formatCode="###,###,##0.00"/>
    <numFmt numFmtId="185" formatCode="###,###,##0"/>
    <numFmt numFmtId="186" formatCode="0.0000"/>
    <numFmt numFmtId="187" formatCode="0.0%"/>
    <numFmt numFmtId="188" formatCode="_ * #,##0.0_ ;_ * \-#,##0.0_ ;_ * &quot;-&quot;??_ ;_ @_ "/>
    <numFmt numFmtId="189" formatCode="###,##0.00_ "/>
    <numFmt numFmtId="190" formatCode="0.0_ "/>
    <numFmt numFmtId="191" formatCode="0.00_);[Red]\(0.00\)"/>
    <numFmt numFmtId="192" formatCode="0.00_ "/>
    <numFmt numFmtId="193" formatCode="0.000"/>
    <numFmt numFmtId="194" formatCode="0.0"/>
    <numFmt numFmtId="195" formatCode="0_);[Red]\(0\)"/>
    <numFmt numFmtId="196" formatCode="0.0_);[Red]\(0.0\)"/>
    <numFmt numFmtId="197" formatCode="#,##0.0_ "/>
    <numFmt numFmtId="198" formatCode="0_ "/>
    <numFmt numFmtId="199" formatCode="yyyy/m"/>
  </numFmts>
  <fonts count="89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1"/>
      <color theme="1"/>
      <name val="宋体"/>
      <family val="2"/>
      <scheme val="minor"/>
    </font>
    <font>
      <b/>
      <sz val="10"/>
      <name val="Arial"/>
      <family val="2"/>
    </font>
    <font>
      <sz val="10"/>
      <color indexed="9"/>
      <name val="Arial"/>
      <family val="2"/>
    </font>
    <font>
      <b/>
      <sz val="24"/>
      <color indexed="9"/>
      <name val="宋体"/>
      <family val="3"/>
      <charset val="134"/>
    </font>
    <font>
      <b/>
      <sz val="10"/>
      <color indexed="9"/>
      <name val="Arial"/>
      <family val="2"/>
    </font>
    <font>
      <b/>
      <sz val="12"/>
      <name val="Arial"/>
      <family val="2"/>
    </font>
    <font>
      <sz val="18"/>
      <color indexed="9"/>
      <name val="Arial"/>
      <family val="2"/>
    </font>
    <font>
      <b/>
      <sz val="11"/>
      <name val="宋体"/>
      <family val="3"/>
      <charset val="134"/>
    </font>
    <font>
      <b/>
      <sz val="8"/>
      <name val="Arial"/>
      <family val="2"/>
    </font>
    <font>
      <sz val="10"/>
      <color rgb="FFFF0000"/>
      <name val="Arial"/>
      <family val="2"/>
    </font>
    <font>
      <b/>
      <sz val="16"/>
      <color indexed="9"/>
      <name val="宋体"/>
      <family val="3"/>
      <charset val="134"/>
    </font>
    <font>
      <b/>
      <sz val="12"/>
      <color indexed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name val="宋体"/>
      <family val="3"/>
      <charset val="134"/>
    </font>
    <font>
      <sz val="11"/>
      <color rgb="FF333333"/>
      <name val="宋体"/>
      <family val="3"/>
      <charset val="134"/>
      <scheme val="minor"/>
    </font>
    <font>
      <b/>
      <sz val="24"/>
      <color theme="1"/>
      <name val="宋体"/>
      <family val="3"/>
      <charset val="134"/>
    </font>
    <font>
      <vertAlign val="subscript"/>
      <sz val="10"/>
      <name val="Arial"/>
      <family val="2"/>
    </font>
    <font>
      <sz val="12"/>
      <name val="宋体"/>
      <family val="3"/>
      <charset val="134"/>
    </font>
    <font>
      <u/>
      <sz val="12"/>
      <color theme="0"/>
      <name val="宋体"/>
      <family val="3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b/>
      <sz val="18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u/>
      <sz val="12"/>
      <color theme="0"/>
      <name val="微软雅黑"/>
      <family val="2"/>
      <charset val="134"/>
    </font>
    <font>
      <sz val="11"/>
      <color rgb="FF333333"/>
      <name val="微软雅黑"/>
      <family val="2"/>
      <charset val="134"/>
    </font>
    <font>
      <b/>
      <sz val="16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9"/>
      <name val="微软雅黑"/>
      <family val="2"/>
      <charset val="134"/>
    </font>
    <font>
      <vertAlign val="superscript"/>
      <sz val="1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rgb="FFFF0000"/>
      <name val="微软雅黑"/>
      <family val="2"/>
      <charset val="134"/>
    </font>
    <font>
      <sz val="11"/>
      <color rgb="FF3F3F76"/>
      <name val="宋体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i/>
      <sz val="10"/>
      <color rgb="FF3F3F76"/>
      <name val="微软雅黑"/>
      <family val="2"/>
      <charset val="134"/>
    </font>
    <font>
      <sz val="10"/>
      <color theme="1" tint="0.499984740745262"/>
      <name val="微软雅黑"/>
      <family val="2"/>
      <charset val="134"/>
    </font>
    <font>
      <sz val="10"/>
      <color rgb="FF3F3F76"/>
      <name val="微软雅黑"/>
      <family val="2"/>
      <charset val="134"/>
    </font>
    <font>
      <i/>
      <sz val="10"/>
      <color theme="1" tint="0.499984740745262"/>
      <name val="微软雅黑"/>
      <family val="2"/>
      <charset val="134"/>
    </font>
    <font>
      <b/>
      <i/>
      <sz val="10"/>
      <color theme="1"/>
      <name val="微软雅黑"/>
      <family val="2"/>
      <charset val="134"/>
    </font>
    <font>
      <sz val="10"/>
      <color theme="1" tint="0.34998626667073579"/>
      <name val="微软雅黑"/>
      <family val="2"/>
      <charset val="134"/>
    </font>
    <font>
      <b/>
      <sz val="10"/>
      <color theme="1" tint="0.499984740745262"/>
      <name val="微软雅黑"/>
      <family val="2"/>
      <charset val="134"/>
    </font>
    <font>
      <i/>
      <sz val="10"/>
      <color theme="1" tint="0.34998626667073579"/>
      <name val="微软雅黑"/>
      <family val="2"/>
      <charset val="134"/>
    </font>
    <font>
      <i/>
      <sz val="10"/>
      <color theme="1" tint="0.249977111117893"/>
      <name val="微软雅黑"/>
      <family val="2"/>
      <charset val="134"/>
    </font>
    <font>
      <sz val="10"/>
      <color theme="1" tint="0.249977111117893"/>
      <name val="微软雅黑"/>
      <family val="2"/>
      <charset val="134"/>
    </font>
    <font>
      <b/>
      <sz val="11"/>
      <color indexed="81"/>
      <name val="宋体"/>
      <family val="3"/>
      <charset val="134"/>
    </font>
    <font>
      <sz val="11"/>
      <color indexed="81"/>
      <name val="宋体"/>
      <family val="3"/>
      <charset val="134"/>
    </font>
    <font>
      <b/>
      <sz val="10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b/>
      <i/>
      <sz val="10"/>
      <color theme="1" tint="0.499984740745262"/>
      <name val="微软雅黑"/>
      <family val="2"/>
      <charset val="134"/>
    </font>
    <font>
      <b/>
      <sz val="9"/>
      <color rgb="FF666666"/>
      <name val="微软雅黑"/>
      <family val="2"/>
      <charset val="134"/>
    </font>
    <font>
      <sz val="11"/>
      <color rgb="FF0070C0"/>
      <name val="微软雅黑"/>
      <family val="2"/>
      <charset val="134"/>
    </font>
    <font>
      <sz val="11"/>
      <color rgb="FFC00000"/>
      <name val="微软雅黑"/>
      <family val="2"/>
      <charset val="134"/>
    </font>
    <font>
      <sz val="11"/>
      <color rgb="FF00B050"/>
      <name val="微软雅黑"/>
      <family val="2"/>
      <charset val="134"/>
    </font>
    <font>
      <sz val="14"/>
      <color theme="1"/>
      <name val="微软雅黑"/>
      <family val="2"/>
      <charset val="134"/>
    </font>
    <font>
      <i/>
      <sz val="12"/>
      <color theme="0" tint="-0.499984740745262"/>
      <name val="微软雅黑"/>
      <family val="2"/>
      <charset val="134"/>
    </font>
    <font>
      <b/>
      <sz val="16"/>
      <name val="微软雅黑"/>
      <family val="2"/>
      <charset val="134"/>
    </font>
    <font>
      <b/>
      <sz val="12"/>
      <name val="微软雅黑"/>
      <family val="2"/>
      <charset val="134"/>
    </font>
    <font>
      <b/>
      <sz val="16"/>
      <name val="宋体"/>
      <family val="3"/>
      <charset val="134"/>
    </font>
    <font>
      <b/>
      <sz val="12"/>
      <name val="宋体"/>
      <family val="3"/>
      <charset val="134"/>
    </font>
    <font>
      <sz val="10"/>
      <color rgb="FFFF0000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i/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1"/>
      <color theme="1"/>
      <name val="微软雅黑"/>
      <family val="2"/>
    </font>
    <font>
      <i/>
      <sz val="11"/>
      <color theme="0" tint="-0.499984740745262"/>
      <name val="微软雅黑"/>
      <family val="2"/>
    </font>
    <font>
      <i/>
      <sz val="11"/>
      <color theme="0" tint="-0.499984740745262"/>
      <name val="微软雅黑"/>
      <family val="2"/>
      <charset val="134"/>
    </font>
    <font>
      <sz val="11"/>
      <color rgb="FF000000"/>
      <name val="微软雅黑"/>
      <family val="2"/>
    </font>
    <font>
      <sz val="12"/>
      <color theme="1"/>
      <name val="微软雅黑"/>
      <family val="2"/>
      <charset val="134"/>
    </font>
    <font>
      <sz val="10"/>
      <color theme="0" tint="-0.499984740745262"/>
      <name val="微软雅黑"/>
      <family val="2"/>
      <charset val="134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4E9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rgb="FF004E9D"/>
      </top>
      <bottom/>
      <diagonal/>
    </border>
    <border>
      <left style="thin">
        <color rgb="FF004E9D"/>
      </left>
      <right style="thin">
        <color rgb="FF004E9D"/>
      </right>
      <top style="thin">
        <color rgb="FF004E9D"/>
      </top>
      <bottom style="thin">
        <color rgb="FF004E9D"/>
      </bottom>
      <diagonal/>
    </border>
    <border>
      <left style="thin">
        <color rgb="FF004E9D"/>
      </left>
      <right/>
      <top style="thin">
        <color rgb="FF004E9D"/>
      </top>
      <bottom style="thin">
        <color rgb="FF004E9D"/>
      </bottom>
      <diagonal/>
    </border>
    <border>
      <left/>
      <right/>
      <top style="thin">
        <color rgb="FF004E9D"/>
      </top>
      <bottom style="thin">
        <color rgb="FF004E9D"/>
      </bottom>
      <diagonal/>
    </border>
    <border>
      <left/>
      <right style="thin">
        <color rgb="FF004E9D"/>
      </right>
      <top style="thin">
        <color rgb="FF004E9D"/>
      </top>
      <bottom style="thin">
        <color rgb="FF004E9D"/>
      </bottom>
      <diagonal/>
    </border>
    <border>
      <left style="thin">
        <color rgb="FF004E9D"/>
      </left>
      <right/>
      <top style="thin">
        <color rgb="FF004E9D"/>
      </top>
      <bottom/>
      <diagonal/>
    </border>
    <border>
      <left/>
      <right style="thin">
        <color rgb="FF004E9D"/>
      </right>
      <top style="thin">
        <color rgb="FF004E9D"/>
      </top>
      <bottom/>
      <diagonal/>
    </border>
    <border>
      <left style="thin">
        <color rgb="FF004E9D"/>
      </left>
      <right/>
      <top/>
      <bottom/>
      <diagonal/>
    </border>
    <border>
      <left/>
      <right style="thin">
        <color rgb="FF004E9D"/>
      </right>
      <top/>
      <bottom/>
      <diagonal/>
    </border>
    <border>
      <left style="thin">
        <color rgb="FF004E9D"/>
      </left>
      <right/>
      <top/>
      <bottom style="thin">
        <color rgb="FF004E9D"/>
      </bottom>
      <diagonal/>
    </border>
    <border>
      <left/>
      <right/>
      <top/>
      <bottom style="thin">
        <color rgb="FF004E9D"/>
      </bottom>
      <diagonal/>
    </border>
    <border>
      <left/>
      <right style="thin">
        <color rgb="FF004E9D"/>
      </right>
      <top/>
      <bottom style="thin">
        <color rgb="FF004E9D"/>
      </bottom>
      <diagonal/>
    </border>
    <border>
      <left style="thin">
        <color rgb="FF004E9D"/>
      </left>
      <right style="thin">
        <color rgb="FF004E9D"/>
      </right>
      <top style="thin">
        <color rgb="FF004E9D"/>
      </top>
      <bottom/>
      <diagonal/>
    </border>
    <border>
      <left style="thin">
        <color rgb="FF004E9D"/>
      </left>
      <right style="thin">
        <color rgb="FF004E9D"/>
      </right>
      <top/>
      <bottom style="thin">
        <color rgb="FF004E9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</borders>
  <cellStyleXfs count="21">
    <xf numFmtId="0" fontId="0" fillId="0" borderId="0"/>
    <xf numFmtId="176" fontId="4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0" fontId="5" fillId="0" borderId="0">
      <alignment horizontal="right"/>
    </xf>
    <xf numFmtId="0" fontId="10" fillId="0" borderId="0"/>
    <xf numFmtId="0" fontId="9" fillId="0" borderId="0"/>
    <xf numFmtId="0" fontId="22" fillId="0" borderId="0" applyNumberFormat="0" applyFill="0" applyBorder="0" applyAlignment="0" applyProtection="0">
      <alignment vertical="top"/>
      <protection locked="0"/>
    </xf>
    <xf numFmtId="2" fontId="26" fillId="0" borderId="0"/>
    <xf numFmtId="0" fontId="27" fillId="0" borderId="0"/>
    <xf numFmtId="43" fontId="5" fillId="0" borderId="0" applyFont="0" applyFill="0" applyBorder="0" applyAlignment="0" applyProtection="0">
      <alignment vertical="center"/>
    </xf>
    <xf numFmtId="0" fontId="5" fillId="0" borderId="0"/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0" fillId="14" borderId="15" applyNumberFormat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</cellStyleXfs>
  <cellXfs count="730">
    <xf numFmtId="0" fontId="0" fillId="0" borderId="0" xfId="0"/>
    <xf numFmtId="0" fontId="5" fillId="0" borderId="0" xfId="0" applyFont="1"/>
    <xf numFmtId="0" fontId="0" fillId="0" borderId="0" xfId="0" applyFill="1"/>
    <xf numFmtId="0" fontId="5" fillId="0" borderId="0" xfId="0" applyFont="1" applyFill="1"/>
    <xf numFmtId="0" fontId="0" fillId="0" borderId="0" xfId="0" applyAlignment="1">
      <alignment vertical="center"/>
    </xf>
    <xf numFmtId="0" fontId="10" fillId="0" borderId="0" xfId="5"/>
    <xf numFmtId="0" fontId="5" fillId="0" borderId="0" xfId="5" applyFont="1" applyBorder="1" applyAlignment="1">
      <alignment horizontal="center"/>
    </xf>
    <xf numFmtId="2" fontId="5" fillId="0" borderId="0" xfId="5" applyNumberFormat="1" applyFont="1" applyBorder="1" applyAlignment="1">
      <alignment horizontal="center"/>
    </xf>
    <xf numFmtId="3" fontId="24" fillId="0" borderId="0" xfId="5" applyNumberFormat="1" applyFont="1" applyBorder="1"/>
    <xf numFmtId="0" fontId="5" fillId="0" borderId="0" xfId="5" applyFont="1" applyBorder="1"/>
    <xf numFmtId="0" fontId="9" fillId="0" borderId="0" xfId="6" applyFont="1" applyFill="1" applyBorder="1"/>
    <xf numFmtId="0" fontId="9" fillId="0" borderId="0" xfId="6" applyFont="1" applyFill="1"/>
    <xf numFmtId="0" fontId="21" fillId="0" borderId="0" xfId="6" applyFont="1" applyFill="1" applyBorder="1" applyAlignment="1">
      <alignment horizontal="left" vertical="center" indent="1"/>
    </xf>
    <xf numFmtId="179" fontId="9" fillId="0" borderId="0" xfId="6" applyNumberFormat="1" applyFont="1" applyFill="1"/>
    <xf numFmtId="180" fontId="9" fillId="0" borderId="0" xfId="6" applyNumberFormat="1" applyFont="1" applyFill="1" applyBorder="1" applyAlignment="1">
      <alignment horizontal="center"/>
    </xf>
    <xf numFmtId="0" fontId="29" fillId="0" borderId="0" xfId="6" applyFont="1" applyFill="1" applyBorder="1"/>
    <xf numFmtId="180" fontId="29" fillId="0" borderId="0" xfId="6" applyNumberFormat="1" applyFont="1" applyFill="1" applyBorder="1" applyAlignment="1">
      <alignment horizontal="center"/>
    </xf>
    <xf numFmtId="0" fontId="29" fillId="0" borderId="0" xfId="6" applyFont="1" applyFill="1" applyBorder="1" applyAlignment="1">
      <alignment vertical="center"/>
    </xf>
    <xf numFmtId="0" fontId="29" fillId="0" borderId="0" xfId="6" applyFont="1" applyFill="1"/>
    <xf numFmtId="0" fontId="9" fillId="8" borderId="0" xfId="6" applyFont="1" applyFill="1"/>
    <xf numFmtId="0" fontId="9" fillId="8" borderId="0" xfId="6" applyFont="1" applyFill="1" applyBorder="1"/>
    <xf numFmtId="0" fontId="29" fillId="8" borderId="0" xfId="6" applyFont="1" applyFill="1" applyBorder="1" applyAlignment="1">
      <alignment vertical="center"/>
    </xf>
    <xf numFmtId="0" fontId="29" fillId="8" borderId="0" xfId="6" applyFont="1" applyFill="1" applyBorder="1"/>
    <xf numFmtId="0" fontId="33" fillId="8" borderId="0" xfId="6" applyFont="1" applyFill="1" applyBorder="1"/>
    <xf numFmtId="180" fontId="29" fillId="8" borderId="0" xfId="6" applyNumberFormat="1" applyFont="1" applyFill="1" applyBorder="1" applyAlignment="1">
      <alignment horizontal="center"/>
    </xf>
    <xf numFmtId="0" fontId="0" fillId="8" borderId="0" xfId="0" applyFill="1"/>
    <xf numFmtId="0" fontId="0" fillId="0" borderId="0" xfId="0" applyBorder="1"/>
    <xf numFmtId="0" fontId="5" fillId="8" borderId="0" xfId="0" applyFont="1" applyFill="1" applyBorder="1"/>
    <xf numFmtId="0" fontId="0" fillId="8" borderId="0" xfId="0" applyFill="1" applyBorder="1"/>
    <xf numFmtId="0" fontId="31" fillId="2" borderId="2" xfId="6" applyFont="1" applyFill="1" applyBorder="1"/>
    <xf numFmtId="0" fontId="34" fillId="0" borderId="2" xfId="0" applyFont="1" applyBorder="1"/>
    <xf numFmtId="0" fontId="31" fillId="0" borderId="2" xfId="6" applyFont="1" applyFill="1" applyBorder="1"/>
    <xf numFmtId="0" fontId="34" fillId="0" borderId="2" xfId="0" applyFont="1" applyBorder="1" applyAlignment="1">
      <alignment vertical="center"/>
    </xf>
    <xf numFmtId="0" fontId="34" fillId="0" borderId="3" xfId="0" applyFont="1" applyBorder="1" applyAlignment="1">
      <alignment vertical="center"/>
    </xf>
    <xf numFmtId="0" fontId="34" fillId="0" borderId="4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35" fillId="4" borderId="10" xfId="6" applyFont="1" applyFill="1" applyBorder="1" applyAlignment="1">
      <alignment horizontal="center" vertical="center"/>
    </xf>
    <xf numFmtId="0" fontId="35" fillId="4" borderId="3" xfId="6" applyFont="1" applyFill="1" applyBorder="1" applyAlignment="1">
      <alignment horizontal="center" vertical="center"/>
    </xf>
    <xf numFmtId="0" fontId="36" fillId="0" borderId="2" xfId="0" applyFont="1" applyBorder="1" applyAlignment="1">
      <alignment vertical="center"/>
    </xf>
    <xf numFmtId="0" fontId="31" fillId="3" borderId="3" xfId="0" applyFont="1" applyFill="1" applyBorder="1" applyAlignment="1" applyProtection="1">
      <alignment horizontal="center" vertical="center"/>
      <protection hidden="1"/>
    </xf>
    <xf numFmtId="0" fontId="28" fillId="8" borderId="0" xfId="7" applyFont="1" applyFill="1" applyBorder="1" applyAlignment="1" applyProtection="1">
      <alignment horizontal="left" vertical="center"/>
    </xf>
    <xf numFmtId="0" fontId="28" fillId="0" borderId="0" xfId="7" applyFont="1" applyFill="1" applyBorder="1" applyAlignment="1" applyProtection="1">
      <alignment horizontal="left" vertical="center"/>
    </xf>
    <xf numFmtId="0" fontId="36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7" fillId="8" borderId="0" xfId="7" applyFont="1" applyFill="1" applyBorder="1" applyAlignment="1" applyProtection="1">
      <alignment horizontal="right" vertical="center"/>
    </xf>
    <xf numFmtId="0" fontId="20" fillId="8" borderId="0" xfId="6" applyFont="1" applyFill="1" applyAlignment="1">
      <alignment vertical="center"/>
    </xf>
    <xf numFmtId="0" fontId="11" fillId="8" borderId="0" xfId="6" applyFont="1" applyFill="1" applyAlignment="1">
      <alignment vertical="center"/>
    </xf>
    <xf numFmtId="0" fontId="29" fillId="8" borderId="0" xfId="6" applyFont="1" applyFill="1"/>
    <xf numFmtId="0" fontId="21" fillId="8" borderId="0" xfId="6" applyFont="1" applyFill="1" applyBorder="1" applyAlignment="1">
      <alignment horizontal="left" vertical="center" indent="1"/>
    </xf>
    <xf numFmtId="179" fontId="9" fillId="8" borderId="0" xfId="6" applyNumberFormat="1" applyFont="1" applyFill="1"/>
    <xf numFmtId="180" fontId="9" fillId="8" borderId="0" xfId="6" applyNumberFormat="1" applyFont="1" applyFill="1" applyBorder="1" applyAlignment="1">
      <alignment horizontal="center"/>
    </xf>
    <xf numFmtId="0" fontId="10" fillId="8" borderId="0" xfId="5" applyFill="1"/>
    <xf numFmtId="2" fontId="5" fillId="8" borderId="0" xfId="5" applyNumberFormat="1" applyFont="1" applyFill="1" applyBorder="1" applyAlignment="1">
      <alignment horizontal="center"/>
    </xf>
    <xf numFmtId="0" fontId="34" fillId="0" borderId="2" xfId="5" applyFont="1" applyBorder="1" applyAlignment="1">
      <alignment horizontal="center" vertical="center"/>
    </xf>
    <xf numFmtId="10" fontId="34" fillId="0" borderId="2" xfId="3" applyNumberFormat="1" applyFont="1" applyBorder="1" applyAlignment="1">
      <alignment vertical="center"/>
    </xf>
    <xf numFmtId="0" fontId="36" fillId="0" borderId="2" xfId="5" applyFont="1" applyBorder="1" applyAlignment="1">
      <alignment horizontal="center" vertical="center"/>
    </xf>
    <xf numFmtId="0" fontId="34" fillId="8" borderId="0" xfId="5" applyFont="1" applyFill="1"/>
    <xf numFmtId="0" fontId="34" fillId="8" borderId="0" xfId="5" applyFont="1" applyFill="1" applyBorder="1" applyAlignment="1">
      <alignment horizontal="center"/>
    </xf>
    <xf numFmtId="3" fontId="38" fillId="8" borderId="0" xfId="5" applyNumberFormat="1" applyFont="1" applyFill="1" applyBorder="1"/>
    <xf numFmtId="0" fontId="34" fillId="8" borderId="0" xfId="5" applyFont="1" applyFill="1" applyBorder="1"/>
    <xf numFmtId="2" fontId="34" fillId="8" borderId="0" xfId="5" applyNumberFormat="1" applyFont="1" applyFill="1" applyBorder="1" applyAlignment="1">
      <alignment horizontal="center"/>
    </xf>
    <xf numFmtId="0" fontId="34" fillId="0" borderId="0" xfId="5" applyFont="1" applyBorder="1" applyAlignment="1">
      <alignment horizontal="center"/>
    </xf>
    <xf numFmtId="3" fontId="38" fillId="0" borderId="0" xfId="5" applyNumberFormat="1" applyFont="1" applyBorder="1"/>
    <xf numFmtId="185" fontId="34" fillId="0" borderId="0" xfId="5" applyNumberFormat="1" applyFont="1" applyBorder="1"/>
    <xf numFmtId="186" fontId="34" fillId="0" borderId="0" xfId="5" applyNumberFormat="1" applyFont="1" applyBorder="1"/>
    <xf numFmtId="0" fontId="34" fillId="0" borderId="0" xfId="5" applyFont="1" applyBorder="1"/>
    <xf numFmtId="2" fontId="34" fillId="0" borderId="0" xfId="5" applyNumberFormat="1" applyFont="1" applyBorder="1" applyAlignment="1">
      <alignment horizontal="center"/>
    </xf>
    <xf numFmtId="0" fontId="34" fillId="0" borderId="0" xfId="0" applyFont="1" applyFill="1"/>
    <xf numFmtId="0" fontId="34" fillId="8" borderId="0" xfId="0" applyFont="1" applyFill="1"/>
    <xf numFmtId="0" fontId="34" fillId="0" borderId="0" xfId="0" applyFont="1"/>
    <xf numFmtId="3" fontId="34" fillId="0" borderId="2" xfId="0" applyNumberFormat="1" applyFont="1" applyBorder="1" applyAlignment="1">
      <alignment vertical="center"/>
    </xf>
    <xf numFmtId="10" fontId="34" fillId="2" borderId="2" xfId="3" applyNumberFormat="1" applyFont="1" applyFill="1" applyBorder="1" applyAlignment="1">
      <alignment vertical="center"/>
    </xf>
    <xf numFmtId="10" fontId="34" fillId="0" borderId="2" xfId="3" applyNumberFormat="1" applyFont="1" applyBorder="1" applyAlignment="1"/>
    <xf numFmtId="10" fontId="34" fillId="2" borderId="2" xfId="3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4" fillId="0" borderId="2" xfId="0" applyFont="1" applyFill="1" applyBorder="1" applyAlignment="1">
      <alignment horizontal="center" vertical="center"/>
    </xf>
    <xf numFmtId="0" fontId="29" fillId="8" borderId="0" xfId="6" applyFont="1" applyFill="1" applyAlignment="1">
      <alignment horizontal="right"/>
    </xf>
    <xf numFmtId="177" fontId="34" fillId="0" borderId="0" xfId="2" applyNumberFormat="1" applyFont="1" applyAlignment="1"/>
    <xf numFmtId="177" fontId="34" fillId="0" borderId="0" xfId="2" applyNumberFormat="1" applyFont="1" applyFill="1" applyAlignment="1"/>
    <xf numFmtId="0" fontId="34" fillId="0" borderId="2" xfId="0" applyFont="1" applyFill="1" applyBorder="1"/>
    <xf numFmtId="177" fontId="34" fillId="0" borderId="2" xfId="2" applyNumberFormat="1" applyFont="1" applyBorder="1" applyAlignment="1"/>
    <xf numFmtId="177" fontId="34" fillId="0" borderId="2" xfId="2" applyNumberFormat="1" applyFont="1" applyFill="1" applyBorder="1" applyAlignment="1"/>
    <xf numFmtId="181" fontId="34" fillId="0" borderId="2" xfId="0" applyNumberFormat="1" applyFont="1" applyBorder="1" applyAlignment="1">
      <alignment vertical="center"/>
    </xf>
    <xf numFmtId="0" fontId="34" fillId="0" borderId="2" xfId="0" applyFont="1" applyBorder="1" applyAlignment="1">
      <alignment horizontal="left" vertical="center"/>
    </xf>
    <xf numFmtId="0" fontId="37" fillId="8" borderId="0" xfId="7" applyFont="1" applyFill="1" applyBorder="1" applyAlignment="1" applyProtection="1">
      <alignment horizontal="left" vertical="center"/>
    </xf>
    <xf numFmtId="0" fontId="5" fillId="8" borderId="0" xfId="0" applyFont="1" applyFill="1"/>
    <xf numFmtId="0" fontId="0" fillId="8" borderId="0" xfId="0" applyFill="1" applyAlignment="1">
      <alignment vertical="center"/>
    </xf>
    <xf numFmtId="0" fontId="5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8" borderId="0" xfId="0" applyFont="1" applyFill="1" applyAlignment="1">
      <alignment horizontal="right"/>
    </xf>
    <xf numFmtId="177" fontId="5" fillId="8" borderId="0" xfId="2" applyNumberFormat="1" applyFont="1" applyFill="1" applyAlignment="1"/>
    <xf numFmtId="0" fontId="39" fillId="8" borderId="0" xfId="6" applyFont="1" applyFill="1" applyAlignment="1">
      <alignment vertical="center"/>
    </xf>
    <xf numFmtId="0" fontId="30" fillId="8" borderId="0" xfId="6" applyFont="1" applyFill="1" applyAlignment="1">
      <alignment vertical="center"/>
    </xf>
    <xf numFmtId="0" fontId="40" fillId="8" borderId="0" xfId="6" applyFont="1" applyFill="1" applyBorder="1" applyAlignment="1">
      <alignment horizontal="left" vertical="center" indent="1"/>
    </xf>
    <xf numFmtId="179" fontId="29" fillId="8" borderId="0" xfId="6" applyNumberFormat="1" applyFont="1" applyFill="1"/>
    <xf numFmtId="0" fontId="40" fillId="0" borderId="0" xfId="6" applyFont="1" applyFill="1" applyBorder="1" applyAlignment="1">
      <alignment horizontal="left" vertical="center" indent="1"/>
    </xf>
    <xf numFmtId="179" fontId="29" fillId="0" borderId="0" xfId="6" applyNumberFormat="1" applyFont="1" applyFill="1"/>
    <xf numFmtId="177" fontId="34" fillId="8" borderId="0" xfId="2" applyNumberFormat="1" applyFont="1" applyFill="1" applyAlignment="1"/>
    <xf numFmtId="0" fontId="34" fillId="0" borderId="2" xfId="0" applyFont="1" applyFill="1" applyBorder="1" applyAlignment="1">
      <alignment horizontal="right"/>
    </xf>
    <xf numFmtId="3" fontId="34" fillId="8" borderId="0" xfId="0" applyNumberFormat="1" applyFont="1" applyFill="1"/>
    <xf numFmtId="4" fontId="34" fillId="8" borderId="0" xfId="0" applyNumberFormat="1" applyFont="1" applyFill="1"/>
    <xf numFmtId="4" fontId="34" fillId="0" borderId="2" xfId="0" applyNumberFormat="1" applyFont="1" applyBorder="1"/>
    <xf numFmtId="182" fontId="34" fillId="0" borderId="2" xfId="0" applyNumberFormat="1" applyFont="1" applyBorder="1"/>
    <xf numFmtId="10" fontId="34" fillId="2" borderId="2" xfId="0" applyNumberFormat="1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left" indent="1"/>
    </xf>
    <xf numFmtId="0" fontId="32" fillId="0" borderId="2" xfId="0" applyFont="1" applyFill="1" applyBorder="1"/>
    <xf numFmtId="0" fontId="31" fillId="0" borderId="0" xfId="0" applyFont="1"/>
    <xf numFmtId="0" fontId="31" fillId="8" borderId="0" xfId="0" applyFont="1" applyFill="1"/>
    <xf numFmtId="0" fontId="32" fillId="0" borderId="2" xfId="0" applyFont="1" applyBorder="1"/>
    <xf numFmtId="0" fontId="31" fillId="0" borderId="2" xfId="0" applyFont="1" applyBorder="1"/>
    <xf numFmtId="10" fontId="31" fillId="0" borderId="2" xfId="3" applyNumberFormat="1" applyFont="1" applyBorder="1" applyAlignment="1"/>
    <xf numFmtId="0" fontId="31" fillId="0" borderId="0" xfId="0" applyFont="1" applyFill="1"/>
    <xf numFmtId="0" fontId="31" fillId="0" borderId="0" xfId="0" applyFont="1" applyFill="1" applyBorder="1" applyAlignment="1"/>
    <xf numFmtId="177" fontId="31" fillId="0" borderId="0" xfId="2" applyNumberFormat="1" applyFont="1" applyFill="1" applyAlignment="1"/>
    <xf numFmtId="0" fontId="31" fillId="0" borderId="2" xfId="0" applyFont="1" applyFill="1" applyBorder="1" applyAlignment="1"/>
    <xf numFmtId="0" fontId="31" fillId="0" borderId="2" xfId="0" applyFont="1" applyFill="1" applyBorder="1"/>
    <xf numFmtId="177" fontId="31" fillId="0" borderId="2" xfId="2" applyNumberFormat="1" applyFont="1" applyFill="1" applyBorder="1" applyAlignment="1"/>
    <xf numFmtId="10" fontId="31" fillId="0" borderId="2" xfId="3" applyNumberFormat="1" applyFont="1" applyFill="1" applyBorder="1" applyAlignment="1"/>
    <xf numFmtId="10" fontId="34" fillId="0" borderId="2" xfId="4" applyNumberFormat="1" applyFont="1" applyBorder="1">
      <alignment horizontal="right"/>
    </xf>
    <xf numFmtId="10" fontId="31" fillId="0" borderId="2" xfId="0" applyNumberFormat="1" applyFont="1" applyFill="1" applyBorder="1"/>
    <xf numFmtId="10" fontId="31" fillId="2" borderId="2" xfId="0" applyNumberFormat="1" applyFont="1" applyFill="1" applyBorder="1"/>
    <xf numFmtId="14" fontId="31" fillId="2" borderId="2" xfId="0" applyNumberFormat="1" applyFont="1" applyFill="1" applyBorder="1"/>
    <xf numFmtId="14" fontId="34" fillId="5" borderId="2" xfId="0" applyNumberFormat="1" applyFont="1" applyFill="1" applyBorder="1" applyAlignment="1"/>
    <xf numFmtId="10" fontId="31" fillId="2" borderId="2" xfId="3" applyNumberFormat="1" applyFont="1" applyFill="1" applyBorder="1" applyAlignment="1"/>
    <xf numFmtId="10" fontId="31" fillId="2" borderId="2" xfId="4" applyNumberFormat="1" applyFont="1" applyFill="1" applyBorder="1">
      <alignment horizontal="right"/>
    </xf>
    <xf numFmtId="10" fontId="31" fillId="0" borderId="2" xfId="4" applyNumberFormat="1" applyFont="1" applyFill="1" applyBorder="1">
      <alignment horizontal="right"/>
    </xf>
    <xf numFmtId="0" fontId="34" fillId="2" borderId="2" xfId="5" applyFont="1" applyFill="1" applyBorder="1"/>
    <xf numFmtId="0" fontId="34" fillId="0" borderId="2" xfId="5" applyFont="1" applyBorder="1" applyAlignment="1">
      <alignment horizontal="left"/>
    </xf>
    <xf numFmtId="183" fontId="31" fillId="0" borderId="2" xfId="0" applyNumberFormat="1" applyFont="1" applyFill="1" applyBorder="1"/>
    <xf numFmtId="0" fontId="9" fillId="8" borderId="0" xfId="6" applyFill="1"/>
    <xf numFmtId="0" fontId="9" fillId="8" borderId="0" xfId="6" applyFont="1" applyFill="1" applyAlignment="1">
      <alignment vertical="center"/>
    </xf>
    <xf numFmtId="0" fontId="9" fillId="8" borderId="0" xfId="6" applyFont="1" applyFill="1" applyBorder="1" applyAlignment="1">
      <alignment vertical="center"/>
    </xf>
    <xf numFmtId="0" fontId="12" fillId="8" borderId="0" xfId="6" applyFont="1" applyFill="1" applyBorder="1"/>
    <xf numFmtId="0" fontId="25" fillId="8" borderId="0" xfId="6" applyFont="1" applyFill="1" applyBorder="1" applyAlignment="1">
      <alignment vertical="center" wrapText="1"/>
    </xf>
    <xf numFmtId="0" fontId="13" fillId="8" borderId="0" xfId="6" applyFont="1" applyFill="1" applyBorder="1" applyAlignment="1">
      <alignment vertical="center" wrapText="1"/>
    </xf>
    <xf numFmtId="0" fontId="14" fillId="8" borderId="0" xfId="6" applyFont="1" applyFill="1" applyBorder="1"/>
    <xf numFmtId="0" fontId="11" fillId="8" borderId="0" xfId="6" applyFont="1" applyFill="1" applyBorder="1"/>
    <xf numFmtId="0" fontId="11" fillId="8" borderId="0" xfId="6" applyFont="1" applyFill="1" applyBorder="1" applyAlignment="1">
      <alignment horizontal="center" vertical="center" wrapText="1"/>
    </xf>
    <xf numFmtId="0" fontId="15" fillId="8" borderId="0" xfId="6" applyFont="1" applyFill="1" applyBorder="1" applyAlignment="1">
      <alignment horizontal="center" vertical="center"/>
    </xf>
    <xf numFmtId="0" fontId="15" fillId="8" borderId="0" xfId="6" applyFont="1" applyFill="1" applyBorder="1" applyAlignment="1"/>
    <xf numFmtId="0" fontId="11" fillId="8" borderId="0" xfId="6" applyFont="1" applyFill="1"/>
    <xf numFmtId="0" fontId="16" fillId="8" borderId="0" xfId="6" applyFont="1" applyFill="1" applyBorder="1" applyAlignment="1">
      <alignment vertical="center" wrapText="1"/>
    </xf>
    <xf numFmtId="0" fontId="23" fillId="8" borderId="0" xfId="6" applyFont="1" applyFill="1" applyBorder="1" applyAlignment="1">
      <alignment vertical="center"/>
    </xf>
    <xf numFmtId="0" fontId="17" fillId="8" borderId="0" xfId="6" applyFont="1" applyFill="1" applyBorder="1" applyAlignment="1">
      <alignment vertical="center"/>
    </xf>
    <xf numFmtId="0" fontId="23" fillId="8" borderId="0" xfId="6" applyFont="1" applyFill="1" applyBorder="1"/>
    <xf numFmtId="0" fontId="23" fillId="8" borderId="0" xfId="6" applyFont="1" applyFill="1" applyBorder="1" applyAlignment="1"/>
    <xf numFmtId="49" fontId="23" fillId="8" borderId="0" xfId="6" applyNumberFormat="1" applyFont="1" applyFill="1" applyBorder="1" applyAlignment="1">
      <alignment horizontal="left"/>
    </xf>
    <xf numFmtId="0" fontId="23" fillId="8" borderId="0" xfId="6" applyFont="1" applyFill="1" applyBorder="1" applyAlignment="1">
      <alignment horizontal="left"/>
    </xf>
    <xf numFmtId="0" fontId="17" fillId="8" borderId="0" xfId="6" applyFont="1" applyFill="1" applyBorder="1" applyAlignment="1">
      <alignment horizontal="left"/>
    </xf>
    <xf numFmtId="0" fontId="23" fillId="8" borderId="0" xfId="6" applyFont="1" applyFill="1" applyBorder="1" applyAlignment="1">
      <alignment horizontal="left" vertical="center"/>
    </xf>
    <xf numFmtId="14" fontId="23" fillId="8" borderId="0" xfId="6" applyNumberFormat="1" applyFont="1" applyFill="1" applyBorder="1" applyAlignment="1">
      <alignment horizontal="left"/>
    </xf>
    <xf numFmtId="0" fontId="19" fillId="8" borderId="0" xfId="6" applyFont="1" applyFill="1" applyAlignment="1">
      <alignment vertical="center"/>
    </xf>
    <xf numFmtId="0" fontId="34" fillId="9" borderId="2" xfId="0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horizontal="center" vertical="center"/>
    </xf>
    <xf numFmtId="10" fontId="34" fillId="9" borderId="2" xfId="3" applyNumberFormat="1" applyFont="1" applyFill="1" applyBorder="1" applyAlignment="1">
      <alignment horizontal="center" vertical="center"/>
    </xf>
    <xf numFmtId="0" fontId="31" fillId="7" borderId="2" xfId="0" applyFont="1" applyFill="1" applyBorder="1" applyAlignment="1">
      <alignment horizontal="center" vertical="center"/>
    </xf>
    <xf numFmtId="0" fontId="34" fillId="9" borderId="2" xfId="0" applyNumberFormat="1" applyFont="1" applyFill="1" applyBorder="1" applyAlignment="1">
      <alignment horizontal="right"/>
    </xf>
    <xf numFmtId="14" fontId="34" fillId="9" borderId="2" xfId="0" applyNumberFormat="1" applyFont="1" applyFill="1" applyBorder="1" applyAlignment="1">
      <alignment horizontal="right"/>
    </xf>
    <xf numFmtId="0" fontId="34" fillId="9" borderId="2" xfId="0" applyFont="1" applyFill="1" applyBorder="1"/>
    <xf numFmtId="0" fontId="31" fillId="9" borderId="2" xfId="0" applyFont="1" applyFill="1" applyBorder="1" applyAlignment="1"/>
    <xf numFmtId="0" fontId="31" fillId="9" borderId="2" xfId="0" applyFont="1" applyFill="1" applyBorder="1"/>
    <xf numFmtId="0" fontId="31" fillId="9" borderId="2" xfId="0" applyFont="1" applyFill="1" applyBorder="1" applyAlignment="1">
      <alignment horizontal="right"/>
    </xf>
    <xf numFmtId="0" fontId="35" fillId="8" borderId="8" xfId="6" applyFont="1" applyFill="1" applyBorder="1" applyAlignment="1">
      <alignment horizontal="center" vertical="center"/>
    </xf>
    <xf numFmtId="0" fontId="35" fillId="6" borderId="3" xfId="6" applyFont="1" applyFill="1" applyBorder="1" applyAlignment="1">
      <alignment horizontal="center" vertical="center"/>
    </xf>
    <xf numFmtId="0" fontId="35" fillId="8" borderId="3" xfId="6" applyFont="1" applyFill="1" applyBorder="1" applyAlignment="1">
      <alignment horizontal="center" vertical="center"/>
    </xf>
    <xf numFmtId="0" fontId="35" fillId="6" borderId="6" xfId="6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left" vertical="center"/>
    </xf>
    <xf numFmtId="0" fontId="31" fillId="0" borderId="2" xfId="0" applyFont="1" applyFill="1" applyBorder="1" applyAlignment="1">
      <alignment horizontal="left" vertical="center"/>
    </xf>
    <xf numFmtId="2" fontId="34" fillId="0" borderId="2" xfId="0" applyNumberFormat="1" applyFont="1" applyFill="1" applyBorder="1" applyAlignment="1">
      <alignment horizontal="right" vertical="center"/>
    </xf>
    <xf numFmtId="2" fontId="34" fillId="2" borderId="2" xfId="0" applyNumberFormat="1" applyFont="1" applyFill="1" applyBorder="1" applyAlignment="1">
      <alignment horizontal="right" vertical="center"/>
    </xf>
    <xf numFmtId="10" fontId="34" fillId="0" borderId="2" xfId="3" applyNumberFormat="1" applyFont="1" applyBorder="1" applyAlignment="1">
      <alignment horizontal="right" vertical="center"/>
    </xf>
    <xf numFmtId="0" fontId="34" fillId="9" borderId="2" xfId="0" applyFont="1" applyFill="1" applyBorder="1" applyAlignment="1">
      <alignment horizontal="right"/>
    </xf>
    <xf numFmtId="178" fontId="32" fillId="3" borderId="2" xfId="1" applyNumberFormat="1" applyFont="1" applyFill="1" applyBorder="1" applyAlignment="1">
      <alignment vertical="center"/>
    </xf>
    <xf numFmtId="178" fontId="41" fillId="3" borderId="2" xfId="1" applyNumberFormat="1" applyFont="1" applyFill="1" applyBorder="1" applyAlignment="1">
      <alignment vertical="center"/>
    </xf>
    <xf numFmtId="178" fontId="29" fillId="3" borderId="2" xfId="1" applyNumberFormat="1" applyFont="1" applyFill="1" applyBorder="1" applyAlignment="1">
      <alignment horizontal="right" vertical="center"/>
    </xf>
    <xf numFmtId="178" fontId="29" fillId="3" borderId="2" xfId="1" applyNumberFormat="1" applyFont="1" applyFill="1" applyBorder="1" applyAlignment="1">
      <alignment vertical="center"/>
    </xf>
    <xf numFmtId="178" fontId="29" fillId="0" borderId="2" xfId="1" applyNumberFormat="1" applyFont="1" applyFill="1" applyBorder="1" applyAlignment="1">
      <alignment horizontal="left"/>
    </xf>
    <xf numFmtId="178" fontId="29" fillId="0" borderId="2" xfId="1" applyNumberFormat="1" applyFont="1" applyFill="1" applyBorder="1" applyAlignment="1"/>
    <xf numFmtId="178" fontId="29" fillId="0" borderId="2" xfId="1" quotePrefix="1" applyNumberFormat="1" applyFont="1" applyFill="1" applyBorder="1" applyAlignment="1">
      <alignment horizontal="left"/>
    </xf>
    <xf numFmtId="0" fontId="31" fillId="0" borderId="2" xfId="0" applyFont="1" applyFill="1" applyBorder="1" applyAlignment="1">
      <alignment horizontal="center"/>
    </xf>
    <xf numFmtId="184" fontId="34" fillId="0" borderId="2" xfId="5" applyNumberFormat="1" applyFont="1" applyBorder="1" applyAlignment="1">
      <alignment horizontal="right" vertical="center"/>
    </xf>
    <xf numFmtId="185" fontId="34" fillId="0" borderId="2" xfId="5" applyNumberFormat="1" applyFont="1" applyBorder="1" applyAlignment="1">
      <alignment horizontal="right" vertical="center"/>
    </xf>
    <xf numFmtId="2" fontId="34" fillId="0" borderId="2" xfId="5" applyNumberFormat="1" applyFont="1" applyBorder="1" applyAlignment="1">
      <alignment horizontal="right" vertical="center"/>
    </xf>
    <xf numFmtId="43" fontId="29" fillId="0" borderId="0" xfId="2" applyFont="1" applyFill="1" applyAlignment="1"/>
    <xf numFmtId="10" fontId="31" fillId="2" borderId="2" xfId="0" applyNumberFormat="1" applyFont="1" applyFill="1" applyBorder="1" applyAlignment="1">
      <alignment horizontal="right" vertical="center"/>
    </xf>
    <xf numFmtId="187" fontId="31" fillId="2" borderId="2" xfId="3" applyNumberFormat="1" applyFont="1" applyFill="1" applyBorder="1" applyAlignment="1">
      <alignment vertical="center"/>
    </xf>
    <xf numFmtId="3" fontId="34" fillId="2" borderId="2" xfId="0" applyNumberFormat="1" applyFont="1" applyFill="1" applyBorder="1" applyAlignment="1">
      <alignment vertical="center"/>
    </xf>
    <xf numFmtId="0" fontId="43" fillId="8" borderId="2" xfId="0" applyFont="1" applyFill="1" applyBorder="1" applyAlignment="1">
      <alignment vertical="center"/>
    </xf>
    <xf numFmtId="181" fontId="31" fillId="0" borderId="2" xfId="0" applyNumberFormat="1" applyFont="1" applyBorder="1" applyAlignment="1">
      <alignment vertical="center"/>
    </xf>
    <xf numFmtId="177" fontId="34" fillId="0" borderId="0" xfId="0" applyNumberFormat="1" applyFont="1"/>
    <xf numFmtId="0" fontId="44" fillId="0" borderId="0" xfId="0" applyFont="1" applyFill="1"/>
    <xf numFmtId="43" fontId="31" fillId="0" borderId="2" xfId="0" applyNumberFormat="1" applyFont="1" applyFill="1" applyBorder="1"/>
    <xf numFmtId="43" fontId="31" fillId="0" borderId="2" xfId="2" applyNumberFormat="1" applyFont="1" applyFill="1" applyBorder="1" applyAlignment="1"/>
    <xf numFmtId="43" fontId="34" fillId="0" borderId="2" xfId="2" applyNumberFormat="1" applyFont="1" applyBorder="1" applyAlignment="1">
      <alignment horizontal="center" vertical="center"/>
    </xf>
    <xf numFmtId="43" fontId="34" fillId="10" borderId="2" xfId="2" applyNumberFormat="1" applyFont="1" applyFill="1" applyBorder="1" applyAlignment="1">
      <alignment horizontal="center" vertical="center"/>
    </xf>
    <xf numFmtId="9" fontId="34" fillId="0" borderId="0" xfId="3" applyFont="1" applyAlignment="1"/>
    <xf numFmtId="43" fontId="34" fillId="0" borderId="2" xfId="2" applyFont="1" applyBorder="1" applyAlignment="1">
      <alignment horizontal="right" vertical="center"/>
    </xf>
    <xf numFmtId="0" fontId="31" fillId="0" borderId="2" xfId="0" applyFont="1" applyBorder="1" applyAlignment="1">
      <alignment horizontal="left"/>
    </xf>
    <xf numFmtId="10" fontId="34" fillId="0" borderId="2" xfId="3" applyNumberFormat="1" applyFont="1" applyFill="1" applyBorder="1" applyAlignment="1"/>
    <xf numFmtId="43" fontId="31" fillId="11" borderId="2" xfId="2" applyNumberFormat="1" applyFont="1" applyFill="1" applyBorder="1" applyAlignment="1"/>
    <xf numFmtId="177" fontId="36" fillId="0" borderId="2" xfId="2" applyNumberFormat="1" applyFont="1" applyFill="1" applyBorder="1" applyAlignment="1"/>
    <xf numFmtId="178" fontId="30" fillId="3" borderId="2" xfId="1" applyNumberFormat="1" applyFont="1" applyFill="1" applyBorder="1" applyAlignment="1">
      <alignment vertical="center"/>
    </xf>
    <xf numFmtId="177" fontId="34" fillId="2" borderId="2" xfId="2" applyNumberFormat="1" applyFont="1" applyFill="1" applyBorder="1" applyAlignment="1"/>
    <xf numFmtId="177" fontId="0" fillId="0" borderId="0" xfId="0" applyNumberFormat="1"/>
    <xf numFmtId="3" fontId="0" fillId="0" borderId="0" xfId="0" applyNumberFormat="1"/>
    <xf numFmtId="177" fontId="34" fillId="0" borderId="2" xfId="2" applyNumberFormat="1" applyFont="1" applyBorder="1" applyAlignment="1">
      <alignment vertical="center"/>
    </xf>
    <xf numFmtId="0" fontId="31" fillId="0" borderId="2" xfId="0" applyFont="1" applyFill="1" applyBorder="1" applyAlignment="1">
      <alignment horizontal="right" vertical="center"/>
    </xf>
    <xf numFmtId="177" fontId="34" fillId="0" borderId="2" xfId="2" applyNumberFormat="1" applyFont="1" applyFill="1" applyBorder="1" applyAlignment="1">
      <alignment vertical="center"/>
    </xf>
    <xf numFmtId="177" fontId="34" fillId="2" borderId="2" xfId="2" applyNumberFormat="1" applyFont="1" applyFill="1" applyBorder="1" applyAlignment="1">
      <alignment horizontal="right"/>
    </xf>
    <xf numFmtId="177" fontId="31" fillId="0" borderId="2" xfId="2" applyNumberFormat="1" applyFont="1" applyBorder="1" applyAlignment="1">
      <alignment vertical="center"/>
    </xf>
    <xf numFmtId="177" fontId="44" fillId="0" borderId="2" xfId="2" applyNumberFormat="1" applyFont="1" applyBorder="1" applyAlignment="1">
      <alignment vertical="center"/>
    </xf>
    <xf numFmtId="10" fontId="31" fillId="0" borderId="2" xfId="3" applyNumberFormat="1" applyFont="1" applyBorder="1" applyAlignment="1">
      <alignment vertical="center"/>
    </xf>
    <xf numFmtId="182" fontId="44" fillId="0" borderId="2" xfId="0" applyNumberFormat="1" applyFont="1" applyBorder="1"/>
    <xf numFmtId="0" fontId="31" fillId="2" borderId="2" xfId="0" applyFont="1" applyFill="1" applyBorder="1" applyAlignment="1">
      <alignment horizontal="left"/>
    </xf>
    <xf numFmtId="183" fontId="31" fillId="0" borderId="0" xfId="0" applyNumberFormat="1" applyFont="1" applyFill="1"/>
    <xf numFmtId="188" fontId="34" fillId="0" borderId="2" xfId="2" applyNumberFormat="1" applyFont="1" applyBorder="1" applyAlignment="1">
      <alignment horizontal="center" vertical="center"/>
    </xf>
    <xf numFmtId="0" fontId="43" fillId="8" borderId="3" xfId="0" applyFont="1" applyFill="1" applyBorder="1" applyAlignment="1">
      <alignment vertical="center"/>
    </xf>
    <xf numFmtId="189" fontId="34" fillId="0" borderId="2" xfId="0" applyNumberFormat="1" applyFont="1" applyBorder="1" applyAlignment="1">
      <alignment vertical="center"/>
    </xf>
    <xf numFmtId="0" fontId="34" fillId="0" borderId="4" xfId="0" applyFont="1" applyFill="1" applyBorder="1" applyAlignment="1">
      <alignment horizontal="center" vertical="center"/>
    </xf>
    <xf numFmtId="3" fontId="34" fillId="0" borderId="4" xfId="0" applyNumberFormat="1" applyFont="1" applyFill="1" applyBorder="1" applyAlignment="1">
      <alignment vertical="center"/>
    </xf>
    <xf numFmtId="0" fontId="32" fillId="0" borderId="2" xfId="0" applyFont="1" applyBorder="1" applyAlignment="1">
      <alignment horizontal="left"/>
    </xf>
    <xf numFmtId="0" fontId="32" fillId="0" borderId="3" xfId="0" applyFont="1" applyBorder="1"/>
    <xf numFmtId="181" fontId="34" fillId="0" borderId="0" xfId="0" applyNumberFormat="1" applyFont="1"/>
    <xf numFmtId="43" fontId="44" fillId="0" borderId="2" xfId="2" applyNumberFormat="1" applyFont="1" applyBorder="1" applyAlignment="1">
      <alignment vertical="center"/>
    </xf>
    <xf numFmtId="177" fontId="34" fillId="0" borderId="2" xfId="10" applyNumberFormat="1" applyFont="1" applyBorder="1" applyAlignment="1">
      <alignment vertical="center"/>
    </xf>
    <xf numFmtId="178" fontId="32" fillId="3" borderId="2" xfId="1" applyNumberFormat="1" applyFont="1" applyFill="1" applyBorder="1" applyAlignment="1">
      <alignment horizontal="left" vertical="center"/>
    </xf>
    <xf numFmtId="4" fontId="34" fillId="2" borderId="2" xfId="0" applyNumberFormat="1" applyFont="1" applyFill="1" applyBorder="1" applyAlignment="1">
      <alignment vertical="center"/>
    </xf>
    <xf numFmtId="0" fontId="5" fillId="8" borderId="0" xfId="11" applyFill="1" applyBorder="1"/>
    <xf numFmtId="177" fontId="31" fillId="0" borderId="0" xfId="2" applyNumberFormat="1" applyFont="1" applyFill="1" applyBorder="1" applyAlignment="1"/>
    <xf numFmtId="0" fontId="31" fillId="0" borderId="0" xfId="0" applyFont="1" applyFill="1" applyBorder="1"/>
    <xf numFmtId="10" fontId="31" fillId="0" borderId="0" xfId="3" applyNumberFormat="1" applyFont="1" applyFill="1" applyBorder="1" applyAlignment="1"/>
    <xf numFmtId="0" fontId="31" fillId="0" borderId="0" xfId="0" applyFont="1" applyFill="1" applyAlignment="1">
      <alignment vertical="center"/>
    </xf>
    <xf numFmtId="0" fontId="31" fillId="8" borderId="0" xfId="0" applyFont="1" applyFill="1" applyAlignment="1">
      <alignment vertical="center"/>
    </xf>
    <xf numFmtId="0" fontId="31" fillId="0" borderId="0" xfId="0" applyFont="1" applyFill="1" applyBorder="1" applyAlignment="1">
      <alignment vertical="center"/>
    </xf>
    <xf numFmtId="10" fontId="31" fillId="0" borderId="0" xfId="3" applyNumberFormat="1" applyFont="1" applyFill="1" applyBorder="1" applyAlignment="1">
      <alignment vertical="center"/>
    </xf>
    <xf numFmtId="0" fontId="31" fillId="9" borderId="2" xfId="0" applyFont="1" applyFill="1" applyBorder="1" applyAlignment="1">
      <alignment vertical="center"/>
    </xf>
    <xf numFmtId="0" fontId="31" fillId="9" borderId="2" xfId="0" applyFont="1" applyFill="1" applyBorder="1" applyAlignment="1">
      <alignment horizontal="right" vertical="center"/>
    </xf>
    <xf numFmtId="0" fontId="31" fillId="0" borderId="2" xfId="0" applyFont="1" applyFill="1" applyBorder="1" applyAlignment="1">
      <alignment vertical="center"/>
    </xf>
    <xf numFmtId="177" fontId="31" fillId="0" borderId="2" xfId="10" applyNumberFormat="1" applyFont="1" applyFill="1" applyBorder="1" applyAlignment="1">
      <alignment vertical="center"/>
    </xf>
    <xf numFmtId="0" fontId="31" fillId="9" borderId="0" xfId="0" applyFont="1" applyFill="1" applyBorder="1" applyAlignment="1">
      <alignment horizontal="right"/>
    </xf>
    <xf numFmtId="10" fontId="31" fillId="0" borderId="0" xfId="0" applyNumberFormat="1" applyFont="1" applyFill="1" applyAlignment="1">
      <alignment vertical="center"/>
    </xf>
    <xf numFmtId="2" fontId="31" fillId="0" borderId="2" xfId="0" applyNumberFormat="1" applyFont="1" applyFill="1" applyBorder="1" applyAlignment="1">
      <alignment vertical="center"/>
    </xf>
    <xf numFmtId="43" fontId="31" fillId="0" borderId="2" xfId="10" applyFont="1" applyFill="1" applyBorder="1" applyAlignment="1">
      <alignment vertical="center"/>
    </xf>
    <xf numFmtId="43" fontId="31" fillId="0" borderId="2" xfId="10" applyNumberFormat="1" applyFont="1" applyFill="1" applyBorder="1" applyAlignment="1">
      <alignment vertical="center"/>
    </xf>
    <xf numFmtId="43" fontId="31" fillId="0" borderId="2" xfId="2" applyNumberFormat="1" applyFont="1" applyFill="1" applyBorder="1" applyAlignment="1">
      <alignment vertical="center"/>
    </xf>
    <xf numFmtId="184" fontId="32" fillId="0" borderId="2" xfId="2" applyNumberFormat="1" applyFont="1" applyFill="1" applyBorder="1" applyAlignment="1">
      <alignment vertical="center"/>
    </xf>
    <xf numFmtId="0" fontId="45" fillId="8" borderId="0" xfId="0" applyFont="1" applyFill="1"/>
    <xf numFmtId="0" fontId="45" fillId="0" borderId="0" xfId="0" applyFont="1"/>
    <xf numFmtId="0" fontId="31" fillId="0" borderId="3" xfId="0" applyFont="1" applyBorder="1"/>
    <xf numFmtId="183" fontId="31" fillId="2" borderId="2" xfId="2" applyNumberFormat="1" applyFont="1" applyFill="1" applyBorder="1" applyAlignment="1"/>
    <xf numFmtId="177" fontId="34" fillId="2" borderId="2" xfId="2" applyNumberFormat="1" applyFont="1" applyFill="1" applyBorder="1" applyAlignment="1">
      <alignment vertical="center"/>
    </xf>
    <xf numFmtId="177" fontId="5" fillId="0" borderId="0" xfId="0" applyNumberFormat="1" applyFont="1" applyFill="1" applyAlignment="1">
      <alignment horizontal="center" vertical="center"/>
    </xf>
    <xf numFmtId="187" fontId="34" fillId="0" borderId="0" xfId="3" applyNumberFormat="1" applyFont="1" applyAlignment="1"/>
    <xf numFmtId="177" fontId="34" fillId="0" borderId="14" xfId="2" applyNumberFormat="1" applyFont="1" applyFill="1" applyBorder="1" applyAlignment="1">
      <alignment horizontal="center"/>
    </xf>
    <xf numFmtId="0" fontId="51" fillId="0" borderId="0" xfId="16" applyFont="1">
      <alignment vertical="center"/>
    </xf>
    <xf numFmtId="0" fontId="51" fillId="0" borderId="0" xfId="16" applyFont="1" applyAlignment="1">
      <alignment horizontal="right" vertical="center"/>
    </xf>
    <xf numFmtId="0" fontId="52" fillId="0" borderId="0" xfId="16" applyFont="1">
      <alignment vertical="center"/>
    </xf>
    <xf numFmtId="1" fontId="51" fillId="0" borderId="0" xfId="16" applyNumberFormat="1" applyFont="1">
      <alignment vertical="center"/>
    </xf>
    <xf numFmtId="9" fontId="51" fillId="0" borderId="0" xfId="17" applyFont="1">
      <alignment vertical="center"/>
    </xf>
    <xf numFmtId="9" fontId="51" fillId="0" borderId="0" xfId="17" applyNumberFormat="1" applyFont="1">
      <alignment vertical="center"/>
    </xf>
    <xf numFmtId="194" fontId="51" fillId="0" borderId="0" xfId="16" applyNumberFormat="1" applyFont="1">
      <alignment vertical="center"/>
    </xf>
    <xf numFmtId="9" fontId="51" fillId="0" borderId="0" xfId="16" applyNumberFormat="1" applyFont="1">
      <alignment vertical="center"/>
    </xf>
    <xf numFmtId="0" fontId="51" fillId="0" borderId="0" xfId="16" applyFont="1" applyAlignment="1">
      <alignment horizontal="left" vertical="center"/>
    </xf>
    <xf numFmtId="0" fontId="51" fillId="0" borderId="0" xfId="16" applyFont="1" applyFill="1">
      <alignment vertical="center"/>
    </xf>
    <xf numFmtId="187" fontId="51" fillId="0" borderId="0" xfId="17" applyNumberFormat="1" applyFont="1">
      <alignment vertical="center"/>
    </xf>
    <xf numFmtId="0" fontId="54" fillId="0" borderId="0" xfId="16" applyFont="1">
      <alignment vertical="center"/>
    </xf>
    <xf numFmtId="1" fontId="54" fillId="0" borderId="0" xfId="16" applyNumberFormat="1" applyFont="1">
      <alignment vertical="center"/>
    </xf>
    <xf numFmtId="9" fontId="54" fillId="0" borderId="0" xfId="17" applyFont="1">
      <alignment vertical="center"/>
    </xf>
    <xf numFmtId="9" fontId="54" fillId="0" borderId="0" xfId="17" applyNumberFormat="1" applyFont="1">
      <alignment vertical="center"/>
    </xf>
    <xf numFmtId="2" fontId="51" fillId="0" borderId="0" xfId="16" applyNumberFormat="1" applyFont="1">
      <alignment vertical="center"/>
    </xf>
    <xf numFmtId="187" fontId="55" fillId="15" borderId="15" xfId="17" applyNumberFormat="1" applyFont="1" applyFill="1" applyBorder="1" applyAlignment="1">
      <alignment vertical="center"/>
    </xf>
    <xf numFmtId="0" fontId="52" fillId="0" borderId="0" xfId="16" applyFont="1" applyAlignment="1">
      <alignment horizontal="left" vertical="center"/>
    </xf>
    <xf numFmtId="187" fontId="53" fillId="15" borderId="15" xfId="15" applyNumberFormat="1" applyFont="1" applyFill="1" applyAlignment="1">
      <alignment vertical="center"/>
    </xf>
    <xf numFmtId="191" fontId="51" fillId="0" borderId="0" xfId="17" applyNumberFormat="1" applyFont="1">
      <alignment vertical="center"/>
    </xf>
    <xf numFmtId="0" fontId="58" fillId="0" borderId="0" xfId="16" applyFont="1">
      <alignment vertical="center"/>
    </xf>
    <xf numFmtId="0" fontId="56" fillId="0" borderId="0" xfId="16" applyFont="1">
      <alignment vertical="center"/>
    </xf>
    <xf numFmtId="0" fontId="59" fillId="0" borderId="0" xfId="16" applyFont="1">
      <alignment vertical="center"/>
    </xf>
    <xf numFmtId="1" fontId="52" fillId="0" borderId="0" xfId="16" applyNumberFormat="1" applyFont="1">
      <alignment vertical="center"/>
    </xf>
    <xf numFmtId="9" fontId="58" fillId="0" borderId="0" xfId="17" applyFont="1">
      <alignment vertical="center"/>
    </xf>
    <xf numFmtId="186" fontId="51" fillId="0" borderId="0" xfId="16" applyNumberFormat="1" applyFont="1">
      <alignment vertical="center"/>
    </xf>
    <xf numFmtId="186" fontId="52" fillId="0" borderId="0" xfId="16" applyNumberFormat="1" applyFont="1">
      <alignment vertical="center"/>
    </xf>
    <xf numFmtId="0" fontId="51" fillId="13" borderId="0" xfId="16" applyFont="1" applyFill="1">
      <alignment vertical="center"/>
    </xf>
    <xf numFmtId="0" fontId="51" fillId="13" borderId="16" xfId="16" applyFont="1" applyFill="1" applyBorder="1" applyAlignment="1">
      <alignment horizontal="right" vertical="center"/>
    </xf>
    <xf numFmtId="0" fontId="52" fillId="13" borderId="0" xfId="16" applyFont="1" applyFill="1">
      <alignment vertical="center"/>
    </xf>
    <xf numFmtId="192" fontId="52" fillId="13" borderId="0" xfId="16" applyNumberFormat="1" applyFont="1" applyFill="1">
      <alignment vertical="center"/>
    </xf>
    <xf numFmtId="0" fontId="56" fillId="13" borderId="0" xfId="16" applyFont="1" applyFill="1" applyAlignment="1">
      <alignment horizontal="right" vertical="center"/>
    </xf>
    <xf numFmtId="187" fontId="56" fillId="13" borderId="0" xfId="17" applyNumberFormat="1" applyFont="1" applyFill="1" applyAlignment="1">
      <alignment horizontal="right" vertical="center"/>
    </xf>
    <xf numFmtId="2" fontId="51" fillId="13" borderId="0" xfId="16" applyNumberFormat="1" applyFont="1" applyFill="1">
      <alignment vertical="center"/>
    </xf>
    <xf numFmtId="2" fontId="51" fillId="2" borderId="0" xfId="16" applyNumberFormat="1" applyFont="1" applyFill="1">
      <alignment vertical="center"/>
    </xf>
    <xf numFmtId="0" fontId="52" fillId="13" borderId="0" xfId="16" applyFont="1" applyFill="1" applyAlignment="1">
      <alignment horizontal="left" vertical="center"/>
    </xf>
    <xf numFmtId="0" fontId="67" fillId="13" borderId="0" xfId="16" applyFont="1" applyFill="1" applyAlignment="1">
      <alignment horizontal="right" vertical="center"/>
    </xf>
    <xf numFmtId="2" fontId="51" fillId="0" borderId="0" xfId="16" applyNumberFormat="1" applyFont="1" applyFill="1">
      <alignment vertical="center"/>
    </xf>
    <xf numFmtId="0" fontId="51" fillId="13" borderId="0" xfId="16" applyFont="1" applyFill="1" applyAlignment="1">
      <alignment horizontal="right" vertical="center"/>
    </xf>
    <xf numFmtId="0" fontId="51" fillId="13" borderId="0" xfId="16" applyFont="1" applyFill="1" applyAlignment="1">
      <alignment horizontal="left" vertical="center"/>
    </xf>
    <xf numFmtId="9" fontId="51" fillId="13" borderId="0" xfId="17" applyFont="1" applyFill="1">
      <alignment vertical="center"/>
    </xf>
    <xf numFmtId="9" fontId="53" fillId="15" borderId="15" xfId="15" applyNumberFormat="1" applyFont="1" applyFill="1" applyAlignment="1">
      <alignment vertical="center"/>
    </xf>
    <xf numFmtId="192" fontId="51" fillId="13" borderId="0" xfId="16" applyNumberFormat="1" applyFont="1" applyFill="1">
      <alignment vertical="center"/>
    </xf>
    <xf numFmtId="2" fontId="52" fillId="13" borderId="0" xfId="16" applyNumberFormat="1" applyFont="1" applyFill="1">
      <alignment vertical="center"/>
    </xf>
    <xf numFmtId="193" fontId="51" fillId="13" borderId="0" xfId="16" applyNumberFormat="1" applyFont="1" applyFill="1">
      <alignment vertical="center"/>
    </xf>
    <xf numFmtId="193" fontId="52" fillId="13" borderId="0" xfId="16" applyNumberFormat="1" applyFont="1" applyFill="1">
      <alignment vertical="center"/>
    </xf>
    <xf numFmtId="10" fontId="51" fillId="13" borderId="0" xfId="17" applyNumberFormat="1" applyFont="1" applyFill="1">
      <alignment vertical="center"/>
    </xf>
    <xf numFmtId="194" fontId="51" fillId="13" borderId="0" xfId="16" applyNumberFormat="1" applyFont="1" applyFill="1">
      <alignment vertical="center"/>
    </xf>
    <xf numFmtId="190" fontId="52" fillId="13" borderId="0" xfId="16" applyNumberFormat="1" applyFont="1" applyFill="1">
      <alignment vertical="center"/>
    </xf>
    <xf numFmtId="194" fontId="52" fillId="13" borderId="0" xfId="16" applyNumberFormat="1" applyFont="1" applyFill="1">
      <alignment vertical="center"/>
    </xf>
    <xf numFmtId="187" fontId="51" fillId="13" borderId="0" xfId="17" applyNumberFormat="1" applyFont="1" applyFill="1">
      <alignment vertical="center"/>
    </xf>
    <xf numFmtId="0" fontId="34" fillId="0" borderId="0" xfId="16" applyFont="1" applyFill="1" applyBorder="1" applyAlignment="1">
      <alignment vertical="center"/>
    </xf>
    <xf numFmtId="196" fontId="34" fillId="0" borderId="0" xfId="16" applyNumberFormat="1" applyFont="1" applyFill="1" applyBorder="1" applyAlignment="1">
      <alignment vertical="center"/>
    </xf>
    <xf numFmtId="0" fontId="68" fillId="0" borderId="0" xfId="16" applyFont="1" applyFill="1" applyBorder="1" applyAlignment="1">
      <alignment horizontal="center" vertical="center" wrapText="1"/>
    </xf>
    <xf numFmtId="0" fontId="69" fillId="0" borderId="0" xfId="16" applyFont="1" applyFill="1" applyBorder="1" applyAlignment="1">
      <alignment vertical="center"/>
    </xf>
    <xf numFmtId="195" fontId="34" fillId="0" borderId="0" xfId="16" applyNumberFormat="1" applyFont="1" applyFill="1" applyBorder="1" applyAlignment="1">
      <alignment vertical="center"/>
    </xf>
    <xf numFmtId="0" fontId="70" fillId="0" borderId="0" xfId="16" applyFont="1" applyFill="1" applyBorder="1" applyAlignment="1">
      <alignment vertical="center"/>
    </xf>
    <xf numFmtId="0" fontId="71" fillId="0" borderId="0" xfId="16" applyFont="1" applyFill="1" applyBorder="1" applyAlignment="1">
      <alignment vertical="center"/>
    </xf>
    <xf numFmtId="187" fontId="34" fillId="0" borderId="0" xfId="17" applyNumberFormat="1" applyFont="1" applyFill="1" applyBorder="1">
      <alignment vertical="center"/>
    </xf>
    <xf numFmtId="197" fontId="34" fillId="0" borderId="0" xfId="16" applyNumberFormat="1" applyFont="1" applyFill="1" applyBorder="1" applyAlignment="1">
      <alignment vertical="center"/>
    </xf>
    <xf numFmtId="194" fontId="69" fillId="0" borderId="0" xfId="16" applyNumberFormat="1" applyFont="1" applyFill="1" applyBorder="1" applyAlignment="1">
      <alignment vertical="center"/>
    </xf>
    <xf numFmtId="196" fontId="69" fillId="0" borderId="0" xfId="16" applyNumberFormat="1" applyFont="1" applyFill="1" applyBorder="1" applyAlignment="1">
      <alignment vertical="center"/>
    </xf>
    <xf numFmtId="194" fontId="70" fillId="0" borderId="0" xfId="16" applyNumberFormat="1" applyFont="1" applyFill="1" applyBorder="1" applyAlignment="1">
      <alignment vertical="center"/>
    </xf>
    <xf numFmtId="196" fontId="70" fillId="0" borderId="0" xfId="16" applyNumberFormat="1" applyFont="1" applyFill="1" applyBorder="1" applyAlignment="1">
      <alignment vertical="center"/>
    </xf>
    <xf numFmtId="194" fontId="71" fillId="0" borderId="0" xfId="16" applyNumberFormat="1" applyFont="1" applyFill="1" applyBorder="1" applyAlignment="1">
      <alignment vertical="center"/>
    </xf>
    <xf numFmtId="196" fontId="71" fillId="0" borderId="0" xfId="16" applyNumberFormat="1" applyFont="1" applyFill="1" applyBorder="1" applyAlignment="1">
      <alignment vertical="center"/>
    </xf>
    <xf numFmtId="0" fontId="36" fillId="0" borderId="0" xfId="16" applyFont="1" applyFill="1" applyBorder="1" applyAlignment="1">
      <alignment vertical="center"/>
    </xf>
    <xf numFmtId="194" fontId="36" fillId="0" borderId="0" xfId="16" applyNumberFormat="1" applyFont="1" applyFill="1" applyBorder="1" applyAlignment="1">
      <alignment vertical="center"/>
    </xf>
    <xf numFmtId="196" fontId="36" fillId="0" borderId="0" xfId="16" applyNumberFormat="1" applyFont="1" applyFill="1" applyBorder="1" applyAlignment="1">
      <alignment vertical="center"/>
    </xf>
    <xf numFmtId="1" fontId="34" fillId="0" borderId="0" xfId="16" applyNumberFormat="1" applyFont="1" applyFill="1" applyBorder="1" applyAlignment="1">
      <alignment vertical="center"/>
    </xf>
    <xf numFmtId="0" fontId="34" fillId="13" borderId="0" xfId="16" applyFont="1" applyFill="1" applyBorder="1" applyAlignment="1">
      <alignment vertical="center"/>
    </xf>
    <xf numFmtId="1" fontId="34" fillId="13" borderId="0" xfId="16" applyNumberFormat="1" applyFont="1" applyFill="1" applyBorder="1" applyAlignment="1">
      <alignment vertical="center"/>
    </xf>
    <xf numFmtId="0" fontId="34" fillId="13" borderId="0" xfId="16" applyFont="1" applyFill="1" applyBorder="1" applyAlignment="1">
      <alignment horizontal="center" vertical="center"/>
    </xf>
    <xf numFmtId="2" fontId="34" fillId="13" borderId="0" xfId="16" applyNumberFormat="1" applyFont="1" applyFill="1" applyBorder="1" applyAlignment="1">
      <alignment vertical="center"/>
    </xf>
    <xf numFmtId="0" fontId="34" fillId="13" borderId="17" xfId="16" applyFont="1" applyFill="1" applyBorder="1" applyAlignment="1">
      <alignment horizontal="right" vertical="center"/>
    </xf>
    <xf numFmtId="0" fontId="34" fillId="13" borderId="17" xfId="16" applyFont="1" applyFill="1" applyBorder="1" applyAlignment="1">
      <alignment vertical="center"/>
    </xf>
    <xf numFmtId="2" fontId="34" fillId="13" borderId="17" xfId="16" applyNumberFormat="1" applyFont="1" applyFill="1" applyBorder="1" applyAlignment="1">
      <alignment vertical="center"/>
    </xf>
    <xf numFmtId="0" fontId="34" fillId="13" borderId="0" xfId="16" applyFont="1" applyFill="1" applyBorder="1" applyAlignment="1">
      <alignment horizontal="right" vertical="center"/>
    </xf>
    <xf numFmtId="0" fontId="34" fillId="13" borderId="18" xfId="16" applyFont="1" applyFill="1" applyBorder="1" applyAlignment="1">
      <alignment horizontal="right" vertical="center"/>
    </xf>
    <xf numFmtId="0" fontId="34" fillId="13" borderId="18" xfId="16" applyFont="1" applyFill="1" applyBorder="1" applyAlignment="1">
      <alignment vertical="center"/>
    </xf>
    <xf numFmtId="2" fontId="34" fillId="13" borderId="18" xfId="16" applyNumberFormat="1" applyFont="1" applyFill="1" applyBorder="1" applyAlignment="1">
      <alignment vertical="center"/>
    </xf>
    <xf numFmtId="192" fontId="34" fillId="13" borderId="18" xfId="16" applyNumberFormat="1" applyFont="1" applyFill="1" applyBorder="1" applyAlignment="1">
      <alignment vertical="center"/>
    </xf>
    <xf numFmtId="192" fontId="34" fillId="13" borderId="0" xfId="16" applyNumberFormat="1" applyFont="1" applyFill="1" applyBorder="1" applyAlignment="1">
      <alignment vertical="center"/>
    </xf>
    <xf numFmtId="198" fontId="34" fillId="13" borderId="0" xfId="16" applyNumberFormat="1" applyFont="1" applyFill="1" applyBorder="1" applyAlignment="1">
      <alignment vertical="center"/>
    </xf>
    <xf numFmtId="0" fontId="34" fillId="13" borderId="19" xfId="16" applyFont="1" applyFill="1" applyBorder="1" applyAlignment="1">
      <alignment horizontal="center" vertical="center"/>
    </xf>
    <xf numFmtId="0" fontId="34" fillId="13" borderId="19" xfId="16" applyFont="1" applyFill="1" applyBorder="1" applyAlignment="1">
      <alignment vertical="center"/>
    </xf>
    <xf numFmtId="2" fontId="34" fillId="13" borderId="19" xfId="16" applyNumberFormat="1" applyFont="1" applyFill="1" applyBorder="1" applyAlignment="1">
      <alignment vertical="center"/>
    </xf>
    <xf numFmtId="0" fontId="34" fillId="13" borderId="0" xfId="16" applyNumberFormat="1" applyFont="1" applyFill="1" applyBorder="1" applyAlignment="1">
      <alignment horizontal="right" vertical="center"/>
    </xf>
    <xf numFmtId="196" fontId="34" fillId="13" borderId="18" xfId="16" applyNumberFormat="1" applyFont="1" applyFill="1" applyBorder="1" applyAlignment="1">
      <alignment vertical="center"/>
    </xf>
    <xf numFmtId="0" fontId="72" fillId="0" borderId="0" xfId="16" applyFont="1" applyFill="1" applyBorder="1" applyAlignment="1">
      <alignment vertical="center"/>
    </xf>
    <xf numFmtId="0" fontId="34" fillId="0" borderId="0" xfId="16" applyFont="1" applyFill="1" applyBorder="1" applyAlignment="1">
      <alignment horizontal="right" vertical="center"/>
    </xf>
    <xf numFmtId="2" fontId="34" fillId="0" borderId="0" xfId="16" applyNumberFormat="1" applyFont="1" applyFill="1" applyBorder="1" applyAlignment="1">
      <alignment vertical="center"/>
    </xf>
    <xf numFmtId="192" fontId="34" fillId="0" borderId="0" xfId="16" applyNumberFormat="1" applyFont="1" applyFill="1" applyBorder="1" applyAlignment="1">
      <alignment vertical="center"/>
    </xf>
    <xf numFmtId="190" fontId="34" fillId="0" borderId="0" xfId="16" applyNumberFormat="1" applyFont="1" applyFill="1" applyBorder="1" applyAlignment="1">
      <alignment vertical="center"/>
    </xf>
    <xf numFmtId="0" fontId="34" fillId="0" borderId="0" xfId="16" applyNumberFormat="1" applyFont="1" applyFill="1" applyBorder="1" applyAlignment="1">
      <alignment vertical="center"/>
    </xf>
    <xf numFmtId="10" fontId="34" fillId="0" borderId="0" xfId="16" applyNumberFormat="1" applyFont="1" applyFill="1" applyBorder="1" applyAlignment="1">
      <alignment vertical="center"/>
    </xf>
    <xf numFmtId="10" fontId="34" fillId="0" borderId="0" xfId="17" applyNumberFormat="1" applyFont="1" applyFill="1" applyBorder="1" applyAlignment="1">
      <alignment vertical="center"/>
    </xf>
    <xf numFmtId="191" fontId="34" fillId="0" borderId="0" xfId="16" applyNumberFormat="1" applyFont="1" applyFill="1" applyBorder="1" applyAlignment="1">
      <alignment vertical="center"/>
    </xf>
    <xf numFmtId="0" fontId="34" fillId="0" borderId="0" xfId="16" applyFont="1">
      <alignment vertical="center"/>
    </xf>
    <xf numFmtId="199" fontId="36" fillId="0" borderId="0" xfId="16" applyNumberFormat="1" applyFont="1">
      <alignment vertical="center"/>
    </xf>
    <xf numFmtId="1" fontId="34" fillId="0" borderId="0" xfId="16" applyNumberFormat="1" applyFont="1">
      <alignment vertical="center"/>
    </xf>
    <xf numFmtId="10" fontId="34" fillId="0" borderId="0" xfId="17" applyNumberFormat="1" applyFont="1">
      <alignment vertical="center"/>
    </xf>
    <xf numFmtId="10" fontId="34" fillId="0" borderId="0" xfId="16" applyNumberFormat="1" applyFont="1">
      <alignment vertical="center"/>
    </xf>
    <xf numFmtId="0" fontId="36" fillId="0" borderId="0" xfId="16" applyFont="1">
      <alignment vertical="center"/>
    </xf>
    <xf numFmtId="10" fontId="36" fillId="0" borderId="0" xfId="17" applyNumberFormat="1" applyFont="1">
      <alignment vertical="center"/>
    </xf>
    <xf numFmtId="10" fontId="36" fillId="0" borderId="0" xfId="16" applyNumberFormat="1" applyFont="1">
      <alignment vertical="center"/>
    </xf>
    <xf numFmtId="194" fontId="34" fillId="0" borderId="0" xfId="16" applyNumberFormat="1" applyFont="1">
      <alignment vertical="center"/>
    </xf>
    <xf numFmtId="194" fontId="36" fillId="0" borderId="0" xfId="16" applyNumberFormat="1" applyFont="1">
      <alignment vertical="center"/>
    </xf>
    <xf numFmtId="0" fontId="34" fillId="0" borderId="0" xfId="16" applyNumberFormat="1" applyFont="1">
      <alignment vertical="center"/>
    </xf>
    <xf numFmtId="190" fontId="34" fillId="0" borderId="0" xfId="16" applyNumberFormat="1" applyFont="1">
      <alignment vertical="center"/>
    </xf>
    <xf numFmtId="2" fontId="34" fillId="0" borderId="0" xfId="16" applyNumberFormat="1" applyFont="1">
      <alignment vertical="center"/>
    </xf>
    <xf numFmtId="192" fontId="34" fillId="0" borderId="0" xfId="16" applyNumberFormat="1" applyFont="1">
      <alignment vertical="center"/>
    </xf>
    <xf numFmtId="9" fontId="34" fillId="0" borderId="0" xfId="17" applyFont="1">
      <alignment vertical="center"/>
    </xf>
    <xf numFmtId="187" fontId="34" fillId="0" borderId="0" xfId="17" applyNumberFormat="1" applyFont="1">
      <alignment vertical="center"/>
    </xf>
    <xf numFmtId="187" fontId="34" fillId="0" borderId="0" xfId="16" applyNumberFormat="1" applyFont="1">
      <alignment vertical="center"/>
    </xf>
    <xf numFmtId="0" fontId="44" fillId="0" borderId="0" xfId="16" applyFont="1">
      <alignment vertical="center"/>
    </xf>
    <xf numFmtId="10" fontId="73" fillId="0" borderId="0" xfId="17" applyNumberFormat="1" applyFont="1" applyFill="1">
      <alignment vertical="center"/>
    </xf>
    <xf numFmtId="0" fontId="36" fillId="0" borderId="0" xfId="18" applyFont="1">
      <alignment vertical="center"/>
    </xf>
    <xf numFmtId="199" fontId="36" fillId="0" borderId="0" xfId="18" applyNumberFormat="1" applyFont="1" applyAlignment="1">
      <alignment horizontal="center" vertical="center"/>
    </xf>
    <xf numFmtId="0" fontId="34" fillId="0" borderId="0" xfId="18" applyFont="1">
      <alignment vertical="center"/>
    </xf>
    <xf numFmtId="177" fontId="34" fillId="0" borderId="0" xfId="19" applyNumberFormat="1" applyFont="1">
      <alignment vertical="center"/>
    </xf>
    <xf numFmtId="43" fontId="34" fillId="0" borderId="0" xfId="18" applyNumberFormat="1" applyFont="1">
      <alignment vertical="center"/>
    </xf>
    <xf numFmtId="0" fontId="36" fillId="0" borderId="0" xfId="18" applyFont="1" applyFill="1">
      <alignment vertical="center"/>
    </xf>
    <xf numFmtId="177" fontId="36" fillId="0" borderId="0" xfId="19" applyNumberFormat="1" applyFont="1" applyFill="1">
      <alignment vertical="center"/>
    </xf>
    <xf numFmtId="0" fontId="34" fillId="0" borderId="0" xfId="18" applyFont="1" applyAlignment="1">
      <alignment horizontal="right" vertical="center"/>
    </xf>
    <xf numFmtId="2" fontId="34" fillId="0" borderId="0" xfId="18" applyNumberFormat="1" applyFont="1">
      <alignment vertical="center"/>
    </xf>
    <xf numFmtId="193" fontId="34" fillId="0" borderId="0" xfId="18" applyNumberFormat="1" applyFont="1">
      <alignment vertical="center"/>
    </xf>
    <xf numFmtId="177" fontId="34" fillId="0" borderId="0" xfId="18" applyNumberFormat="1" applyFont="1">
      <alignment vertical="center"/>
    </xf>
    <xf numFmtId="0" fontId="34" fillId="2" borderId="0" xfId="18" applyFont="1" applyFill="1">
      <alignment vertical="center"/>
    </xf>
    <xf numFmtId="0" fontId="34" fillId="0" borderId="0" xfId="18" applyFont="1" applyFill="1">
      <alignment vertical="center"/>
    </xf>
    <xf numFmtId="177" fontId="34" fillId="0" borderId="0" xfId="19" applyNumberFormat="1" applyFont="1" applyFill="1">
      <alignment vertical="center"/>
    </xf>
    <xf numFmtId="177" fontId="36" fillId="0" borderId="0" xfId="19" applyNumberFormat="1" applyFont="1">
      <alignment vertical="center"/>
    </xf>
    <xf numFmtId="177" fontId="34" fillId="0" borderId="14" xfId="2" applyNumberFormat="1" applyFont="1" applyFill="1" applyBorder="1" applyAlignment="1">
      <alignment horizontal="center"/>
    </xf>
    <xf numFmtId="0" fontId="74" fillId="8" borderId="0" xfId="6" applyFont="1" applyFill="1" applyAlignment="1">
      <alignment vertical="center"/>
    </xf>
    <xf numFmtId="0" fontId="75" fillId="8" borderId="0" xfId="6" applyFont="1" applyFill="1" applyBorder="1" applyAlignment="1">
      <alignment horizontal="left" vertical="center" indent="1"/>
    </xf>
    <xf numFmtId="0" fontId="75" fillId="0" borderId="0" xfId="6" applyFont="1" applyFill="1" applyBorder="1" applyAlignment="1">
      <alignment horizontal="left" vertical="center" indent="1"/>
    </xf>
    <xf numFmtId="0" fontId="31" fillId="9" borderId="2" xfId="0" applyFont="1" applyFill="1" applyBorder="1" applyAlignment="1">
      <alignment horizontal="left"/>
    </xf>
    <xf numFmtId="0" fontId="76" fillId="8" borderId="0" xfId="6" applyFont="1" applyFill="1" applyAlignment="1">
      <alignment vertical="center"/>
    </xf>
    <xf numFmtId="0" fontId="77" fillId="8" borderId="0" xfId="6" applyFont="1" applyFill="1" applyBorder="1" applyAlignment="1">
      <alignment horizontal="left" vertical="center" indent="1"/>
    </xf>
    <xf numFmtId="0" fontId="77" fillId="0" borderId="0" xfId="6" applyFont="1" applyFill="1" applyBorder="1" applyAlignment="1">
      <alignment horizontal="left" vertical="center" indent="1"/>
    </xf>
    <xf numFmtId="9" fontId="0" fillId="0" borderId="0" xfId="20" applyFont="1" applyAlignment="1"/>
    <xf numFmtId="9" fontId="0" fillId="0" borderId="0" xfId="20" applyFont="1" applyBorder="1" applyAlignment="1"/>
    <xf numFmtId="10" fontId="0" fillId="0" borderId="0" xfId="20" applyNumberFormat="1" applyFont="1" applyBorder="1" applyAlignment="1"/>
    <xf numFmtId="187" fontId="0" fillId="17" borderId="0" xfId="20" applyNumberFormat="1" applyFont="1" applyFill="1" applyBorder="1" applyAlignment="1"/>
    <xf numFmtId="187" fontId="0" fillId="0" borderId="0" xfId="20" applyNumberFormat="1" applyFont="1" applyBorder="1" applyAlignment="1"/>
    <xf numFmtId="187" fontId="0" fillId="0" borderId="23" xfId="20" applyNumberFormat="1" applyFont="1" applyBorder="1" applyAlignment="1"/>
    <xf numFmtId="187" fontId="79" fillId="0" borderId="0" xfId="20" applyNumberFormat="1" applyFont="1" applyBorder="1" applyAlignment="1">
      <alignment horizontal="center"/>
    </xf>
    <xf numFmtId="0" fontId="0" fillId="16" borderId="20" xfId="0" applyFill="1" applyBorder="1"/>
    <xf numFmtId="0" fontId="0" fillId="16" borderId="17" xfId="0" applyFill="1" applyBorder="1"/>
    <xf numFmtId="0" fontId="0" fillId="16" borderId="21" xfId="0" applyFill="1" applyBorder="1" applyAlignment="1">
      <alignment horizontal="right"/>
    </xf>
    <xf numFmtId="0" fontId="0" fillId="0" borderId="22" xfId="0" applyBorder="1"/>
    <xf numFmtId="2" fontId="0" fillId="0" borderId="0" xfId="0" applyNumberFormat="1" applyBorder="1"/>
    <xf numFmtId="0" fontId="0" fillId="0" borderId="23" xfId="0" applyBorder="1"/>
    <xf numFmtId="2" fontId="0" fillId="0" borderId="23" xfId="0" applyNumberFormat="1" applyBorder="1"/>
    <xf numFmtId="9" fontId="0" fillId="0" borderId="0" xfId="0" applyNumberFormat="1" applyBorder="1"/>
    <xf numFmtId="9" fontId="0" fillId="0" borderId="23" xfId="0" applyNumberFormat="1" applyBorder="1"/>
    <xf numFmtId="0" fontId="78" fillId="0" borderId="0" xfId="0" applyFont="1"/>
    <xf numFmtId="0" fontId="0" fillId="0" borderId="24" xfId="0" applyBorder="1"/>
    <xf numFmtId="2" fontId="0" fillId="0" borderId="18" xfId="0" applyNumberFormat="1" applyBorder="1"/>
    <xf numFmtId="2" fontId="0" fillId="0" borderId="25" xfId="0" applyNumberFormat="1" applyBorder="1"/>
    <xf numFmtId="2" fontId="0" fillId="17" borderId="0" xfId="0" applyNumberFormat="1" applyFill="1" applyBorder="1"/>
    <xf numFmtId="2" fontId="0" fillId="17" borderId="18" xfId="0" applyNumberFormat="1" applyFill="1" applyBorder="1"/>
    <xf numFmtId="2" fontId="0" fillId="17" borderId="25" xfId="0" applyNumberFormat="1" applyFill="1" applyBorder="1"/>
    <xf numFmtId="0" fontId="0" fillId="0" borderId="20" xfId="0" applyBorder="1"/>
    <xf numFmtId="0" fontId="0" fillId="0" borderId="17" xfId="0" applyBorder="1"/>
    <xf numFmtId="0" fontId="0" fillId="0" borderId="21" xfId="0" applyBorder="1"/>
    <xf numFmtId="0" fontId="79" fillId="0" borderId="22" xfId="0" applyFont="1" applyBorder="1" applyAlignment="1">
      <alignment horizontal="center"/>
    </xf>
    <xf numFmtId="1" fontId="79" fillId="0" borderId="0" xfId="0" applyNumberFormat="1" applyFont="1" applyBorder="1" applyAlignment="1">
      <alignment horizontal="center"/>
    </xf>
    <xf numFmtId="0" fontId="79" fillId="0" borderId="23" xfId="0" applyFont="1" applyBorder="1" applyAlignment="1">
      <alignment horizontal="center"/>
    </xf>
    <xf numFmtId="0" fontId="79" fillId="0" borderId="22" xfId="0" applyFont="1" applyFill="1" applyBorder="1" applyAlignment="1">
      <alignment horizontal="center"/>
    </xf>
    <xf numFmtId="0" fontId="79" fillId="0" borderId="0" xfId="0" applyFont="1" applyBorder="1" applyAlignment="1">
      <alignment horizontal="center"/>
    </xf>
    <xf numFmtId="0" fontId="0" fillId="0" borderId="24" xfId="0" applyFill="1" applyBorder="1"/>
    <xf numFmtId="0" fontId="0" fillId="0" borderId="18" xfId="0" applyBorder="1"/>
    <xf numFmtId="0" fontId="0" fillId="0" borderId="25" xfId="0" applyBorder="1"/>
    <xf numFmtId="9" fontId="34" fillId="0" borderId="0" xfId="16" applyNumberFormat="1" applyFont="1">
      <alignment vertical="center"/>
    </xf>
    <xf numFmtId="187" fontId="34" fillId="0" borderId="0" xfId="3" applyNumberFormat="1" applyFont="1">
      <alignment vertical="center"/>
    </xf>
    <xf numFmtId="1" fontId="0" fillId="0" borderId="0" xfId="0" applyNumberFormat="1"/>
    <xf numFmtId="10" fontId="0" fillId="0" borderId="0" xfId="0" applyNumberFormat="1"/>
    <xf numFmtId="0" fontId="79" fillId="0" borderId="0" xfId="0" applyFont="1"/>
    <xf numFmtId="1" fontId="79" fillId="0" borderId="0" xfId="0" applyNumberFormat="1" applyFont="1"/>
    <xf numFmtId="9" fontId="0" fillId="0" borderId="0" xfId="0" applyNumberFormat="1"/>
    <xf numFmtId="187" fontId="0" fillId="0" borderId="0" xfId="3" applyNumberFormat="1" applyFont="1" applyAlignment="1"/>
    <xf numFmtId="9" fontId="0" fillId="0" borderId="23" xfId="20" applyFont="1" applyBorder="1" applyAlignment="1"/>
    <xf numFmtId="10" fontId="0" fillId="0" borderId="23" xfId="20" applyNumberFormat="1" applyFont="1" applyBorder="1" applyAlignment="1"/>
    <xf numFmtId="0" fontId="80" fillId="16" borderId="0" xfId="0" applyFont="1" applyFill="1" applyBorder="1" applyAlignment="1">
      <alignment vertical="center"/>
    </xf>
    <xf numFmtId="0" fontId="80" fillId="16" borderId="0" xfId="0" applyFont="1" applyFill="1" applyBorder="1" applyAlignment="1">
      <alignment horizontal="right" vertical="center"/>
    </xf>
    <xf numFmtId="0" fontId="80" fillId="16" borderId="0" xfId="0" applyFont="1" applyFill="1" applyBorder="1" applyAlignment="1">
      <alignment horizontal="right" vertical="center" wrapText="1"/>
    </xf>
    <xf numFmtId="9" fontId="51" fillId="13" borderId="0" xfId="3" applyFont="1" applyFill="1">
      <alignment vertical="center"/>
    </xf>
    <xf numFmtId="9" fontId="34" fillId="0" borderId="0" xfId="18" applyNumberFormat="1" applyFont="1">
      <alignment vertical="center"/>
    </xf>
    <xf numFmtId="0" fontId="81" fillId="0" borderId="0" xfId="16" applyFont="1">
      <alignment vertical="center"/>
    </xf>
    <xf numFmtId="187" fontId="52" fillId="0" borderId="0" xfId="17" applyNumberFormat="1" applyFont="1">
      <alignment vertical="center"/>
    </xf>
    <xf numFmtId="0" fontId="51" fillId="18" borderId="17" xfId="16" applyFont="1" applyFill="1" applyBorder="1">
      <alignment vertical="center"/>
    </xf>
    <xf numFmtId="193" fontId="51" fillId="0" borderId="0" xfId="16" applyNumberFormat="1" applyFont="1" applyBorder="1">
      <alignment vertical="center"/>
    </xf>
    <xf numFmtId="193" fontId="51" fillId="0" borderId="0" xfId="16" applyNumberFormat="1" applyFont="1" applyFill="1" applyBorder="1">
      <alignment vertical="center"/>
    </xf>
    <xf numFmtId="0" fontId="51" fillId="0" borderId="0" xfId="16" applyFont="1" applyBorder="1">
      <alignment vertical="center"/>
    </xf>
    <xf numFmtId="9" fontId="51" fillId="0" borderId="0" xfId="17" applyFont="1" applyBorder="1">
      <alignment vertical="center"/>
    </xf>
    <xf numFmtId="10" fontId="54" fillId="0" borderId="0" xfId="16" applyNumberFormat="1" applyFont="1" applyBorder="1">
      <alignment vertical="center"/>
    </xf>
    <xf numFmtId="10" fontId="53" fillId="15" borderId="15" xfId="15" applyNumberFormat="1" applyFont="1" applyFill="1" applyBorder="1" applyAlignment="1">
      <alignment vertical="center"/>
    </xf>
    <xf numFmtId="10" fontId="51" fillId="0" borderId="0" xfId="17" applyNumberFormat="1" applyFont="1" applyBorder="1">
      <alignment vertical="center"/>
    </xf>
    <xf numFmtId="0" fontId="51" fillId="0" borderId="18" xfId="16" applyFont="1" applyBorder="1">
      <alignment vertical="center"/>
    </xf>
    <xf numFmtId="10" fontId="54" fillId="0" borderId="18" xfId="16" applyNumberFormat="1" applyFont="1" applyBorder="1">
      <alignment vertical="center"/>
    </xf>
    <xf numFmtId="10" fontId="53" fillId="15" borderId="26" xfId="15" applyNumberFormat="1" applyFont="1" applyFill="1" applyBorder="1" applyAlignment="1">
      <alignment vertical="center"/>
    </xf>
    <xf numFmtId="1" fontId="51" fillId="18" borderId="17" xfId="16" applyNumberFormat="1" applyFont="1" applyFill="1" applyBorder="1">
      <alignment vertical="center"/>
    </xf>
    <xf numFmtId="9" fontId="51" fillId="18" borderId="17" xfId="17" applyFont="1" applyFill="1" applyBorder="1">
      <alignment vertical="center"/>
    </xf>
    <xf numFmtId="0" fontId="52" fillId="0" borderId="0" xfId="16" applyFont="1" applyBorder="1">
      <alignment vertical="center"/>
    </xf>
    <xf numFmtId="2" fontId="52" fillId="0" borderId="0" xfId="16" applyNumberFormat="1" applyFont="1" applyBorder="1">
      <alignment vertical="center"/>
    </xf>
    <xf numFmtId="0" fontId="51" fillId="0" borderId="0" xfId="16" applyFont="1" applyFill="1" applyBorder="1">
      <alignment vertical="center"/>
    </xf>
    <xf numFmtId="1" fontId="52" fillId="0" borderId="0" xfId="16" applyNumberFormat="1" applyFont="1" applyFill="1" applyBorder="1">
      <alignment vertical="center"/>
    </xf>
    <xf numFmtId="1" fontId="52" fillId="0" borderId="0" xfId="16" applyNumberFormat="1" applyFont="1" applyBorder="1">
      <alignment vertical="center"/>
    </xf>
    <xf numFmtId="0" fontId="54" fillId="0" borderId="0" xfId="16" applyFont="1" applyBorder="1">
      <alignment vertical="center"/>
    </xf>
    <xf numFmtId="9" fontId="54" fillId="0" borderId="0" xfId="16" applyNumberFormat="1" applyFont="1" applyBorder="1">
      <alignment vertical="center"/>
    </xf>
    <xf numFmtId="9" fontId="54" fillId="0" borderId="0" xfId="17" applyFont="1" applyBorder="1">
      <alignment vertical="center"/>
    </xf>
    <xf numFmtId="2" fontId="51" fillId="0" borderId="0" xfId="16" applyNumberFormat="1" applyFont="1" applyBorder="1">
      <alignment vertical="center"/>
    </xf>
    <xf numFmtId="0" fontId="81" fillId="0" borderId="0" xfId="16" applyFont="1" applyBorder="1">
      <alignment vertical="center"/>
    </xf>
    <xf numFmtId="2" fontId="81" fillId="0" borderId="0" xfId="16" applyNumberFormat="1" applyFont="1" applyBorder="1">
      <alignment vertical="center"/>
    </xf>
    <xf numFmtId="193" fontId="81" fillId="0" borderId="0" xfId="16" applyNumberFormat="1" applyFont="1" applyBorder="1">
      <alignment vertical="center"/>
    </xf>
    <xf numFmtId="187" fontId="54" fillId="0" borderId="0" xfId="3" applyNumberFormat="1" applyFont="1" applyBorder="1">
      <alignment vertical="center"/>
    </xf>
    <xf numFmtId="1" fontId="51" fillId="0" borderId="0" xfId="16" applyNumberFormat="1" applyFont="1" applyBorder="1">
      <alignment vertical="center"/>
    </xf>
    <xf numFmtId="187" fontId="51" fillId="0" borderId="0" xfId="17" applyNumberFormat="1" applyFont="1" applyBorder="1">
      <alignment vertical="center"/>
    </xf>
    <xf numFmtId="187" fontId="53" fillId="15" borderId="15" xfId="15" applyNumberFormat="1" applyFont="1" applyFill="1" applyBorder="1" applyAlignment="1">
      <alignment vertical="center"/>
    </xf>
    <xf numFmtId="187" fontId="54" fillId="0" borderId="0" xfId="17" applyNumberFormat="1" applyFont="1" applyBorder="1">
      <alignment vertical="center"/>
    </xf>
    <xf numFmtId="191" fontId="51" fillId="0" borderId="0" xfId="17" applyNumberFormat="1" applyFont="1" applyBorder="1">
      <alignment vertical="center"/>
    </xf>
    <xf numFmtId="191" fontId="55" fillId="15" borderId="15" xfId="15" applyNumberFormat="1" applyFont="1" applyFill="1" applyBorder="1" applyAlignment="1">
      <alignment vertical="center"/>
    </xf>
    <xf numFmtId="191" fontId="51" fillId="0" borderId="18" xfId="17" applyNumberFormat="1" applyFont="1" applyBorder="1">
      <alignment vertical="center"/>
    </xf>
    <xf numFmtId="187" fontId="53" fillId="15" borderId="26" xfId="15" applyNumberFormat="1" applyFont="1" applyFill="1" applyBorder="1" applyAlignment="1">
      <alignment vertical="center"/>
    </xf>
    <xf numFmtId="0" fontId="54" fillId="0" borderId="17" xfId="16" applyFont="1" applyBorder="1">
      <alignment vertical="center"/>
    </xf>
    <xf numFmtId="1" fontId="54" fillId="0" borderId="17" xfId="16" applyNumberFormat="1" applyFont="1" applyBorder="1">
      <alignment vertical="center"/>
    </xf>
    <xf numFmtId="9" fontId="54" fillId="0" borderId="17" xfId="17" applyFont="1" applyBorder="1">
      <alignment vertical="center"/>
    </xf>
    <xf numFmtId="9" fontId="54" fillId="0" borderId="17" xfId="16" applyNumberFormat="1" applyFont="1" applyBorder="1">
      <alignment vertical="center"/>
    </xf>
    <xf numFmtId="2" fontId="29" fillId="18" borderId="17" xfId="16" applyNumberFormat="1" applyFont="1" applyFill="1" applyBorder="1">
      <alignment vertical="center"/>
    </xf>
    <xf numFmtId="0" fontId="29" fillId="18" borderId="17" xfId="16" applyFont="1" applyFill="1" applyBorder="1">
      <alignment vertical="center"/>
    </xf>
    <xf numFmtId="187" fontId="56" fillId="0" borderId="0" xfId="17" applyNumberFormat="1" applyFont="1" applyBorder="1">
      <alignment vertical="center"/>
    </xf>
    <xf numFmtId="2" fontId="57" fillId="0" borderId="0" xfId="16" applyNumberFormat="1" applyFont="1" applyBorder="1">
      <alignment vertical="center"/>
    </xf>
    <xf numFmtId="2" fontId="52" fillId="0" borderId="0" xfId="16" applyNumberFormat="1" applyFont="1" applyFill="1" applyBorder="1">
      <alignment vertical="center"/>
    </xf>
    <xf numFmtId="2" fontId="55" fillId="15" borderId="15" xfId="15" applyNumberFormat="1" applyFont="1" applyFill="1" applyBorder="1" applyAlignment="1">
      <alignment vertical="center"/>
    </xf>
    <xf numFmtId="2" fontId="51" fillId="0" borderId="0" xfId="17" applyNumberFormat="1" applyFont="1" applyBorder="1">
      <alignment vertical="center"/>
    </xf>
    <xf numFmtId="2" fontId="51" fillId="0" borderId="18" xfId="17" applyNumberFormat="1" applyFont="1" applyBorder="1">
      <alignment vertical="center"/>
    </xf>
    <xf numFmtId="187" fontId="56" fillId="0" borderId="18" xfId="17" applyNumberFormat="1" applyFont="1" applyBorder="1">
      <alignment vertical="center"/>
    </xf>
    <xf numFmtId="187" fontId="54" fillId="0" borderId="18" xfId="17" applyNumberFormat="1" applyFont="1" applyBorder="1">
      <alignment vertical="center"/>
    </xf>
    <xf numFmtId="187" fontId="54" fillId="0" borderId="17" xfId="17" applyNumberFormat="1" applyFont="1" applyBorder="1">
      <alignment vertical="center"/>
    </xf>
    <xf numFmtId="187" fontId="56" fillId="0" borderId="17" xfId="17" applyNumberFormat="1" applyFont="1" applyBorder="1">
      <alignment vertical="center"/>
    </xf>
    <xf numFmtId="2" fontId="51" fillId="18" borderId="17" xfId="16" applyNumberFormat="1" applyFont="1" applyFill="1" applyBorder="1">
      <alignment vertical="center"/>
    </xf>
    <xf numFmtId="187" fontId="51" fillId="18" borderId="17" xfId="17" applyNumberFormat="1" applyFont="1" applyFill="1" applyBorder="1">
      <alignment vertical="center"/>
    </xf>
    <xf numFmtId="0" fontId="58" fillId="0" borderId="0" xfId="16" applyFont="1" applyBorder="1">
      <alignment vertical="center"/>
    </xf>
    <xf numFmtId="187" fontId="58" fillId="0" borderId="0" xfId="17" applyNumberFormat="1" applyFont="1" applyBorder="1">
      <alignment vertical="center"/>
    </xf>
    <xf numFmtId="2" fontId="58" fillId="0" borderId="0" xfId="16" applyNumberFormat="1" applyFont="1" applyBorder="1">
      <alignment vertical="center"/>
    </xf>
    <xf numFmtId="9" fontId="58" fillId="0" borderId="0" xfId="17" applyFont="1" applyBorder="1">
      <alignment vertical="center"/>
    </xf>
    <xf numFmtId="9" fontId="60" fillId="15" borderId="15" xfId="15" applyNumberFormat="1" applyFont="1" applyFill="1" applyBorder="1" applyAlignment="1">
      <alignment vertical="center"/>
    </xf>
    <xf numFmtId="9" fontId="62" fillId="0" borderId="0" xfId="17" applyFont="1" applyBorder="1">
      <alignment vertical="center"/>
    </xf>
    <xf numFmtId="194" fontId="51" fillId="0" borderId="0" xfId="16" applyNumberFormat="1" applyFont="1" applyBorder="1">
      <alignment vertical="center"/>
    </xf>
    <xf numFmtId="187" fontId="49" fillId="0" borderId="0" xfId="17" applyNumberFormat="1" applyFont="1" applyBorder="1">
      <alignment vertical="center"/>
    </xf>
    <xf numFmtId="194" fontId="51" fillId="0" borderId="0" xfId="16" applyNumberFormat="1" applyFont="1" applyBorder="1" applyAlignment="1">
      <alignment vertical="center"/>
    </xf>
    <xf numFmtId="9" fontId="51" fillId="0" borderId="0" xfId="17" applyFont="1" applyBorder="1" applyAlignment="1">
      <alignment vertical="center"/>
    </xf>
    <xf numFmtId="9" fontId="51" fillId="0" borderId="18" xfId="17" applyFont="1" applyBorder="1">
      <alignment vertical="center"/>
    </xf>
    <xf numFmtId="9" fontId="51" fillId="0" borderId="18" xfId="17" applyFont="1" applyBorder="1" applyAlignment="1">
      <alignment vertical="center"/>
    </xf>
    <xf numFmtId="194" fontId="51" fillId="0" borderId="18" xfId="16" applyNumberFormat="1" applyFont="1" applyBorder="1">
      <alignment vertical="center"/>
    </xf>
    <xf numFmtId="194" fontId="52" fillId="0" borderId="0" xfId="16" applyNumberFormat="1" applyFont="1" applyBorder="1">
      <alignment vertical="center"/>
    </xf>
    <xf numFmtId="9" fontId="54" fillId="0" borderId="18" xfId="16" applyNumberFormat="1" applyFont="1" applyBorder="1">
      <alignment vertical="center"/>
    </xf>
    <xf numFmtId="0" fontId="51" fillId="19" borderId="17" xfId="16" applyFont="1" applyFill="1" applyBorder="1">
      <alignment vertical="center"/>
    </xf>
    <xf numFmtId="2" fontId="51" fillId="19" borderId="17" xfId="16" applyNumberFormat="1" applyFont="1" applyFill="1" applyBorder="1">
      <alignment vertical="center"/>
    </xf>
    <xf numFmtId="9" fontId="51" fillId="19" borderId="17" xfId="17" applyFont="1" applyFill="1" applyBorder="1">
      <alignment vertical="center"/>
    </xf>
    <xf numFmtId="187" fontId="51" fillId="19" borderId="17" xfId="17" applyNumberFormat="1" applyFont="1" applyFill="1" applyBorder="1">
      <alignment vertical="center"/>
    </xf>
    <xf numFmtId="194" fontId="52" fillId="0" borderId="0" xfId="17" applyNumberFormat="1" applyFont="1" applyBorder="1">
      <alignment vertical="center"/>
    </xf>
    <xf numFmtId="194" fontId="51" fillId="0" borderId="0" xfId="17" applyNumberFormat="1" applyFont="1" applyBorder="1">
      <alignment vertical="center"/>
    </xf>
    <xf numFmtId="194" fontId="51" fillId="0" borderId="0" xfId="17" applyNumberFormat="1" applyFont="1" applyFill="1" applyBorder="1">
      <alignment vertical="center"/>
    </xf>
    <xf numFmtId="194" fontId="51" fillId="0" borderId="18" xfId="17" applyNumberFormat="1" applyFont="1" applyBorder="1">
      <alignment vertical="center"/>
    </xf>
    <xf numFmtId="187" fontId="58" fillId="0" borderId="18" xfId="17" applyNumberFormat="1" applyFont="1" applyBorder="1">
      <alignment vertical="center"/>
    </xf>
    <xf numFmtId="0" fontId="51" fillId="20" borderId="17" xfId="16" applyFont="1" applyFill="1" applyBorder="1">
      <alignment vertical="center"/>
    </xf>
    <xf numFmtId="186" fontId="51" fillId="20" borderId="17" xfId="16" applyNumberFormat="1" applyFont="1" applyFill="1" applyBorder="1">
      <alignment vertical="center"/>
    </xf>
    <xf numFmtId="187" fontId="51" fillId="0" borderId="0" xfId="17" applyNumberFormat="1" applyFont="1" applyFill="1" applyBorder="1">
      <alignment vertical="center"/>
    </xf>
    <xf numFmtId="187" fontId="51" fillId="0" borderId="18" xfId="17" applyNumberFormat="1" applyFont="1" applyBorder="1">
      <alignment vertical="center"/>
    </xf>
    <xf numFmtId="0" fontId="52" fillId="0" borderId="0" xfId="16" applyFont="1" applyFill="1">
      <alignment vertical="center"/>
    </xf>
    <xf numFmtId="0" fontId="52" fillId="0" borderId="0" xfId="16" applyFont="1" applyFill="1" applyBorder="1">
      <alignment vertical="center"/>
    </xf>
    <xf numFmtId="0" fontId="52" fillId="13" borderId="0" xfId="16" applyFont="1" applyFill="1" applyAlignment="1">
      <alignment horizontal="right" vertical="center"/>
    </xf>
    <xf numFmtId="0" fontId="83" fillId="0" borderId="0" xfId="18" applyFont="1">
      <alignment vertical="center"/>
    </xf>
    <xf numFmtId="192" fontId="83" fillId="0" borderId="0" xfId="18" applyNumberFormat="1" applyFont="1">
      <alignment vertical="center"/>
    </xf>
    <xf numFmtId="10" fontId="84" fillId="0" borderId="0" xfId="17" applyNumberFormat="1" applyFont="1">
      <alignment vertical="center"/>
    </xf>
    <xf numFmtId="10" fontId="85" fillId="0" borderId="0" xfId="17" applyNumberFormat="1" applyFont="1">
      <alignment vertical="center"/>
    </xf>
    <xf numFmtId="2" fontId="83" fillId="0" borderId="0" xfId="18" applyNumberFormat="1" applyFont="1">
      <alignment vertical="center"/>
    </xf>
    <xf numFmtId="1" fontId="83" fillId="0" borderId="0" xfId="18" applyNumberFormat="1" applyFont="1">
      <alignment vertical="center"/>
    </xf>
    <xf numFmtId="198" fontId="83" fillId="0" borderId="0" xfId="18" applyNumberFormat="1" applyFont="1">
      <alignment vertical="center"/>
    </xf>
    <xf numFmtId="194" fontId="83" fillId="0" borderId="0" xfId="18" applyNumberFormat="1" applyFont="1">
      <alignment vertical="center"/>
    </xf>
    <xf numFmtId="0" fontId="1" fillId="0" borderId="0" xfId="18" applyFont="1">
      <alignment vertical="center"/>
    </xf>
    <xf numFmtId="10" fontId="84" fillId="0" borderId="0" xfId="17" applyNumberFormat="1" applyFont="1" applyFill="1">
      <alignment vertical="center"/>
    </xf>
    <xf numFmtId="2" fontId="86" fillId="0" borderId="0" xfId="18" applyNumberFormat="1" applyFont="1" applyFill="1" applyBorder="1">
      <alignment vertical="center"/>
    </xf>
    <xf numFmtId="9" fontId="34" fillId="0" borderId="0" xfId="3" applyFont="1">
      <alignment vertical="center"/>
    </xf>
    <xf numFmtId="0" fontId="83" fillId="0" borderId="0" xfId="18" applyNumberFormat="1" applyFont="1">
      <alignment vertical="center"/>
    </xf>
    <xf numFmtId="0" fontId="34" fillId="0" borderId="0" xfId="16" applyFont="1" applyAlignment="1">
      <alignment horizontal="left" vertical="center" indent="1"/>
    </xf>
    <xf numFmtId="0" fontId="36" fillId="0" borderId="0" xfId="18" applyNumberFormat="1" applyFont="1" applyAlignment="1">
      <alignment horizontal="left" vertical="center"/>
    </xf>
    <xf numFmtId="2" fontId="36" fillId="0" borderId="0" xfId="18" applyNumberFormat="1" applyFont="1">
      <alignment vertical="center"/>
    </xf>
    <xf numFmtId="0" fontId="36" fillId="0" borderId="0" xfId="16" applyNumberFormat="1" applyFont="1">
      <alignment vertical="center"/>
    </xf>
    <xf numFmtId="2" fontId="36" fillId="0" borderId="0" xfId="16" applyNumberFormat="1" applyFont="1">
      <alignment vertical="center"/>
    </xf>
    <xf numFmtId="0" fontId="51" fillId="13" borderId="0" xfId="16" applyFont="1" applyFill="1" applyAlignment="1">
      <alignment horizontal="left" vertical="center" indent="1"/>
    </xf>
    <xf numFmtId="0" fontId="51" fillId="21" borderId="0" xfId="16" applyFont="1" applyFill="1">
      <alignment vertical="center"/>
    </xf>
    <xf numFmtId="0" fontId="87" fillId="0" borderId="0" xfId="16" applyFont="1" applyFill="1" applyBorder="1" applyAlignment="1">
      <alignment vertical="center"/>
    </xf>
    <xf numFmtId="187" fontId="84" fillId="0" borderId="0" xfId="17" applyNumberFormat="1" applyFont="1" applyAlignment="1">
      <alignment horizontal="left" vertical="center" indent="1"/>
    </xf>
    <xf numFmtId="0" fontId="84" fillId="0" borderId="0" xfId="18" applyFont="1" applyAlignment="1">
      <alignment horizontal="left" vertical="center" indent="1"/>
    </xf>
    <xf numFmtId="0" fontId="85" fillId="0" borderId="0" xfId="18" applyFont="1" applyAlignment="1">
      <alignment horizontal="left" vertical="center" indent="1"/>
    </xf>
    <xf numFmtId="0" fontId="5" fillId="0" borderId="0" xfId="0" applyFont="1" applyAlignment="1">
      <alignment horizontal="right"/>
    </xf>
    <xf numFmtId="43" fontId="5" fillId="0" borderId="0" xfId="0" applyNumberFormat="1" applyFont="1"/>
    <xf numFmtId="2" fontId="81" fillId="0" borderId="0" xfId="16" applyNumberFormat="1" applyFont="1" applyFill="1" applyBorder="1">
      <alignment vertical="center"/>
    </xf>
    <xf numFmtId="0" fontId="82" fillId="18" borderId="17" xfId="16" applyFont="1" applyFill="1" applyBorder="1">
      <alignment vertical="center"/>
    </xf>
    <xf numFmtId="0" fontId="51" fillId="0" borderId="0" xfId="16" applyFont="1" applyBorder="1" applyAlignment="1">
      <alignment horizontal="left" vertical="center"/>
    </xf>
    <xf numFmtId="0" fontId="54" fillId="0" borderId="0" xfId="16" applyFont="1" applyBorder="1" applyAlignment="1">
      <alignment horizontal="left" vertical="center" indent="1"/>
    </xf>
    <xf numFmtId="0" fontId="54" fillId="0" borderId="18" xfId="16" applyFont="1" applyBorder="1" applyAlignment="1">
      <alignment horizontal="left" vertical="center" indent="1"/>
    </xf>
    <xf numFmtId="0" fontId="30" fillId="0" borderId="0" xfId="16" applyFont="1" applyBorder="1" applyAlignment="1">
      <alignment vertical="center"/>
    </xf>
    <xf numFmtId="0" fontId="56" fillId="0" borderId="0" xfId="16" applyFont="1" applyBorder="1" applyAlignment="1">
      <alignment horizontal="left" vertical="center" indent="1"/>
    </xf>
    <xf numFmtId="0" fontId="51" fillId="0" borderId="0" xfId="16" applyFont="1" applyBorder="1" applyAlignment="1">
      <alignment horizontal="left" vertical="center" indent="1"/>
    </xf>
    <xf numFmtId="0" fontId="52" fillId="0" borderId="0" xfId="16" applyFont="1" applyBorder="1" applyAlignment="1">
      <alignment horizontal="left" vertical="center"/>
    </xf>
    <xf numFmtId="0" fontId="54" fillId="0" borderId="17" xfId="16" applyFont="1" applyBorder="1" applyAlignment="1">
      <alignment horizontal="left" vertical="center" indent="1"/>
    </xf>
    <xf numFmtId="0" fontId="29" fillId="0" borderId="0" xfId="16" applyFont="1" applyBorder="1" applyAlignment="1">
      <alignment horizontal="left" vertical="center" indent="1"/>
    </xf>
    <xf numFmtId="0" fontId="51" fillId="0" borderId="0" xfId="16" applyFont="1" applyBorder="1" applyAlignment="1">
      <alignment horizontal="left" vertical="center" indent="2"/>
    </xf>
    <xf numFmtId="0" fontId="81" fillId="0" borderId="0" xfId="16" applyFont="1" applyBorder="1" applyAlignment="1">
      <alignment horizontal="left" vertical="center" indent="2"/>
    </xf>
    <xf numFmtId="0" fontId="54" fillId="0" borderId="0" xfId="16" applyFont="1" applyBorder="1" applyAlignment="1">
      <alignment horizontal="left" vertical="center" indent="2"/>
    </xf>
    <xf numFmtId="0" fontId="56" fillId="0" borderId="0" xfId="16" applyFont="1" applyBorder="1" applyAlignment="1">
      <alignment horizontal="left" vertical="center" indent="2"/>
    </xf>
    <xf numFmtId="0" fontId="51" fillId="0" borderId="18" xfId="16" applyFont="1" applyBorder="1" applyAlignment="1">
      <alignment horizontal="left" vertical="center" indent="1"/>
    </xf>
    <xf numFmtId="0" fontId="82" fillId="18" borderId="17" xfId="16" applyFont="1" applyFill="1" applyBorder="1" applyAlignment="1">
      <alignment vertical="center"/>
    </xf>
    <xf numFmtId="0" fontId="52" fillId="0" borderId="0" xfId="16" applyFont="1" applyBorder="1" applyAlignment="1">
      <alignment vertical="center"/>
    </xf>
    <xf numFmtId="0" fontId="52" fillId="0" borderId="0" xfId="16" applyFont="1" applyBorder="1" applyAlignment="1">
      <alignment horizontal="left" vertical="center" indent="1"/>
    </xf>
    <xf numFmtId="0" fontId="54" fillId="0" borderId="17" xfId="16" applyFont="1" applyBorder="1" applyAlignment="1">
      <alignment horizontal="left" vertical="center" indent="2"/>
    </xf>
    <xf numFmtId="0" fontId="56" fillId="0" borderId="17" xfId="16" applyFont="1" applyBorder="1" applyAlignment="1">
      <alignment horizontal="left" vertical="center" indent="2"/>
    </xf>
    <xf numFmtId="0" fontId="51" fillId="0" borderId="0" xfId="16" applyFont="1" applyBorder="1" applyAlignment="1">
      <alignment horizontal="left" vertical="center" indent="3"/>
    </xf>
    <xf numFmtId="0" fontId="56" fillId="0" borderId="18" xfId="16" applyFont="1" applyBorder="1" applyAlignment="1">
      <alignment horizontal="left" vertical="center" indent="2"/>
    </xf>
    <xf numFmtId="0" fontId="58" fillId="0" borderId="0" xfId="16" applyFont="1" applyBorder="1" applyAlignment="1">
      <alignment horizontal="left" vertical="center" indent="1"/>
    </xf>
    <xf numFmtId="0" fontId="60" fillId="0" borderId="0" xfId="16" applyFont="1" applyBorder="1" applyAlignment="1">
      <alignment horizontal="left" vertical="center" indent="2"/>
    </xf>
    <xf numFmtId="0" fontId="54" fillId="0" borderId="18" xfId="16" applyFont="1" applyBorder="1" applyAlignment="1">
      <alignment horizontal="left" vertical="center" indent="2"/>
    </xf>
    <xf numFmtId="0" fontId="82" fillId="19" borderId="17" xfId="16" applyFont="1" applyFill="1" applyBorder="1">
      <alignment vertical="center"/>
    </xf>
    <xf numFmtId="0" fontId="51" fillId="0" borderId="0" xfId="16" applyFont="1" applyBorder="1" applyAlignment="1">
      <alignment vertical="center"/>
    </xf>
    <xf numFmtId="0" fontId="58" fillId="0" borderId="18" xfId="16" applyFont="1" applyBorder="1" applyAlignment="1">
      <alignment horizontal="left" vertical="center" indent="1"/>
    </xf>
    <xf numFmtId="0" fontId="82" fillId="20" borderId="17" xfId="16" applyFont="1" applyFill="1" applyBorder="1">
      <alignment vertical="center"/>
    </xf>
    <xf numFmtId="0" fontId="52" fillId="0" borderId="0" xfId="16" applyFont="1" applyFill="1" applyBorder="1" applyAlignment="1">
      <alignment horizontal="left" vertical="center"/>
    </xf>
    <xf numFmtId="0" fontId="51" fillId="0" borderId="0" xfId="16" applyFont="1" applyFill="1" applyBorder="1" applyAlignment="1">
      <alignment horizontal="left" vertical="center" indent="1"/>
    </xf>
    <xf numFmtId="194" fontId="30" fillId="0" borderId="0" xfId="16" applyNumberFormat="1" applyFont="1" applyBorder="1" applyAlignment="1">
      <alignment vertical="center"/>
    </xf>
    <xf numFmtId="10" fontId="54" fillId="0" borderId="17" xfId="16" applyNumberFormat="1" applyFont="1" applyBorder="1">
      <alignment vertical="center"/>
    </xf>
    <xf numFmtId="0" fontId="51" fillId="0" borderId="0" xfId="16" applyFont="1" applyFill="1" applyBorder="1" applyAlignment="1">
      <alignment horizontal="left" vertical="center"/>
    </xf>
    <xf numFmtId="0" fontId="54" fillId="0" borderId="0" xfId="16" applyFont="1" applyFill="1" applyBorder="1" applyAlignment="1">
      <alignment horizontal="left" vertical="center" indent="1"/>
    </xf>
    <xf numFmtId="0" fontId="30" fillId="0" borderId="0" xfId="16" applyFont="1" applyFill="1" applyBorder="1" applyAlignment="1">
      <alignment vertical="center"/>
    </xf>
    <xf numFmtId="0" fontId="56" fillId="0" borderId="0" xfId="16" applyFont="1" applyFill="1" applyBorder="1" applyAlignment="1">
      <alignment horizontal="left" vertical="center" indent="1"/>
    </xf>
    <xf numFmtId="0" fontId="29" fillId="0" borderId="0" xfId="16" applyFont="1" applyFill="1" applyBorder="1" applyAlignment="1">
      <alignment horizontal="left" vertical="center" indent="1"/>
    </xf>
    <xf numFmtId="0" fontId="51" fillId="0" borderId="0" xfId="16" applyFont="1" applyFill="1" applyBorder="1" applyAlignment="1">
      <alignment horizontal="left" vertical="center" indent="2"/>
    </xf>
    <xf numFmtId="0" fontId="81" fillId="0" borderId="0" xfId="16" applyFont="1" applyFill="1" applyBorder="1" applyAlignment="1">
      <alignment horizontal="left" vertical="center" indent="2"/>
    </xf>
    <xf numFmtId="0" fontId="54" fillId="0" borderId="0" xfId="16" applyFont="1" applyFill="1" applyBorder="1" applyAlignment="1">
      <alignment horizontal="left" vertical="center" indent="2"/>
    </xf>
    <xf numFmtId="0" fontId="56" fillId="0" borderId="0" xfId="16" applyFont="1" applyFill="1" applyBorder="1" applyAlignment="1">
      <alignment horizontal="left" vertical="center" indent="2"/>
    </xf>
    <xf numFmtId="0" fontId="52" fillId="0" borderId="0" xfId="16" applyFont="1" applyFill="1" applyBorder="1" applyAlignment="1">
      <alignment vertical="center"/>
    </xf>
    <xf numFmtId="0" fontId="52" fillId="0" borderId="0" xfId="16" applyFont="1" applyFill="1" applyBorder="1" applyAlignment="1">
      <alignment horizontal="left" vertical="center" indent="1"/>
    </xf>
    <xf numFmtId="0" fontId="51" fillId="0" borderId="0" xfId="16" applyFont="1" applyFill="1" applyBorder="1" applyAlignment="1">
      <alignment horizontal="left" vertical="center" indent="3"/>
    </xf>
    <xf numFmtId="0" fontId="58" fillId="0" borderId="0" xfId="16" applyFont="1" applyFill="1" applyBorder="1" applyAlignment="1">
      <alignment horizontal="left" vertical="center" indent="1"/>
    </xf>
    <xf numFmtId="0" fontId="60" fillId="0" borderId="0" xfId="16" applyFont="1" applyFill="1" applyBorder="1" applyAlignment="1">
      <alignment horizontal="left" vertical="center" indent="2"/>
    </xf>
    <xf numFmtId="0" fontId="51" fillId="0" borderId="0" xfId="16" applyFont="1" applyFill="1" applyBorder="1" applyAlignment="1">
      <alignment vertical="center"/>
    </xf>
    <xf numFmtId="0" fontId="82" fillId="0" borderId="0" xfId="16" applyFont="1" applyFill="1" applyBorder="1">
      <alignment vertical="center"/>
    </xf>
    <xf numFmtId="0" fontId="82" fillId="0" borderId="0" xfId="16" applyFont="1" applyFill="1" applyBorder="1" applyAlignment="1">
      <alignment vertical="center"/>
    </xf>
    <xf numFmtId="194" fontId="29" fillId="0" borderId="0" xfId="16" applyNumberFormat="1" applyFont="1" applyBorder="1" applyAlignment="1">
      <alignment vertical="center"/>
    </xf>
    <xf numFmtId="187" fontId="54" fillId="0" borderId="0" xfId="16" applyNumberFormat="1" applyFont="1" applyBorder="1">
      <alignment vertical="center"/>
    </xf>
    <xf numFmtId="0" fontId="54" fillId="0" borderId="0" xfId="16" applyFont="1" applyBorder="1" applyAlignment="1">
      <alignment horizontal="right" vertical="center"/>
    </xf>
    <xf numFmtId="0" fontId="49" fillId="0" borderId="0" xfId="16" applyFont="1" applyBorder="1">
      <alignment vertical="center"/>
    </xf>
    <xf numFmtId="0" fontId="56" fillId="0" borderId="0" xfId="16" applyFont="1" applyBorder="1" applyAlignment="1">
      <alignment horizontal="right" vertical="center"/>
    </xf>
    <xf numFmtId="0" fontId="59" fillId="0" borderId="0" xfId="16" applyFont="1" applyBorder="1">
      <alignment vertical="center"/>
    </xf>
    <xf numFmtId="0" fontId="56" fillId="0" borderId="0" xfId="16" applyFont="1" applyBorder="1">
      <alignment vertical="center"/>
    </xf>
    <xf numFmtId="0" fontId="52" fillId="0" borderId="0" xfId="16" applyFont="1" applyBorder="1" applyAlignment="1">
      <alignment horizontal="right" vertical="center"/>
    </xf>
    <xf numFmtId="2" fontId="29" fillId="0" borderId="0" xfId="16" applyNumberFormat="1" applyFont="1" applyBorder="1" applyAlignment="1">
      <alignment vertical="center"/>
    </xf>
    <xf numFmtId="194" fontId="29" fillId="0" borderId="18" xfId="16" applyNumberFormat="1" applyFont="1" applyBorder="1" applyAlignment="1">
      <alignment vertical="center"/>
    </xf>
    <xf numFmtId="192" fontId="83" fillId="0" borderId="0" xfId="16" applyNumberFormat="1" applyFont="1" applyFill="1" applyAlignment="1">
      <alignment vertical="center"/>
    </xf>
    <xf numFmtId="2" fontId="83" fillId="0" borderId="0" xfId="16" applyNumberFormat="1" applyFont="1" applyFill="1" applyAlignment="1">
      <alignment vertical="center"/>
    </xf>
    <xf numFmtId="9" fontId="61" fillId="15" borderId="15" xfId="15" applyNumberFormat="1" applyFont="1" applyFill="1" applyBorder="1" applyAlignment="1">
      <alignment vertical="center"/>
    </xf>
    <xf numFmtId="186" fontId="51" fillId="0" borderId="0" xfId="17" applyNumberFormat="1" applyFont="1" applyBorder="1">
      <alignment vertical="center"/>
    </xf>
    <xf numFmtId="187" fontId="51" fillId="0" borderId="0" xfId="3" applyNumberFormat="1" applyFont="1">
      <alignment vertical="center"/>
    </xf>
    <xf numFmtId="0" fontId="51" fillId="18" borderId="0" xfId="16" applyFont="1" applyFill="1" applyBorder="1">
      <alignment vertical="center"/>
    </xf>
    <xf numFmtId="0" fontId="88" fillId="0" borderId="0" xfId="16" applyFont="1" applyBorder="1">
      <alignment vertical="center"/>
    </xf>
    <xf numFmtId="0" fontId="88" fillId="0" borderId="0" xfId="16" applyFont="1" applyBorder="1" applyAlignment="1">
      <alignment horizontal="left" vertical="center" indent="1"/>
    </xf>
    <xf numFmtId="191" fontId="88" fillId="0" borderId="0" xfId="17" applyNumberFormat="1" applyFont="1" applyBorder="1">
      <alignment vertical="center"/>
    </xf>
    <xf numFmtId="0" fontId="88" fillId="0" borderId="0" xfId="16" applyFont="1" applyFill="1" applyBorder="1" applyAlignment="1">
      <alignment horizontal="left" vertical="center" indent="1"/>
    </xf>
    <xf numFmtId="9" fontId="88" fillId="0" borderId="0" xfId="17" applyFont="1" applyBorder="1">
      <alignment vertical="center"/>
    </xf>
    <xf numFmtId="0" fontId="88" fillId="0" borderId="0" xfId="16" applyFont="1">
      <alignment vertical="center"/>
    </xf>
    <xf numFmtId="1" fontId="88" fillId="0" borderId="0" xfId="16" applyNumberFormat="1" applyFont="1">
      <alignment vertical="center"/>
    </xf>
    <xf numFmtId="10" fontId="51" fillId="0" borderId="0" xfId="3" applyNumberFormat="1" applyFont="1">
      <alignment vertical="center"/>
    </xf>
    <xf numFmtId="0" fontId="34" fillId="13" borderId="18" xfId="16" applyNumberFormat="1" applyFont="1" applyFill="1" applyBorder="1" applyAlignment="1">
      <alignment vertical="center"/>
    </xf>
    <xf numFmtId="0" fontId="82" fillId="18" borderId="0" xfId="16" applyFont="1" applyFill="1" applyBorder="1">
      <alignment vertical="center"/>
    </xf>
    <xf numFmtId="0" fontId="34" fillId="0" borderId="3" xfId="0" applyFont="1" applyBorder="1" applyAlignment="1">
      <alignment vertical="center"/>
    </xf>
    <xf numFmtId="0" fontId="34" fillId="0" borderId="4" xfId="0" applyFont="1" applyBorder="1" applyAlignment="1">
      <alignment vertical="center"/>
    </xf>
    <xf numFmtId="0" fontId="34" fillId="0" borderId="3" xfId="0" applyFont="1" applyBorder="1" applyAlignment="1">
      <alignment horizontal="left" vertical="center"/>
    </xf>
    <xf numFmtId="0" fontId="34" fillId="0" borderId="4" xfId="0" applyFont="1" applyBorder="1" applyAlignment="1">
      <alignment horizontal="left" vertical="center"/>
    </xf>
    <xf numFmtId="0" fontId="34" fillId="0" borderId="5" xfId="0" applyFont="1" applyBorder="1" applyAlignment="1">
      <alignment horizontal="left" vertical="center"/>
    </xf>
    <xf numFmtId="177" fontId="34" fillId="0" borderId="14" xfId="2" applyNumberFormat="1" applyFont="1" applyFill="1" applyBorder="1" applyAlignment="1">
      <alignment horizontal="center"/>
    </xf>
    <xf numFmtId="0" fontId="34" fillId="9" borderId="2" xfId="5" applyFont="1" applyFill="1" applyBorder="1" applyAlignment="1">
      <alignment horizontal="center" vertical="center"/>
    </xf>
    <xf numFmtId="0" fontId="34" fillId="0" borderId="0" xfId="19" applyNumberFormat="1" applyFont="1">
      <alignment vertical="center"/>
    </xf>
    <xf numFmtId="0" fontId="36" fillId="0" borderId="0" xfId="19" applyNumberFormat="1" applyFont="1">
      <alignment vertical="center"/>
    </xf>
    <xf numFmtId="187" fontId="51" fillId="13" borderId="0" xfId="3" applyNumberFormat="1" applyFont="1" applyFill="1">
      <alignment vertical="center"/>
    </xf>
    <xf numFmtId="181" fontId="34" fillId="0" borderId="0" xfId="0" applyNumberFormat="1" applyFont="1" applyBorder="1" applyAlignment="1">
      <alignment vertical="center"/>
    </xf>
    <xf numFmtId="0" fontId="34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189" fontId="34" fillId="0" borderId="0" xfId="0" applyNumberFormat="1" applyFont="1" applyBorder="1" applyAlignment="1">
      <alignment vertical="center"/>
    </xf>
    <xf numFmtId="0" fontId="31" fillId="0" borderId="3" xfId="0" applyFont="1" applyBorder="1" applyAlignment="1"/>
    <xf numFmtId="0" fontId="31" fillId="0" borderId="4" xfId="0" applyFont="1" applyBorder="1" applyAlignment="1"/>
    <xf numFmtId="0" fontId="34" fillId="0" borderId="0" xfId="0" applyFont="1" applyBorder="1" applyAlignment="1">
      <alignment horizontal="center" vertical="center"/>
    </xf>
    <xf numFmtId="3" fontId="34" fillId="2" borderId="0" xfId="0" applyNumberFormat="1" applyFont="1" applyFill="1" applyBorder="1" applyAlignment="1">
      <alignment vertical="center"/>
    </xf>
    <xf numFmtId="0" fontId="31" fillId="0" borderId="3" xfId="0" applyFont="1" applyFill="1" applyBorder="1" applyAlignment="1">
      <alignment vertical="center"/>
    </xf>
    <xf numFmtId="0" fontId="31" fillId="0" borderId="4" xfId="0" applyFont="1" applyFill="1" applyBorder="1" applyAlignment="1">
      <alignment vertical="center"/>
    </xf>
    <xf numFmtId="0" fontId="34" fillId="9" borderId="3" xfId="0" applyFont="1" applyFill="1" applyBorder="1" applyAlignment="1">
      <alignment vertical="center"/>
    </xf>
    <xf numFmtId="0" fontId="34" fillId="9" borderId="4" xfId="0" applyFont="1" applyFill="1" applyBorder="1" applyAlignment="1">
      <alignment vertical="center"/>
    </xf>
    <xf numFmtId="177" fontId="34" fillId="0" borderId="0" xfId="2" applyNumberFormat="1" applyFont="1" applyFill="1" applyBorder="1" applyAlignment="1"/>
    <xf numFmtId="178" fontId="41" fillId="3" borderId="3" xfId="1" applyNumberFormat="1" applyFont="1" applyFill="1" applyBorder="1" applyAlignment="1">
      <alignment vertical="center"/>
    </xf>
    <xf numFmtId="178" fontId="41" fillId="3" borderId="4" xfId="1" applyNumberFormat="1" applyFont="1" applyFill="1" applyBorder="1" applyAlignment="1">
      <alignment vertical="center"/>
    </xf>
    <xf numFmtId="43" fontId="31" fillId="2" borderId="2" xfId="2" applyNumberFormat="1" applyFont="1" applyFill="1" applyBorder="1" applyAlignment="1">
      <alignment vertical="center"/>
    </xf>
    <xf numFmtId="184" fontId="31" fillId="2" borderId="2" xfId="2" applyNumberFormat="1" applyFont="1" applyFill="1" applyBorder="1" applyAlignment="1">
      <alignment vertical="center"/>
    </xf>
    <xf numFmtId="0" fontId="56" fillId="0" borderId="0" xfId="16" applyFont="1" applyBorder="1" applyAlignment="1">
      <alignment horizontal="left" vertical="center" indent="3"/>
    </xf>
    <xf numFmtId="0" fontId="56" fillId="0" borderId="0" xfId="16" applyFont="1" applyBorder="1" applyAlignment="1">
      <alignment horizontal="left" vertical="center" indent="4"/>
    </xf>
    <xf numFmtId="187" fontId="53" fillId="15" borderId="15" xfId="3" applyNumberFormat="1" applyFont="1" applyFill="1" applyBorder="1" applyAlignment="1">
      <alignment vertical="center"/>
    </xf>
    <xf numFmtId="192" fontId="51" fillId="0" borderId="0" xfId="16" applyNumberFormat="1" applyFont="1">
      <alignment vertical="center"/>
    </xf>
    <xf numFmtId="194" fontId="51" fillId="0" borderId="0" xfId="16" applyNumberFormat="1" applyFont="1" applyFill="1" applyBorder="1">
      <alignment vertical="center"/>
    </xf>
    <xf numFmtId="194" fontId="81" fillId="0" borderId="0" xfId="16" applyNumberFormat="1" applyFont="1">
      <alignment vertical="center"/>
    </xf>
    <xf numFmtId="0" fontId="58" fillId="0" borderId="0" xfId="16" applyFont="1" applyAlignment="1">
      <alignment horizontal="left" vertical="center" indent="1"/>
    </xf>
    <xf numFmtId="187" fontId="58" fillId="0" borderId="0" xfId="16" applyNumberFormat="1" applyFont="1" applyBorder="1">
      <alignment vertical="center"/>
    </xf>
    <xf numFmtId="187" fontId="58" fillId="0" borderId="18" xfId="16" applyNumberFormat="1" applyFont="1" applyBorder="1">
      <alignment vertical="center"/>
    </xf>
    <xf numFmtId="0" fontId="51" fillId="0" borderId="18" xfId="16" applyFont="1" applyFill="1" applyBorder="1">
      <alignment vertical="center"/>
    </xf>
    <xf numFmtId="0" fontId="32" fillId="0" borderId="3" xfId="6" applyFont="1" applyFill="1" applyBorder="1" applyAlignment="1">
      <alignment horizontal="left" vertical="center"/>
    </xf>
    <xf numFmtId="0" fontId="32" fillId="0" borderId="4" xfId="6" applyFont="1" applyFill="1" applyBorder="1" applyAlignment="1">
      <alignment horizontal="left" vertical="center"/>
    </xf>
    <xf numFmtId="0" fontId="32" fillId="0" borderId="5" xfId="6" applyFont="1" applyFill="1" applyBorder="1" applyAlignment="1">
      <alignment horizontal="left" vertical="center"/>
    </xf>
    <xf numFmtId="0" fontId="34" fillId="0" borderId="3" xfId="0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32" fillId="3" borderId="3" xfId="0" applyFont="1" applyFill="1" applyBorder="1" applyAlignment="1" applyProtection="1">
      <alignment vertical="center"/>
      <protection hidden="1"/>
    </xf>
    <xf numFmtId="0" fontId="32" fillId="3" borderId="4" xfId="0" applyFont="1" applyFill="1" applyBorder="1" applyAlignment="1" applyProtection="1">
      <alignment vertical="center"/>
      <protection hidden="1"/>
    </xf>
    <xf numFmtId="0" fontId="32" fillId="3" borderId="5" xfId="0" applyFont="1" applyFill="1" applyBorder="1" applyAlignment="1" applyProtection="1">
      <alignment vertical="center"/>
      <protection hidden="1"/>
    </xf>
    <xf numFmtId="0" fontId="34" fillId="0" borderId="3" xfId="0" applyFont="1" applyBorder="1" applyAlignment="1">
      <alignment vertical="center"/>
    </xf>
    <xf numFmtId="0" fontId="34" fillId="0" borderId="4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34" fillId="0" borderId="3" xfId="0" applyFont="1" applyBorder="1" applyAlignment="1">
      <alignment horizontal="left" vertical="center"/>
    </xf>
    <xf numFmtId="0" fontId="34" fillId="0" borderId="4" xfId="0" applyFont="1" applyBorder="1" applyAlignment="1">
      <alignment horizontal="left" vertical="center"/>
    </xf>
    <xf numFmtId="0" fontId="34" fillId="0" borderId="5" xfId="0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32" fillId="3" borderId="6" xfId="0" applyFont="1" applyFill="1" applyBorder="1" applyAlignment="1" applyProtection="1">
      <alignment horizontal="center" vertical="center"/>
      <protection hidden="1"/>
    </xf>
    <xf numFmtId="0" fontId="32" fillId="3" borderId="1" xfId="0" applyFont="1" applyFill="1" applyBorder="1" applyAlignment="1" applyProtection="1">
      <alignment horizontal="center" vertical="center"/>
      <protection hidden="1"/>
    </xf>
    <xf numFmtId="0" fontId="32" fillId="3" borderId="8" xfId="0" applyFont="1" applyFill="1" applyBorder="1" applyAlignment="1" applyProtection="1">
      <alignment horizontal="center" vertical="center"/>
      <protection hidden="1"/>
    </xf>
    <xf numFmtId="0" fontId="32" fillId="3" borderId="0" xfId="0" applyFont="1" applyFill="1" applyBorder="1" applyAlignment="1" applyProtection="1">
      <alignment horizontal="center" vertical="center"/>
      <protection hidden="1"/>
    </xf>
    <xf numFmtId="0" fontId="32" fillId="3" borderId="10" xfId="0" applyFont="1" applyFill="1" applyBorder="1" applyAlignment="1" applyProtection="1">
      <alignment horizontal="center" vertical="center"/>
      <protection hidden="1"/>
    </xf>
    <xf numFmtId="0" fontId="32" fillId="3" borderId="11" xfId="0" applyFont="1" applyFill="1" applyBorder="1" applyAlignment="1" applyProtection="1">
      <alignment horizontal="center" vertical="center"/>
      <protection hidden="1"/>
    </xf>
    <xf numFmtId="0" fontId="32" fillId="3" borderId="3" xfId="0" applyFont="1" applyFill="1" applyBorder="1" applyAlignment="1" applyProtection="1">
      <alignment horizontal="left" vertical="center"/>
      <protection hidden="1"/>
    </xf>
    <xf numFmtId="0" fontId="32" fillId="3" borderId="4" xfId="0" applyFont="1" applyFill="1" applyBorder="1" applyAlignment="1" applyProtection="1">
      <alignment horizontal="left" vertical="center"/>
      <protection hidden="1"/>
    </xf>
    <xf numFmtId="0" fontId="32" fillId="3" borderId="5" xfId="0" applyFont="1" applyFill="1" applyBorder="1" applyAlignment="1" applyProtection="1">
      <alignment horizontal="left" vertical="center"/>
      <protection hidden="1"/>
    </xf>
    <xf numFmtId="0" fontId="34" fillId="0" borderId="6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34" fillId="0" borderId="8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1" fillId="0" borderId="3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177" fontId="34" fillId="0" borderId="13" xfId="2" applyNumberFormat="1" applyFont="1" applyFill="1" applyBorder="1" applyAlignment="1">
      <alignment horizontal="center"/>
    </xf>
    <xf numFmtId="177" fontId="34" fillId="0" borderId="14" xfId="2" applyNumberFormat="1" applyFont="1" applyFill="1" applyBorder="1" applyAlignment="1">
      <alignment horizontal="center"/>
    </xf>
    <xf numFmtId="0" fontId="0" fillId="0" borderId="2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24" xfId="0" applyBorder="1" applyAlignment="1">
      <alignment horizontal="right"/>
    </xf>
    <xf numFmtId="0" fontId="0" fillId="0" borderId="18" xfId="0" applyBorder="1" applyAlignment="1">
      <alignment horizontal="right"/>
    </xf>
    <xf numFmtId="43" fontId="31" fillId="0" borderId="3" xfId="0" applyNumberFormat="1" applyFont="1" applyFill="1" applyBorder="1" applyAlignment="1">
      <alignment horizontal="center"/>
    </xf>
    <xf numFmtId="43" fontId="31" fillId="0" borderId="4" xfId="0" applyNumberFormat="1" applyFont="1" applyFill="1" applyBorder="1" applyAlignment="1">
      <alignment horizontal="center"/>
    </xf>
    <xf numFmtId="43" fontId="31" fillId="0" borderId="5" xfId="0" applyNumberFormat="1" applyFont="1" applyFill="1" applyBorder="1" applyAlignment="1">
      <alignment horizontal="center"/>
    </xf>
    <xf numFmtId="0" fontId="31" fillId="0" borderId="3" xfId="0" applyFont="1" applyFill="1" applyBorder="1" applyAlignment="1">
      <alignment horizontal="left"/>
    </xf>
    <xf numFmtId="0" fontId="31" fillId="0" borderId="4" xfId="0" applyFont="1" applyFill="1" applyBorder="1" applyAlignment="1">
      <alignment horizontal="left"/>
    </xf>
    <xf numFmtId="0" fontId="31" fillId="0" borderId="5" xfId="0" applyFont="1" applyFill="1" applyBorder="1" applyAlignment="1">
      <alignment horizontal="left"/>
    </xf>
    <xf numFmtId="0" fontId="32" fillId="0" borderId="3" xfId="0" applyFont="1" applyFill="1" applyBorder="1" applyAlignment="1">
      <alignment horizontal="left"/>
    </xf>
    <xf numFmtId="0" fontId="32" fillId="0" borderId="4" xfId="0" applyFont="1" applyFill="1" applyBorder="1" applyAlignment="1">
      <alignment horizontal="left"/>
    </xf>
    <xf numFmtId="0" fontId="32" fillId="0" borderId="5" xfId="0" applyFont="1" applyFill="1" applyBorder="1" applyAlignment="1">
      <alignment horizontal="left"/>
    </xf>
    <xf numFmtId="0" fontId="32" fillId="0" borderId="3" xfId="0" applyFont="1" applyFill="1" applyBorder="1" applyAlignment="1">
      <alignment horizontal="left" vertical="center"/>
    </xf>
    <xf numFmtId="0" fontId="32" fillId="0" borderId="4" xfId="0" applyFont="1" applyFill="1" applyBorder="1" applyAlignment="1">
      <alignment horizontal="left" vertical="center"/>
    </xf>
    <xf numFmtId="0" fontId="32" fillId="0" borderId="5" xfId="0" applyFont="1" applyFill="1" applyBorder="1" applyAlignment="1">
      <alignment horizontal="left" vertical="center"/>
    </xf>
    <xf numFmtId="0" fontId="34" fillId="12" borderId="6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2" borderId="0" xfId="0" applyFont="1" applyFill="1" applyBorder="1" applyAlignment="1">
      <alignment horizontal="center"/>
    </xf>
    <xf numFmtId="0" fontId="34" fillId="12" borderId="9" xfId="0" applyFont="1" applyFill="1" applyBorder="1" applyAlignment="1">
      <alignment horizontal="center"/>
    </xf>
    <xf numFmtId="0" fontId="34" fillId="12" borderId="10" xfId="0" applyFont="1" applyFill="1" applyBorder="1" applyAlignment="1">
      <alignment horizontal="center"/>
    </xf>
    <xf numFmtId="0" fontId="34" fillId="12" borderId="11" xfId="0" applyFont="1" applyFill="1" applyBorder="1" applyAlignment="1">
      <alignment horizontal="center"/>
    </xf>
    <xf numFmtId="0" fontId="34" fillId="12" borderId="12" xfId="0" applyFont="1" applyFill="1" applyBorder="1" applyAlignment="1">
      <alignment horizontal="center"/>
    </xf>
    <xf numFmtId="0" fontId="34" fillId="9" borderId="2" xfId="5" applyFont="1" applyFill="1" applyBorder="1" applyAlignment="1">
      <alignment horizontal="center" vertical="center" wrapText="1"/>
    </xf>
    <xf numFmtId="0" fontId="34" fillId="9" borderId="2" xfId="5" applyFont="1" applyFill="1" applyBorder="1" applyAlignment="1">
      <alignment horizontal="center" vertical="center"/>
    </xf>
  </cellXfs>
  <cellStyles count="21">
    <cellStyle name="%格式" xfId="4"/>
    <cellStyle name="百分比" xfId="3" builtinId="5"/>
    <cellStyle name="百分比 2" xfId="14"/>
    <cellStyle name="百分比 3" xfId="17"/>
    <cellStyle name="百分比 4" xfId="20"/>
    <cellStyle name="常规" xfId="0" builtinId="0"/>
    <cellStyle name="常规 2" xfId="5"/>
    <cellStyle name="常规 2 2" xfId="9"/>
    <cellStyle name="常规 3" xfId="6"/>
    <cellStyle name="常规 4" xfId="11"/>
    <cellStyle name="常规 4 2" xfId="8"/>
    <cellStyle name="常规 5" xfId="12"/>
    <cellStyle name="常规 5 2" xfId="18"/>
    <cellStyle name="常规 6" xfId="16"/>
    <cellStyle name="超链接" xfId="7" builtinId="8"/>
    <cellStyle name="千位分隔" xfId="2" builtinId="3"/>
    <cellStyle name="千位分隔 2" xfId="10"/>
    <cellStyle name="千位分隔 3" xfId="13"/>
    <cellStyle name="千位分隔 4" xfId="19"/>
    <cellStyle name="千位分隔[0]" xfId="1" builtinId="6"/>
    <cellStyle name="输入" xfId="15" builtinId="20"/>
  </cellStyles>
  <dxfs count="6"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font>
        <b val="0"/>
        <strike val="0"/>
        <outline val="0"/>
        <shadow val="0"/>
        <u val="none"/>
        <vertAlign val="baseline"/>
        <sz val="10"/>
        <color auto="1"/>
        <name val="宋体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Medium9"/>
  <colors>
    <mruColors>
      <color rgb="FFFF9900"/>
      <color rgb="FF004E9D"/>
      <color rgb="FF996600"/>
      <color rgb="FF4362E5"/>
      <color rgb="FFFFCC00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Style" Target="style2.xml"/><Relationship Id="rId2" Type="http://schemas.microsoft.com/office/2011/relationships/chartColorStyle" Target="colors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Style" Target="style3.xml"/><Relationship Id="rId2" Type="http://schemas.microsoft.com/office/2011/relationships/chartColorStyle" Target="colors3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Style" Target="style4.xml"/><Relationship Id="rId2" Type="http://schemas.microsoft.com/office/2011/relationships/chartColorStyle" Target="colors4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Style" Target="style5.xml"/><Relationship Id="rId2" Type="http://schemas.microsoft.com/office/2011/relationships/chartColorStyle" Target="colors5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Style" Target="style6.xml"/><Relationship Id="rId2" Type="http://schemas.microsoft.com/office/2011/relationships/chartColorStyle" Target="colors6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Style" Target="style7.xml"/><Relationship Id="rId2" Type="http://schemas.microsoft.com/office/2011/relationships/chartColorStyle" Target="colors7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Style" Target="style8.xml"/><Relationship Id="rId2" Type="http://schemas.microsoft.com/office/2011/relationships/chartColorStyle" Target="colors8.xml"/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Style" Target="style9.xml"/><Relationship Id="rId2" Type="http://schemas.microsoft.com/office/2011/relationships/chartColorStyle" Target="colors9.xml"/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Style" Target="style10.xml"/><Relationship Id="rId2" Type="http://schemas.microsoft.com/office/2011/relationships/chartColorStyle" Target="colors10.xml"/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Style" Target="style11.xml"/><Relationship Id="rId2" Type="http://schemas.microsoft.com/office/2011/relationships/chartColorStyle" Target="colors11.xml"/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Style" Target="style12.xml"/><Relationship Id="rId2" Type="http://schemas.microsoft.com/office/2011/relationships/chartColorStyle" Target="colors12.xml"/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3" Type="http://schemas.microsoft.com/office/2011/relationships/chartStyle" Target="style13.xml"/><Relationship Id="rId2" Type="http://schemas.microsoft.com/office/2011/relationships/chartColorStyle" Target="colors13.xml"/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3" Type="http://schemas.microsoft.com/office/2011/relationships/chartStyle" Target="style14.xml"/><Relationship Id="rId2" Type="http://schemas.microsoft.com/office/2011/relationships/chartColorStyle" Target="colors14.xml"/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3" Type="http://schemas.microsoft.com/office/2011/relationships/chartStyle" Target="style15.xml"/><Relationship Id="rId2" Type="http://schemas.microsoft.com/office/2011/relationships/chartColorStyle" Target="colors15.xml"/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3" Type="http://schemas.microsoft.com/office/2011/relationships/chartStyle" Target="style16.xml"/><Relationship Id="rId2" Type="http://schemas.microsoft.com/office/2011/relationships/chartColorStyle" Target="colors16.xml"/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3" Type="http://schemas.microsoft.com/office/2011/relationships/chartStyle" Target="style17.xml"/><Relationship Id="rId2" Type="http://schemas.microsoft.com/office/2011/relationships/chartColorStyle" Target="colors17.xml"/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microsoft.com/office/2011/relationships/chartStyle" Target="style20.xml"/><Relationship Id="rId2" Type="http://schemas.microsoft.com/office/2011/relationships/chartColorStyle" Target="colors20.xml"/><Relationship Id="rId1" Type="http://schemas.openxmlformats.org/officeDocument/2006/relationships/themeOverride" Target="../theme/themeOverride18.xml"/></Relationships>
</file>

<file path=xl/charts/_rels/chart21.xml.rels><?xml version="1.0" encoding="UTF-8" standalone="yes"?>
<Relationships xmlns="http://schemas.openxmlformats.org/package/2006/relationships"><Relationship Id="rId3" Type="http://schemas.microsoft.com/office/2011/relationships/chartStyle" Target="style21.xml"/><Relationship Id="rId2" Type="http://schemas.microsoft.com/office/2011/relationships/chartColorStyle" Target="colors21.xml"/><Relationship Id="rId1" Type="http://schemas.openxmlformats.org/officeDocument/2006/relationships/themeOverride" Target="../theme/themeOverride19.xml"/></Relationships>
</file>

<file path=xl/charts/_rels/chart22.xml.rels><?xml version="1.0" encoding="UTF-8" standalone="yes"?>
<Relationships xmlns="http://schemas.openxmlformats.org/package/2006/relationships"><Relationship Id="rId3" Type="http://schemas.microsoft.com/office/2011/relationships/chartStyle" Target="style22.xml"/><Relationship Id="rId2" Type="http://schemas.microsoft.com/office/2011/relationships/chartColorStyle" Target="colors22.xml"/><Relationship Id="rId1" Type="http://schemas.openxmlformats.org/officeDocument/2006/relationships/themeOverride" Target="../theme/themeOverride20.xml"/></Relationships>
</file>

<file path=xl/charts/_rels/chart23.xml.rels><?xml version="1.0" encoding="UTF-8" standalone="yes"?>
<Relationships xmlns="http://schemas.openxmlformats.org/package/2006/relationships"><Relationship Id="rId3" Type="http://schemas.microsoft.com/office/2011/relationships/chartStyle" Target="style23.xml"/><Relationship Id="rId2" Type="http://schemas.microsoft.com/office/2011/relationships/chartColorStyle" Target="colors23.xml"/><Relationship Id="rId1" Type="http://schemas.openxmlformats.org/officeDocument/2006/relationships/themeOverride" Target="../theme/themeOverride2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腾讯增值服务收入构成趋势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核心数据模型!$B$40</c:f>
              <c:strCache>
                <c:ptCount val="1"/>
                <c:pt idx="0">
                  <c:v>手游收入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核心数据模型!$U$2:$AC$2</c:f>
              <c:strCache>
                <c:ptCount val="9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  <c:pt idx="8">
                  <c:v>19Q1E</c:v>
                </c:pt>
              </c:strCache>
            </c:strRef>
          </c:cat>
          <c:val>
            <c:numRef>
              <c:f>核心数据模型!$U$40:$AC$40</c:f>
              <c:numCache>
                <c:formatCode>General</c:formatCode>
                <c:ptCount val="9"/>
                <c:pt idx="0">
                  <c:v>129</c:v>
                </c:pt>
                <c:pt idx="1">
                  <c:v>148</c:v>
                </c:pt>
                <c:pt idx="2">
                  <c:v>182</c:v>
                </c:pt>
                <c:pt idx="3">
                  <c:v>169</c:v>
                </c:pt>
                <c:pt idx="4">
                  <c:v>217</c:v>
                </c:pt>
                <c:pt idx="5">
                  <c:v>176</c:v>
                </c:pt>
                <c:pt idx="6" formatCode="0">
                  <c:v>195</c:v>
                </c:pt>
                <c:pt idx="7" formatCode="0">
                  <c:v>190</c:v>
                </c:pt>
                <c:pt idx="8" formatCode="0">
                  <c:v>209.55490732800004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417-4747-AE3F-E24EA1F1BBDA}"/>
            </c:ext>
          </c:extLst>
        </c:ser>
        <c:ser>
          <c:idx val="2"/>
          <c:order val="1"/>
          <c:tx>
            <c:strRef>
              <c:f>核心数据模型!$B$66</c:f>
              <c:strCache>
                <c:ptCount val="1"/>
                <c:pt idx="0">
                  <c:v>端游收入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核心数据模型!$U$2:$AC$2</c:f>
              <c:strCache>
                <c:ptCount val="9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  <c:pt idx="8">
                  <c:v>19Q1E</c:v>
                </c:pt>
              </c:strCache>
            </c:strRef>
          </c:cat>
          <c:val>
            <c:numRef>
              <c:f>核心数据模型!$U$66:$AC$66</c:f>
              <c:numCache>
                <c:formatCode>General</c:formatCode>
                <c:ptCount val="9"/>
                <c:pt idx="0">
                  <c:v>141</c:v>
                </c:pt>
                <c:pt idx="1">
                  <c:v>136</c:v>
                </c:pt>
                <c:pt idx="2">
                  <c:v>146</c:v>
                </c:pt>
                <c:pt idx="3">
                  <c:v>128</c:v>
                </c:pt>
                <c:pt idx="4">
                  <c:v>141</c:v>
                </c:pt>
                <c:pt idx="5">
                  <c:v>129</c:v>
                </c:pt>
                <c:pt idx="6" formatCode="0">
                  <c:v>124</c:v>
                </c:pt>
                <c:pt idx="7" formatCode="0">
                  <c:v>112</c:v>
                </c:pt>
                <c:pt idx="8" formatCode="0">
                  <c:v>122.74646474999997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417-4747-AE3F-E24EA1F1BBDA}"/>
            </c:ext>
          </c:extLst>
        </c:ser>
        <c:ser>
          <c:idx val="1"/>
          <c:order val="2"/>
          <c:tx>
            <c:strRef>
              <c:f>核心数据模型!$B$82</c:f>
              <c:strCache>
                <c:ptCount val="1"/>
                <c:pt idx="0">
                  <c:v>数字内容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核心数据模型!$U$2:$AC$2</c:f>
              <c:strCache>
                <c:ptCount val="9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  <c:pt idx="8">
                  <c:v>19Q1E</c:v>
                </c:pt>
              </c:strCache>
            </c:strRef>
          </c:cat>
          <c:val>
            <c:numRef>
              <c:f>核心数据模型!$U$82:$AC$82</c:f>
              <c:numCache>
                <c:formatCode>0</c:formatCode>
                <c:ptCount val="9"/>
                <c:pt idx="0">
                  <c:v>81.080000000000041</c:v>
                </c:pt>
                <c:pt idx="1">
                  <c:v>84.04000000000002</c:v>
                </c:pt>
                <c:pt idx="2">
                  <c:v>93.240000000000009</c:v>
                </c:pt>
                <c:pt idx="3">
                  <c:v>102.47000000000003</c:v>
                </c:pt>
                <c:pt idx="4">
                  <c:v>110.76999999999998</c:v>
                </c:pt>
                <c:pt idx="5">
                  <c:v>115.69</c:v>
                </c:pt>
                <c:pt idx="6">
                  <c:v>121.49000000000001</c:v>
                </c:pt>
                <c:pt idx="7">
                  <c:v>134.51</c:v>
                </c:pt>
                <c:pt idx="8">
                  <c:v>141.87928403710865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417-4747-AE3F-E24EA1F1B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39050112"/>
        <c:axId val="239068288"/>
      </c:barChart>
      <c:lineChart>
        <c:grouping val="standard"/>
        <c:varyColors val="0"/>
        <c:ser>
          <c:idx val="0"/>
          <c:order val="3"/>
          <c:tx>
            <c:strRef>
              <c:f>核心数据模型!$B$41</c:f>
              <c:strCache>
                <c:ptCount val="1"/>
                <c:pt idx="0">
                  <c:v>手游同比</c:v>
                </c:pt>
              </c:strCache>
            </c:strRef>
          </c:tx>
          <c:spPr>
            <a:ln w="349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核心数据模型!$U$41:$AC$41</c:f>
              <c:numCache>
                <c:formatCode>0</c:formatCode>
                <c:ptCount val="9"/>
                <c:pt idx="4" formatCode="0%">
                  <c:v>0.68217054263565902</c:v>
                </c:pt>
                <c:pt idx="5" formatCode="0%">
                  <c:v>0.18918918918918926</c:v>
                </c:pt>
                <c:pt idx="6" formatCode="0%">
                  <c:v>7.1428571428571397E-2</c:v>
                </c:pt>
                <c:pt idx="7" formatCode="0%">
                  <c:v>0.12426035502958577</c:v>
                </c:pt>
                <c:pt idx="8" formatCode="0%">
                  <c:v>-3.4309182820276285E-2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130E-4553-9C77-021E82B11ADA}"/>
            </c:ext>
          </c:extLst>
        </c:ser>
        <c:ser>
          <c:idx val="3"/>
          <c:order val="4"/>
          <c:tx>
            <c:strRef>
              <c:f>核心数据模型!$B$67</c:f>
              <c:strCache>
                <c:ptCount val="1"/>
                <c:pt idx="0">
                  <c:v>端游同比</c:v>
                </c:pt>
              </c:strCache>
            </c:strRef>
          </c:tx>
          <c:spPr>
            <a:ln w="3492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核心数据模型!$U$67:$AC$67</c:f>
              <c:numCache>
                <c:formatCode>0</c:formatCode>
                <c:ptCount val="9"/>
                <c:pt idx="4" formatCode="0.0%">
                  <c:v>0</c:v>
                </c:pt>
                <c:pt idx="5" formatCode="0.0%">
                  <c:v>-5.1470588235294157E-2</c:v>
                </c:pt>
                <c:pt idx="6" formatCode="0.0%">
                  <c:v>-0.15068493150684936</c:v>
                </c:pt>
                <c:pt idx="7" formatCode="0.0%">
                  <c:v>-0.125</c:v>
                </c:pt>
                <c:pt idx="8" formatCode="0.0%">
                  <c:v>-0.12945769680851082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130E-4553-9C77-021E82B11ADA}"/>
            </c:ext>
          </c:extLst>
        </c:ser>
        <c:ser>
          <c:idx val="5"/>
          <c:order val="5"/>
          <c:tx>
            <c:strRef>
              <c:f>核心数据模型!$B$83</c:f>
              <c:strCache>
                <c:ptCount val="1"/>
                <c:pt idx="0">
                  <c:v>数字同比</c:v>
                </c:pt>
              </c:strCache>
            </c:strRef>
          </c:tx>
          <c:spPr>
            <a:ln w="349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核心数据模型!$U$83:$AC$83</c:f>
              <c:numCache>
                <c:formatCode>General</c:formatCode>
                <c:ptCount val="9"/>
                <c:pt idx="4" formatCode="0%">
                  <c:v>0.36618154908732015</c:v>
                </c:pt>
                <c:pt idx="5" formatCode="0%">
                  <c:v>0.37660637791527818</c:v>
                </c:pt>
                <c:pt idx="6" formatCode="0%">
                  <c:v>0.30298155298155294</c:v>
                </c:pt>
                <c:pt idx="7" formatCode="0%">
                  <c:v>0.31267688103835223</c:v>
                </c:pt>
                <c:pt idx="8" formatCode="0%">
                  <c:v>0.28084575279505897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130E-4553-9C77-021E82B11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762688"/>
        <c:axId val="239069824"/>
      </c:lineChart>
      <c:catAx>
        <c:axId val="2390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39068288"/>
        <c:crosses val="autoZero"/>
        <c:auto val="1"/>
        <c:lblAlgn val="ctr"/>
        <c:lblOffset val="100"/>
        <c:noMultiLvlLbl val="0"/>
      </c:catAx>
      <c:valAx>
        <c:axId val="239068288"/>
        <c:scaling>
          <c:orientation val="minMax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39050112"/>
        <c:crosses val="autoZero"/>
        <c:crossBetween val="between"/>
      </c:valAx>
      <c:valAx>
        <c:axId val="239069824"/>
        <c:scaling>
          <c:orientation val="minMax"/>
        </c:scaling>
        <c:delete val="0"/>
        <c:axPos val="r"/>
        <c:numFmt formatCode="0%" sourceLinked="0"/>
        <c:majorTickMark val="in"/>
        <c:minorTickMark val="none"/>
        <c:tickLblPos val="nextTo"/>
        <c:spPr>
          <a:noFill/>
          <a:ln>
            <a:solidFill>
              <a:sysClr val="windowText" lastClr="000000">
                <a:lumMod val="65000"/>
                <a:lumOff val="3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1762688"/>
        <c:crosses val="max"/>
        <c:crossBetween val="between"/>
      </c:valAx>
      <c:catAx>
        <c:axId val="241762688"/>
        <c:scaling>
          <c:orientation val="minMax"/>
        </c:scaling>
        <c:delete val="1"/>
        <c:axPos val="b"/>
        <c:majorTickMark val="out"/>
        <c:minorTickMark val="none"/>
        <c:tickLblPos val="nextTo"/>
        <c:crossAx val="239069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三大类游戏</a:t>
            </a:r>
            <a:r>
              <a:rPr lang="en-US" altLang="zh-CN"/>
              <a:t>ARPPU</a:t>
            </a:r>
            <a:r>
              <a:rPr lang="zh-CN" altLang="en-US"/>
              <a:t>趋势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核心数据模型!$B$72</c:f>
              <c:strCache>
                <c:ptCount val="1"/>
                <c:pt idx="0">
                  <c:v>MMOGs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核心数据模型!$U$2:$AB$2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</c:strRef>
          </c:cat>
          <c:val>
            <c:numRef>
              <c:f>核心数据模型!$U$72:$AB$72</c:f>
              <c:numCache>
                <c:formatCode>0</c:formatCode>
                <c:ptCount val="8"/>
                <c:pt idx="0">
                  <c:v>420</c:v>
                </c:pt>
                <c:pt idx="1">
                  <c:v>465</c:v>
                </c:pt>
                <c:pt idx="2">
                  <c:v>510</c:v>
                </c:pt>
                <c:pt idx="3">
                  <c:v>500</c:v>
                </c:pt>
                <c:pt idx="4">
                  <c:v>605</c:v>
                </c:pt>
                <c:pt idx="5">
                  <c:v>590</c:v>
                </c:pt>
                <c:pt idx="6">
                  <c:v>625</c:v>
                </c:pt>
                <c:pt idx="7">
                  <c:v>650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417-4747-AE3F-E24EA1F1BBDA}"/>
            </c:ext>
          </c:extLst>
        </c:ser>
        <c:ser>
          <c:idx val="2"/>
          <c:order val="1"/>
          <c:tx>
            <c:strRef>
              <c:f>核心数据模型!$B$75</c:f>
              <c:strCache>
                <c:ptCount val="1"/>
                <c:pt idx="0">
                  <c:v>ACGs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核心数据模型!$U$2:$AB$2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</c:strRef>
          </c:cat>
          <c:val>
            <c:numRef>
              <c:f>核心数据模型!$U$75:$AB$75</c:f>
              <c:numCache>
                <c:formatCode>0</c:formatCode>
                <c:ptCount val="8"/>
                <c:pt idx="0">
                  <c:v>235</c:v>
                </c:pt>
                <c:pt idx="1">
                  <c:v>270</c:v>
                </c:pt>
                <c:pt idx="2">
                  <c:v>305</c:v>
                </c:pt>
                <c:pt idx="3">
                  <c:v>355</c:v>
                </c:pt>
                <c:pt idx="4">
                  <c:v>355</c:v>
                </c:pt>
                <c:pt idx="5">
                  <c:v>375</c:v>
                </c:pt>
                <c:pt idx="6">
                  <c:v>415</c:v>
                </c:pt>
                <c:pt idx="7">
                  <c:v>425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417-4747-AE3F-E24EA1F1BBDA}"/>
            </c:ext>
          </c:extLst>
        </c:ser>
        <c:ser>
          <c:idx val="1"/>
          <c:order val="2"/>
          <c:tx>
            <c:strRef>
              <c:f>核心数据模型!$B$78</c:f>
              <c:strCache>
                <c:ptCount val="1"/>
                <c:pt idx="0">
                  <c:v>Mobile QQ &amp; Weixin Game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核心数据模型!$U$2:$AB$2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</c:strRef>
          </c:cat>
          <c:val>
            <c:numRef>
              <c:f>核心数据模型!$U$78:$AB$78</c:f>
              <c:numCache>
                <c:formatCode>General</c:formatCode>
                <c:ptCount val="8"/>
                <c:pt idx="0">
                  <c:v>130</c:v>
                </c:pt>
                <c:pt idx="1">
                  <c:v>145</c:v>
                </c:pt>
                <c:pt idx="2">
                  <c:v>175</c:v>
                </c:pt>
                <c:pt idx="3">
                  <c:v>155</c:v>
                </c:pt>
                <c:pt idx="4">
                  <c:v>185</c:v>
                </c:pt>
                <c:pt idx="5">
                  <c:v>185</c:v>
                </c:pt>
                <c:pt idx="6">
                  <c:v>185</c:v>
                </c:pt>
                <c:pt idx="7">
                  <c:v>185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417-4747-AE3F-E24EA1F1BBD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1808896"/>
        <c:axId val="241810432"/>
      </c:lineChart>
      <c:catAx>
        <c:axId val="24180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1810432"/>
        <c:crosses val="autoZero"/>
        <c:auto val="1"/>
        <c:lblAlgn val="ctr"/>
        <c:lblOffset val="100"/>
        <c:noMultiLvlLbl val="0"/>
      </c:catAx>
      <c:valAx>
        <c:axId val="241810432"/>
        <c:scaling>
          <c:orientation val="minMax"/>
        </c:scaling>
        <c:delete val="0"/>
        <c:axPos val="l"/>
        <c:numFmt formatCode="0" sourceLinked="1"/>
        <c:majorTickMark val="in"/>
        <c:minorTickMark val="in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180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数字内容付费用户和</a:t>
            </a:r>
            <a:r>
              <a:rPr lang="en-US" altLang="zh-CN"/>
              <a:t>ARPPU</a:t>
            </a:r>
            <a:r>
              <a:rPr lang="zh-CN" altLang="en-US"/>
              <a:t>趋势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核心数据模型!$B$10</c:f>
              <c:strCache>
                <c:ptCount val="1"/>
                <c:pt idx="0">
                  <c:v>收费注册用户数</c:v>
                </c:pt>
              </c:strCache>
            </c:strRef>
          </c:tx>
          <c:spPr>
            <a:solidFill>
              <a:schemeClr val="accent5"/>
            </a:solidFill>
            <a:ln w="3492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核心数据模型!$U$2:$AB$2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</c:strRef>
          </c:cat>
          <c:val>
            <c:numRef>
              <c:f>核心数据模型!$U$10:$AB$10</c:f>
              <c:numCache>
                <c:formatCode>0.000</c:formatCode>
                <c:ptCount val="8"/>
                <c:pt idx="0">
                  <c:v>1.19</c:v>
                </c:pt>
                <c:pt idx="1">
                  <c:v>1.181</c:v>
                </c:pt>
                <c:pt idx="2">
                  <c:v>1.2529999999999999</c:v>
                </c:pt>
                <c:pt idx="3">
                  <c:v>1.3460000000000001</c:v>
                </c:pt>
                <c:pt idx="4">
                  <c:v>1.4710000000000001</c:v>
                </c:pt>
                <c:pt idx="5">
                  <c:v>1.5389999999999999</c:v>
                </c:pt>
                <c:pt idx="6">
                  <c:v>1.5409999999999999</c:v>
                </c:pt>
                <c:pt idx="7">
                  <c:v>1.603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51A-4267-81E8-F2C9DBC2FF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243846528"/>
        <c:axId val="243852416"/>
      </c:barChart>
      <c:lineChart>
        <c:grouping val="standard"/>
        <c:varyColors val="0"/>
        <c:ser>
          <c:idx val="2"/>
          <c:order val="1"/>
          <c:tx>
            <c:strRef>
              <c:f>核心数据模型!$B$106</c:f>
              <c:strCache>
                <c:ptCount val="1"/>
                <c:pt idx="0">
                  <c:v>收费注册用户ARPPU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核心数据模型!$U$2:$AB$2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</c:strRef>
          </c:cat>
          <c:val>
            <c:numRef>
              <c:f>核心数据模型!$U$106:$AB$106</c:f>
              <c:numCache>
                <c:formatCode>0.00_);[Red]\(0.00\)</c:formatCode>
                <c:ptCount val="8"/>
                <c:pt idx="0">
                  <c:v>68.134453781512647</c:v>
                </c:pt>
                <c:pt idx="1">
                  <c:v>71.160033869602046</c:v>
                </c:pt>
                <c:pt idx="2">
                  <c:v>74.413407821229058</c:v>
                </c:pt>
                <c:pt idx="3">
                  <c:v>76.129271916790501</c:v>
                </c:pt>
                <c:pt idx="4">
                  <c:v>75.302515295717185</c:v>
                </c:pt>
                <c:pt idx="5">
                  <c:v>75.172189733593243</c:v>
                </c:pt>
                <c:pt idx="6">
                  <c:v>78.838416612589242</c:v>
                </c:pt>
                <c:pt idx="7">
                  <c:v>83.911416094822201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51A-4267-81E8-F2C9DBC2F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523392"/>
        <c:axId val="243853952"/>
      </c:lineChart>
      <c:catAx>
        <c:axId val="24384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3852416"/>
        <c:crosses val="autoZero"/>
        <c:auto val="1"/>
        <c:lblAlgn val="ctr"/>
        <c:lblOffset val="100"/>
        <c:noMultiLvlLbl val="0"/>
      </c:catAx>
      <c:valAx>
        <c:axId val="243852416"/>
        <c:scaling>
          <c:orientation val="minMax"/>
        </c:scaling>
        <c:delete val="0"/>
        <c:axPos val="l"/>
        <c:numFmt formatCode="0.000" sourceLinked="1"/>
        <c:majorTickMark val="in"/>
        <c:minorTickMark val="in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3846528"/>
        <c:crosses val="autoZero"/>
        <c:crossBetween val="between"/>
      </c:valAx>
      <c:valAx>
        <c:axId val="243853952"/>
        <c:scaling>
          <c:orientation val="minMax"/>
          <c:max val="100"/>
          <c:min val="50"/>
        </c:scaling>
        <c:delete val="0"/>
        <c:axPos val="r"/>
        <c:numFmt formatCode="0.00_);[Red]\(0.00\)" sourceLinked="1"/>
        <c:majorTickMark val="in"/>
        <c:minorTickMark val="none"/>
        <c:tickLblPos val="nextTo"/>
        <c:spPr>
          <a:noFill/>
          <a:ln>
            <a:solidFill>
              <a:sysClr val="windowText" lastClr="000000">
                <a:lumMod val="65000"/>
                <a:lumOff val="3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523392"/>
        <c:crosses val="max"/>
        <c:crossBetween val="between"/>
      </c:valAx>
      <c:catAx>
        <c:axId val="244523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3853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支付和云收入趋势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核心数据模型!$B$145</c:f>
              <c:strCache>
                <c:ptCount val="1"/>
                <c:pt idx="0">
                  <c:v>腾讯云收入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核心数据模型!$U$2:$AB$2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</c:strRef>
          </c:cat>
          <c:val>
            <c:numRef>
              <c:f>核心数据模型!$U$145:$AB$145</c:f>
              <c:numCache>
                <c:formatCode>0.00</c:formatCode>
                <c:ptCount val="8"/>
                <c:pt idx="0">
                  <c:v>6.9429429069531237</c:v>
                </c:pt>
                <c:pt idx="1">
                  <c:v>9.3376014632812492</c:v>
                </c:pt>
                <c:pt idx="2">
                  <c:v>12.262391593749998</c:v>
                </c:pt>
                <c:pt idx="3">
                  <c:v>15.094086874999999</c:v>
                </c:pt>
                <c:pt idx="4">
                  <c:v>18.00713125</c:v>
                </c:pt>
                <c:pt idx="5">
                  <c:v>20.776499999999999</c:v>
                </c:pt>
                <c:pt idx="6">
                  <c:v>25.373750000000001</c:v>
                </c:pt>
                <c:pt idx="7">
                  <c:v>26.86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F41-45A1-8C49-E968F0CB09D8}"/>
            </c:ext>
          </c:extLst>
        </c:ser>
        <c:ser>
          <c:idx val="2"/>
          <c:order val="1"/>
          <c:tx>
            <c:strRef>
              <c:f>核心数据模型!$B$149</c:f>
              <c:strCache>
                <c:ptCount val="1"/>
                <c:pt idx="0">
                  <c:v>支付业务收入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7.6016813454990903E-17"/>
                  <c:y val="-2.4401871931002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F41-45A1-8C49-E968F0CB09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核心数据模型!$U$2:$AB$2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</c:strRef>
          </c:cat>
          <c:val>
            <c:numRef>
              <c:f>核心数据模型!$U$149:$AB$149</c:f>
              <c:numCache>
                <c:formatCode>0.00</c:formatCode>
                <c:ptCount val="8"/>
                <c:pt idx="0">
                  <c:v>63.478977093046879</c:v>
                </c:pt>
                <c:pt idx="1">
                  <c:v>80.927298536718752</c:v>
                </c:pt>
                <c:pt idx="2">
                  <c:v>100.71032840625</c:v>
                </c:pt>
                <c:pt idx="3">
                  <c:v>117.436353125</c:v>
                </c:pt>
                <c:pt idx="4">
                  <c:v>132.67414875000003</c:v>
                </c:pt>
                <c:pt idx="5">
                  <c:v>144.91061999999999</c:v>
                </c:pt>
                <c:pt idx="6">
                  <c:v>167.46674999999999</c:v>
                </c:pt>
                <c:pt idx="7">
                  <c:v>204.10999999999999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F41-45A1-8C49-E968F0CB0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44602368"/>
        <c:axId val="244603904"/>
      </c:barChart>
      <c:lineChart>
        <c:grouping val="standard"/>
        <c:varyColors val="0"/>
        <c:ser>
          <c:idx val="0"/>
          <c:order val="2"/>
          <c:tx>
            <c:strRef>
              <c:f>核心数据模型!$B$146</c:f>
              <c:strCache>
                <c:ptCount val="1"/>
                <c:pt idx="0">
                  <c:v>云同比</c:v>
                </c:pt>
              </c:strCache>
            </c:strRef>
          </c:tx>
          <c:spPr>
            <a:ln w="349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2.0732097711193497E-3"/>
                  <c:y val="-6.10046798275056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F41-45A1-8C49-E968F0CB09D8}"/>
                </c:ext>
              </c:extLst>
            </c:dLbl>
            <c:dLbl>
              <c:idx val="7"/>
              <c:layout>
                <c:manualLayout>
                  <c:x val="-2.0732097711192738E-2"/>
                  <c:y val="-3.05023399137528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F41-45A1-8C49-E968F0CB09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核心数据模型!$U$146:$AB$146</c:f>
              <c:numCache>
                <c:formatCode>0%</c:formatCode>
                <c:ptCount val="8"/>
                <c:pt idx="0">
                  <c:v>2.9814531256643195</c:v>
                </c:pt>
                <c:pt idx="1">
                  <c:v>2.4068926128475678</c:v>
                </c:pt>
                <c:pt idx="2">
                  <c:v>1.9788220014175502</c:v>
                </c:pt>
                <c:pt idx="3">
                  <c:v>1.7081373919925711</c:v>
                </c:pt>
                <c:pt idx="4">
                  <c:v>1.593587689157931</c:v>
                </c:pt>
                <c:pt idx="5">
                  <c:v>1.2250360632439223</c:v>
                </c:pt>
                <c:pt idx="6">
                  <c:v>1.0692333796396385</c:v>
                </c:pt>
                <c:pt idx="7">
                  <c:v>0.77950479697368258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F41-45A1-8C49-E968F0CB09D8}"/>
            </c:ext>
          </c:extLst>
        </c:ser>
        <c:ser>
          <c:idx val="3"/>
          <c:order val="3"/>
          <c:tx>
            <c:strRef>
              <c:f>核心数据模型!$B$150</c:f>
              <c:strCache>
                <c:ptCount val="1"/>
                <c:pt idx="0">
                  <c:v>支付同比</c:v>
                </c:pt>
              </c:strCache>
            </c:strRef>
          </c:tx>
          <c:spPr>
            <a:ln w="3492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3.5244566109027653E-2"/>
                  <c:y val="3.660280789650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F41-45A1-8C49-E968F0CB09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核心数据模型!$U$150:$AB$150</c:f>
              <c:numCache>
                <c:formatCode>0%</c:formatCode>
                <c:ptCount val="8"/>
                <c:pt idx="0">
                  <c:v>2.223562926919092</c:v>
                </c:pt>
                <c:pt idx="1">
                  <c:v>1.7554058938527985</c:v>
                </c:pt>
                <c:pt idx="2">
                  <c:v>1.4064527770379955</c:v>
                </c:pt>
                <c:pt idx="3">
                  <c:v>1.1851451128151238</c:v>
                </c:pt>
                <c:pt idx="4">
                  <c:v>1.0900486243741376</c:v>
                </c:pt>
                <c:pt idx="5">
                  <c:v>0.79062717550432504</c:v>
                </c:pt>
                <c:pt idx="6">
                  <c:v>0.66285576315931416</c:v>
                </c:pt>
                <c:pt idx="7">
                  <c:v>0.73804784096747289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F41-45A1-8C49-E968F0CB0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623616"/>
        <c:axId val="244622080"/>
      </c:lineChart>
      <c:catAx>
        <c:axId val="24460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603904"/>
        <c:crosses val="autoZero"/>
        <c:auto val="1"/>
        <c:lblAlgn val="ctr"/>
        <c:lblOffset val="100"/>
        <c:noMultiLvlLbl val="0"/>
      </c:catAx>
      <c:valAx>
        <c:axId val="244603904"/>
        <c:scaling>
          <c:orientation val="minMax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602368"/>
        <c:crosses val="autoZero"/>
        <c:crossBetween val="between"/>
      </c:valAx>
      <c:valAx>
        <c:axId val="244622080"/>
        <c:scaling>
          <c:orientation val="minMax"/>
        </c:scaling>
        <c:delete val="0"/>
        <c:axPos val="r"/>
        <c:numFmt formatCode="0%" sourceLinked="0"/>
        <c:majorTickMark val="in"/>
        <c:minorTickMark val="none"/>
        <c:tickLblPos val="nextTo"/>
        <c:spPr>
          <a:noFill/>
          <a:ln>
            <a:solidFill>
              <a:sysClr val="windowText" lastClr="000000">
                <a:lumMod val="65000"/>
                <a:lumOff val="3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623616"/>
        <c:crosses val="max"/>
        <c:crossBetween val="between"/>
      </c:valAx>
      <c:catAx>
        <c:axId val="244623616"/>
        <c:scaling>
          <c:orientation val="minMax"/>
        </c:scaling>
        <c:delete val="1"/>
        <c:axPos val="b"/>
        <c:majorTickMark val="out"/>
        <c:minorTickMark val="none"/>
        <c:tickLblPos val="nextTo"/>
        <c:crossAx val="244622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广告收入趋势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核心数据模型!$B$115</c:f>
              <c:strCache>
                <c:ptCount val="1"/>
                <c:pt idx="0">
                  <c:v>社交及其它广告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核心数据模型!$U$2:$AB$2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</c:strRef>
          </c:cat>
          <c:val>
            <c:numRef>
              <c:f>核心数据模型!$U$115:$AB$115</c:f>
              <c:numCache>
                <c:formatCode>0.00</c:formatCode>
                <c:ptCount val="8"/>
                <c:pt idx="0">
                  <c:v>43.79</c:v>
                </c:pt>
                <c:pt idx="1">
                  <c:v>60.71</c:v>
                </c:pt>
                <c:pt idx="2">
                  <c:v>69.2</c:v>
                </c:pt>
                <c:pt idx="3">
                  <c:v>82.4</c:v>
                </c:pt>
                <c:pt idx="4">
                  <c:v>73.900000000000006</c:v>
                </c:pt>
                <c:pt idx="5">
                  <c:v>93.8</c:v>
                </c:pt>
                <c:pt idx="6">
                  <c:v>111.57</c:v>
                </c:pt>
                <c:pt idx="7">
                  <c:v>118.46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5F6-4C3C-88B7-FAF8832F212A}"/>
            </c:ext>
          </c:extLst>
        </c:ser>
        <c:ser>
          <c:idx val="2"/>
          <c:order val="1"/>
          <c:tx>
            <c:strRef>
              <c:f>核心数据模型!$B$121</c:f>
              <c:strCache>
                <c:ptCount val="1"/>
                <c:pt idx="0">
                  <c:v>媒体广告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7.6016813454990903E-17"/>
                  <c:y val="-2.4401871931002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F6-4C3C-88B7-FAF8832F21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核心数据模型!$U$2:$AB$2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</c:strRef>
          </c:cat>
          <c:val>
            <c:numRef>
              <c:f>核心数据模型!$U$121:$AB$121</c:f>
              <c:numCache>
                <c:formatCode>General</c:formatCode>
                <c:ptCount val="8"/>
                <c:pt idx="0">
                  <c:v>25.09</c:v>
                </c:pt>
                <c:pt idx="1">
                  <c:v>40.770000000000003</c:v>
                </c:pt>
                <c:pt idx="2">
                  <c:v>41.22</c:v>
                </c:pt>
                <c:pt idx="3">
                  <c:v>41.21</c:v>
                </c:pt>
                <c:pt idx="4">
                  <c:v>32.99</c:v>
                </c:pt>
                <c:pt idx="5" formatCode="0.00">
                  <c:v>47.3</c:v>
                </c:pt>
                <c:pt idx="6" formatCode="0.00">
                  <c:v>50.9</c:v>
                </c:pt>
                <c:pt idx="7" formatCode="0.00">
                  <c:v>51.87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5F6-4C3C-88B7-FAF8832F2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44685056"/>
        <c:axId val="244711424"/>
      </c:barChart>
      <c:lineChart>
        <c:grouping val="standard"/>
        <c:varyColors val="0"/>
        <c:ser>
          <c:idx val="0"/>
          <c:order val="2"/>
          <c:tx>
            <c:strRef>
              <c:f>核心数据模型!$B$116</c:f>
              <c:strCache>
                <c:ptCount val="1"/>
                <c:pt idx="0">
                  <c:v>社交广告同比</c:v>
                </c:pt>
              </c:strCache>
            </c:strRef>
          </c:tx>
          <c:spPr>
            <a:ln w="349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核心数据模型!$U$116:$AB$116</c:f>
              <c:numCache>
                <c:formatCode>0.0%</c:formatCode>
                <c:ptCount val="8"/>
                <c:pt idx="0">
                  <c:v>0.66073085279534305</c:v>
                </c:pt>
                <c:pt idx="1">
                  <c:v>0.61864223671348295</c:v>
                </c:pt>
                <c:pt idx="2">
                  <c:v>0.58124894673853134</c:v>
                </c:pt>
                <c:pt idx="3">
                  <c:v>0.65480774668524355</c:v>
                </c:pt>
                <c:pt idx="4">
                  <c:v>0.68759990865494425</c:v>
                </c:pt>
                <c:pt idx="5">
                  <c:v>0.54505023884038861</c:v>
                </c:pt>
                <c:pt idx="6">
                  <c:v>0.61228323699421949</c:v>
                </c:pt>
                <c:pt idx="7">
                  <c:v>0.4376213592233007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E5F6-4C3C-88B7-FAF8832F212A}"/>
            </c:ext>
          </c:extLst>
        </c:ser>
        <c:ser>
          <c:idx val="3"/>
          <c:order val="3"/>
          <c:tx>
            <c:strRef>
              <c:f>核心数据模型!$B$122</c:f>
              <c:strCache>
                <c:ptCount val="1"/>
                <c:pt idx="0">
                  <c:v>媒体广告同比</c:v>
                </c:pt>
              </c:strCache>
            </c:strRef>
          </c:tx>
          <c:spPr>
            <a:ln w="3492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2439258626715643E-2"/>
                  <c:y val="-3.050233991375395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5F6-4C3C-88B7-FAF8832F212A}"/>
                </c:ext>
              </c:extLst>
            </c:dLbl>
            <c:dLbl>
              <c:idx val="2"/>
              <c:layout>
                <c:manualLayout>
                  <c:x val="6.2196293133578214E-3"/>
                  <c:y val="2.74521059223774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5F6-4C3C-88B7-FAF8832F212A}"/>
                </c:ext>
              </c:extLst>
            </c:dLbl>
            <c:dLbl>
              <c:idx val="5"/>
              <c:layout>
                <c:manualLayout>
                  <c:x val="-8.2928390844771716E-3"/>
                  <c:y val="6.10046798275056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5F6-4C3C-88B7-FAF8832F212A}"/>
                </c:ext>
              </c:extLst>
            </c:dLbl>
            <c:dLbl>
              <c:idx val="6"/>
              <c:layout>
                <c:manualLayout>
                  <c:x val="-1.8658887940073463E-2"/>
                  <c:y val="-6.40549138188810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5F6-4C3C-88B7-FAF8832F212A}"/>
                </c:ext>
              </c:extLst>
            </c:dLbl>
            <c:dLbl>
              <c:idx val="7"/>
              <c:layout>
                <c:manualLayout>
                  <c:x val="-1.658567816895419E-2"/>
                  <c:y val="-3.660280789650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5F6-4C3C-88B7-FAF8832F21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核心数据模型!$U$122:$AB$122</c:f>
              <c:numCache>
                <c:formatCode>0.0%</c:formatCode>
                <c:ptCount val="8"/>
                <c:pt idx="0">
                  <c:v>0.21547763741570569</c:v>
                </c:pt>
                <c:pt idx="1">
                  <c:v>0.4658477957417142</c:v>
                </c:pt>
                <c:pt idx="2">
                  <c:v>0.34148573939149873</c:v>
                </c:pt>
                <c:pt idx="3">
                  <c:v>0.24555336541809503</c:v>
                </c:pt>
                <c:pt idx="4">
                  <c:v>0.31486648066958955</c:v>
                </c:pt>
                <c:pt idx="5">
                  <c:v>0.16016678930586203</c:v>
                </c:pt>
                <c:pt idx="6">
                  <c:v>0.23483745754488106</c:v>
                </c:pt>
                <c:pt idx="7">
                  <c:v>0.25867507886435326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E5F6-4C3C-88B7-FAF8832F2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714496"/>
        <c:axId val="244712960"/>
      </c:lineChart>
      <c:catAx>
        <c:axId val="24468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711424"/>
        <c:crosses val="autoZero"/>
        <c:auto val="1"/>
        <c:lblAlgn val="ctr"/>
        <c:lblOffset val="100"/>
        <c:noMultiLvlLbl val="0"/>
      </c:catAx>
      <c:valAx>
        <c:axId val="244711424"/>
        <c:scaling>
          <c:orientation val="minMax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685056"/>
        <c:crosses val="autoZero"/>
        <c:crossBetween val="between"/>
      </c:valAx>
      <c:valAx>
        <c:axId val="244712960"/>
        <c:scaling>
          <c:orientation val="minMax"/>
        </c:scaling>
        <c:delete val="0"/>
        <c:axPos val="r"/>
        <c:numFmt formatCode="0%" sourceLinked="0"/>
        <c:majorTickMark val="in"/>
        <c:minorTickMark val="none"/>
        <c:tickLblPos val="nextTo"/>
        <c:spPr>
          <a:noFill/>
          <a:ln>
            <a:solidFill>
              <a:sysClr val="windowText" lastClr="000000">
                <a:lumMod val="65000"/>
                <a:lumOff val="3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714496"/>
        <c:crosses val="max"/>
        <c:crossBetween val="between"/>
      </c:valAx>
      <c:catAx>
        <c:axId val="244714496"/>
        <c:scaling>
          <c:orientation val="minMax"/>
        </c:scaling>
        <c:delete val="1"/>
        <c:axPos val="b"/>
        <c:majorTickMark val="out"/>
        <c:minorTickMark val="none"/>
        <c:tickLblPos val="nextTo"/>
        <c:crossAx val="2447129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三项业务毛利率和综合毛利率趋势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核心数据模型!$B$165</c:f>
              <c:strCache>
                <c:ptCount val="1"/>
                <c:pt idx="0">
                  <c:v>综合毛利率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核心数据模型!$U$2:$AB$2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</c:strRef>
          </c:cat>
          <c:val>
            <c:numRef>
              <c:f>核心数据模型!$U$165:$AB$165</c:f>
              <c:numCache>
                <c:formatCode>0.0%</c:formatCode>
                <c:ptCount val="8"/>
                <c:pt idx="0">
                  <c:v>0.51324991927671937</c:v>
                </c:pt>
                <c:pt idx="1">
                  <c:v>0.4999763982616684</c:v>
                </c:pt>
                <c:pt idx="2">
                  <c:v>0.48589869651893886</c:v>
                </c:pt>
                <c:pt idx="3">
                  <c:v>0.4744248554042656</c:v>
                </c:pt>
                <c:pt idx="4">
                  <c:v>0.50405909313458819</c:v>
                </c:pt>
                <c:pt idx="5">
                  <c:v>0.46758933152358334</c:v>
                </c:pt>
                <c:pt idx="6">
                  <c:v>0.44022582046032638</c:v>
                </c:pt>
                <c:pt idx="7">
                  <c:v>0.41405955522050514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D5-4F46-999B-E209E1343C58}"/>
            </c:ext>
          </c:extLst>
        </c:ser>
        <c:ser>
          <c:idx val="4"/>
          <c:order val="1"/>
          <c:tx>
            <c:strRef>
              <c:f>核心数据模型!$B$167</c:f>
              <c:strCache>
                <c:ptCount val="1"/>
                <c:pt idx="0">
                  <c:v>增值服务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核心数据模型!$U$2:$AB$2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</c:strRef>
          </c:cat>
          <c:val>
            <c:numRef>
              <c:f>核心数据模型!$U$168:$AB$168</c:f>
              <c:numCache>
                <c:formatCode>0.0%</c:formatCode>
                <c:ptCount val="8"/>
                <c:pt idx="0">
                  <c:v>0.60899999999999999</c:v>
                </c:pt>
                <c:pt idx="1">
                  <c:v>0.60599999999999998</c:v>
                </c:pt>
                <c:pt idx="2">
                  <c:v>0.59899999999999998</c:v>
                </c:pt>
                <c:pt idx="3">
                  <c:v>0.59299999999999997</c:v>
                </c:pt>
                <c:pt idx="4">
                  <c:v>0.63300000000000001</c:v>
                </c:pt>
                <c:pt idx="5">
                  <c:v>0.58988804107537618</c:v>
                </c:pt>
                <c:pt idx="6">
                  <c:v>0.56507525710004769</c:v>
                </c:pt>
                <c:pt idx="7">
                  <c:v>0.53426038349636884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D5-4F46-999B-E209E1343C58}"/>
            </c:ext>
          </c:extLst>
        </c:ser>
        <c:ser>
          <c:idx val="0"/>
          <c:order val="2"/>
          <c:tx>
            <c:strRef>
              <c:f>核心数据模型!$B$175</c:f>
              <c:strCache>
                <c:ptCount val="1"/>
                <c:pt idx="0">
                  <c:v>其它业务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4.458445775035199E-2"/>
                  <c:y val="-3.5748742378918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78-47EC-8868-EA60DE52BF74}"/>
                </c:ext>
              </c:extLst>
            </c:dLbl>
            <c:dLbl>
              <c:idx val="4"/>
              <c:layout>
                <c:manualLayout>
                  <c:x val="-4.4584457750351913E-2"/>
                  <c:y val="-3.26985083875430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78-47EC-8868-EA60DE52BF74}"/>
                </c:ext>
              </c:extLst>
            </c:dLbl>
            <c:dLbl>
              <c:idx val="5"/>
              <c:layout>
                <c:manualLayout>
                  <c:x val="-4.458445775035199E-2"/>
                  <c:y val="-3.87989763702937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78-47EC-8868-EA60DE52BF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核心数据模型!$U$176:$AB$176</c:f>
              <c:numCache>
                <c:formatCode>0.0%</c:formatCode>
                <c:ptCount val="8"/>
                <c:pt idx="0">
                  <c:v>0.219</c:v>
                </c:pt>
                <c:pt idx="1">
                  <c:v>0.224</c:v>
                </c:pt>
                <c:pt idx="2">
                  <c:v>0.20300000000000001</c:v>
                </c:pt>
                <c:pt idx="3">
                  <c:v>0.22800000000000001</c:v>
                </c:pt>
                <c:pt idx="4">
                  <c:v>0.254</c:v>
                </c:pt>
                <c:pt idx="5">
                  <c:v>0.249</c:v>
                </c:pt>
                <c:pt idx="6">
                  <c:v>0.22764668210256667</c:v>
                </c:pt>
                <c:pt idx="7">
                  <c:v>0.23120766562035361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67D5-4F46-999B-E209E1343C58}"/>
            </c:ext>
          </c:extLst>
        </c:ser>
        <c:ser>
          <c:idx val="3"/>
          <c:order val="3"/>
          <c:tx>
            <c:strRef>
              <c:f>核心数据模型!$B$171</c:f>
              <c:strCache>
                <c:ptCount val="1"/>
                <c:pt idx="0">
                  <c:v>网络广告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4.4584457750352066E-2"/>
                  <c:y val="-3.5748742378918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78-47EC-8868-EA60DE52BF74}"/>
                </c:ext>
              </c:extLst>
            </c:dLbl>
            <c:dLbl>
              <c:idx val="7"/>
              <c:layout>
                <c:manualLayout>
                  <c:x val="-4.4584457750351913E-2"/>
                  <c:y val="-2.96482743961677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78-47EC-8868-EA60DE52BF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核心数据模型!$U$172:$AB$172</c:f>
              <c:numCache>
                <c:formatCode>0.0%</c:formatCode>
                <c:ptCount val="8"/>
                <c:pt idx="0">
                  <c:v>0.34799999999999998</c:v>
                </c:pt>
                <c:pt idx="1">
                  <c:v>0.378</c:v>
                </c:pt>
                <c:pt idx="2">
                  <c:v>0.36299999999999999</c:v>
                </c:pt>
                <c:pt idx="3">
                  <c:v>0.372</c:v>
                </c:pt>
                <c:pt idx="4">
                  <c:v>0.312</c:v>
                </c:pt>
                <c:pt idx="5">
                  <c:v>0.374</c:v>
                </c:pt>
                <c:pt idx="6">
                  <c:v>0.36732935311134357</c:v>
                </c:pt>
                <c:pt idx="7">
                  <c:v>0.36593671109023662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67D5-4F46-999B-E209E1343C5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4772224"/>
        <c:axId val="244778112"/>
      </c:lineChart>
      <c:catAx>
        <c:axId val="24477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778112"/>
        <c:crosses val="autoZero"/>
        <c:auto val="1"/>
        <c:lblAlgn val="ctr"/>
        <c:lblOffset val="100"/>
        <c:noMultiLvlLbl val="0"/>
      </c:catAx>
      <c:valAx>
        <c:axId val="244778112"/>
        <c:scaling>
          <c:orientation val="minMax"/>
        </c:scaling>
        <c:delete val="0"/>
        <c:axPos val="l"/>
        <c:numFmt formatCode="0.0%" sourceLinked="1"/>
        <c:majorTickMark val="in"/>
        <c:minorTickMark val="in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77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腾讯视频付费用户增长趋势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核心数据模型!$B$102</c:f>
              <c:strCache>
                <c:ptCount val="1"/>
                <c:pt idx="0">
                  <c:v>视频付费用户数</c:v>
                </c:pt>
              </c:strCache>
            </c:strRef>
          </c:tx>
          <c:spPr>
            <a:solidFill>
              <a:schemeClr val="accent5"/>
            </a:solidFill>
            <a:ln w="3492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核心数据模型!$U$2:$AB$2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</c:strRef>
          </c:cat>
          <c:val>
            <c:numRef>
              <c:f>核心数据模型!$U$102:$AB$102</c:f>
              <c:numCache>
                <c:formatCode>0.00_);[Red]\(0.00\)</c:formatCode>
                <c:ptCount val="8"/>
                <c:pt idx="0">
                  <c:v>0.26855203619909507</c:v>
                </c:pt>
                <c:pt idx="1">
                  <c:v>0.33710407239819007</c:v>
                </c:pt>
                <c:pt idx="2">
                  <c:v>0.43</c:v>
                </c:pt>
                <c:pt idx="3">
                  <c:v>0.56000000000000005</c:v>
                </c:pt>
                <c:pt idx="4">
                  <c:v>0.65250000000000008</c:v>
                </c:pt>
                <c:pt idx="5">
                  <c:v>0.745</c:v>
                </c:pt>
                <c:pt idx="6">
                  <c:v>0.82</c:v>
                </c:pt>
                <c:pt idx="7">
                  <c:v>0.89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542-48D6-AE65-80E3F1BA91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244918144"/>
        <c:axId val="244919680"/>
      </c:barChart>
      <c:lineChart>
        <c:grouping val="standard"/>
        <c:varyColors val="0"/>
        <c:ser>
          <c:idx val="2"/>
          <c:order val="1"/>
          <c:tx>
            <c:strRef>
              <c:f>核心数据模型!$B$110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4.9912226088018145E-2"/>
                  <c:y val="2.91774023576992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42-48D6-AE65-80E3F1BA91BF}"/>
                </c:ext>
              </c:extLst>
            </c:dLbl>
            <c:dLbl>
              <c:idx val="7"/>
              <c:layout>
                <c:manualLayout>
                  <c:x val="-4.4454861746932944E-2"/>
                  <c:y val="3.62250840866120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42-48D6-AE65-80E3F1BA91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核心数据模型!$U$2:$AB$2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</c:strRef>
          </c:cat>
          <c:val>
            <c:numRef>
              <c:f>核心数据模型!$U$107:$AB$107</c:f>
              <c:numCache>
                <c:formatCode>0.00_);[Red]\(0.00\)</c:formatCode>
                <c:ptCount val="8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542-48D6-AE65-80E3F1BA9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931200"/>
        <c:axId val="244929664"/>
      </c:lineChart>
      <c:catAx>
        <c:axId val="24491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919680"/>
        <c:crosses val="autoZero"/>
        <c:auto val="1"/>
        <c:lblAlgn val="ctr"/>
        <c:lblOffset val="100"/>
        <c:noMultiLvlLbl val="0"/>
      </c:catAx>
      <c:valAx>
        <c:axId val="244919680"/>
        <c:scaling>
          <c:orientation val="minMax"/>
        </c:scaling>
        <c:delete val="0"/>
        <c:axPos val="l"/>
        <c:numFmt formatCode="0.00_);[Red]\(0.00\)" sourceLinked="1"/>
        <c:majorTickMark val="in"/>
        <c:minorTickMark val="in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918144"/>
        <c:crosses val="autoZero"/>
        <c:crossBetween val="between"/>
      </c:valAx>
      <c:valAx>
        <c:axId val="244929664"/>
        <c:scaling>
          <c:orientation val="minMax"/>
        </c:scaling>
        <c:delete val="0"/>
        <c:axPos val="r"/>
        <c:numFmt formatCode="0.00_);[Red]\(0.00\)" sourceLinked="1"/>
        <c:majorTickMark val="in"/>
        <c:minorTickMark val="none"/>
        <c:tickLblPos val="nextTo"/>
        <c:spPr>
          <a:noFill/>
          <a:ln>
            <a:solidFill>
              <a:sysClr val="windowText" lastClr="000000">
                <a:lumMod val="65000"/>
                <a:lumOff val="3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931200"/>
        <c:crosses val="max"/>
        <c:crossBetween val="between"/>
      </c:valAx>
      <c:catAx>
        <c:axId val="244931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4929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腾讯支付业务的日均交易笔数趋势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核心数据模型!$B$151</c:f>
              <c:strCache>
                <c:ptCount val="1"/>
                <c:pt idx="0">
                  <c:v>日均交易总笔数（亿）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核心数据模型!$U$2:$AB$2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</c:strRef>
          </c:cat>
          <c:val>
            <c:numRef>
              <c:f>核心数据模型!$U$151:$AB$151</c:f>
              <c:numCache>
                <c:formatCode>0.0</c:formatCode>
                <c:ptCount val="8"/>
                <c:pt idx="0">
                  <c:v>6.9462217573372298</c:v>
                </c:pt>
                <c:pt idx="1">
                  <c:v>7.6323701889486095</c:v>
                </c:pt>
                <c:pt idx="2">
                  <c:v>7.5338932390329996</c:v>
                </c:pt>
                <c:pt idx="3">
                  <c:v>7.9844837499506829</c:v>
                </c:pt>
                <c:pt idx="4">
                  <c:v>8.8502247014045725</c:v>
                </c:pt>
                <c:pt idx="5">
                  <c:v>9.5</c:v>
                </c:pt>
                <c:pt idx="6">
                  <c:v>10.163674068734043</c:v>
                </c:pt>
                <c:pt idx="7">
                  <c:v>11.6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F2-4190-ADF2-BFE75CF044F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4944256"/>
        <c:axId val="244967680"/>
      </c:lineChart>
      <c:catAx>
        <c:axId val="24494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967680"/>
        <c:crosses val="autoZero"/>
        <c:auto val="1"/>
        <c:lblAlgn val="ctr"/>
        <c:lblOffset val="100"/>
        <c:noMultiLvlLbl val="0"/>
      </c:catAx>
      <c:valAx>
        <c:axId val="244967680"/>
        <c:scaling>
          <c:orientation val="minMax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94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数字内容收入增长趋势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核心数据模型!$B$82</c:f>
              <c:strCache>
                <c:ptCount val="1"/>
                <c:pt idx="0">
                  <c:v>数字内容</c:v>
                </c:pt>
              </c:strCache>
            </c:strRef>
          </c:tx>
          <c:spPr>
            <a:solidFill>
              <a:srgbClr val="0070C0"/>
            </a:solidFill>
            <a:ln w="3492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核心数据模型!$U$2:$AB$2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</c:strRef>
          </c:cat>
          <c:val>
            <c:numRef>
              <c:f>核心数据模型!$U$82:$AB$82</c:f>
              <c:numCache>
                <c:formatCode>0</c:formatCode>
                <c:ptCount val="8"/>
                <c:pt idx="0">
                  <c:v>81.080000000000041</c:v>
                </c:pt>
                <c:pt idx="1">
                  <c:v>84.04000000000002</c:v>
                </c:pt>
                <c:pt idx="2">
                  <c:v>93.240000000000009</c:v>
                </c:pt>
                <c:pt idx="3">
                  <c:v>102.47000000000003</c:v>
                </c:pt>
                <c:pt idx="4">
                  <c:v>110.76999999999998</c:v>
                </c:pt>
                <c:pt idx="5">
                  <c:v>115.69</c:v>
                </c:pt>
                <c:pt idx="6">
                  <c:v>121.49000000000001</c:v>
                </c:pt>
                <c:pt idx="7">
                  <c:v>134.51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8BF-4827-9310-F7A71528CD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244252672"/>
        <c:axId val="244253824"/>
      </c:barChart>
      <c:lineChart>
        <c:grouping val="standard"/>
        <c:varyColors val="0"/>
        <c:ser>
          <c:idx val="2"/>
          <c:order val="1"/>
          <c:tx>
            <c:strRef>
              <c:f>核心数据模型!$B$83</c:f>
              <c:strCache>
                <c:ptCount val="1"/>
                <c:pt idx="0">
                  <c:v>数字同比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4.3710675700421246E-2"/>
                  <c:y val="-4.12994149314294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BF-4827-9310-F7A71528CD65}"/>
                </c:ext>
              </c:extLst>
            </c:dLbl>
            <c:dLbl>
              <c:idx val="7"/>
              <c:layout>
                <c:manualLayout>
                  <c:x val="-4.4454861746932944E-2"/>
                  <c:y val="-4.12994149314293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BF-4827-9310-F7A71528CD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核心数据模型!$U$2:$AB$2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</c:strRef>
          </c:cat>
          <c:val>
            <c:numRef>
              <c:f>核心数据模型!$U$83:$AB$83</c:f>
              <c:numCache>
                <c:formatCode>General</c:formatCode>
                <c:ptCount val="8"/>
                <c:pt idx="4" formatCode="0%">
                  <c:v>0.36618154908732015</c:v>
                </c:pt>
                <c:pt idx="5" formatCode="0%">
                  <c:v>0.37660637791527818</c:v>
                </c:pt>
                <c:pt idx="6" formatCode="0%">
                  <c:v>0.30298155298155294</c:v>
                </c:pt>
                <c:pt idx="7" formatCode="0%">
                  <c:v>0.31267688103835223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8BF-4827-9310-F7A71528C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269440"/>
        <c:axId val="244255360"/>
      </c:lineChart>
      <c:catAx>
        <c:axId val="24425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253824"/>
        <c:crosses val="autoZero"/>
        <c:auto val="1"/>
        <c:lblAlgn val="ctr"/>
        <c:lblOffset val="100"/>
        <c:noMultiLvlLbl val="0"/>
      </c:catAx>
      <c:valAx>
        <c:axId val="244253824"/>
        <c:scaling>
          <c:orientation val="minMax"/>
        </c:scaling>
        <c:delete val="0"/>
        <c:axPos val="l"/>
        <c:numFmt formatCode="0" sourceLinked="1"/>
        <c:majorTickMark val="in"/>
        <c:minorTickMark val="in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252672"/>
        <c:crosses val="autoZero"/>
        <c:crossBetween val="between"/>
      </c:valAx>
      <c:valAx>
        <c:axId val="244255360"/>
        <c:scaling>
          <c:orientation val="minMax"/>
          <c:min val="0.2"/>
        </c:scaling>
        <c:delete val="0"/>
        <c:axPos val="r"/>
        <c:numFmt formatCode="0%" sourceLinked="0"/>
        <c:majorTickMark val="in"/>
        <c:minorTickMark val="none"/>
        <c:tickLblPos val="nextTo"/>
        <c:spPr>
          <a:noFill/>
          <a:ln>
            <a:solidFill>
              <a:sysClr val="windowText" lastClr="000000">
                <a:lumMod val="65000"/>
                <a:lumOff val="3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269440"/>
        <c:crosses val="max"/>
        <c:crossBetween val="between"/>
      </c:valAx>
      <c:catAx>
        <c:axId val="244269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4255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腾讯季度营收趋势图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3306507364848145E-2"/>
          <c:y val="0.15824822470634675"/>
          <c:w val="0.86209874200467917"/>
          <c:h val="0.68302440875382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'业务表-季度'!$B$3</c:f>
              <c:strCache>
                <c:ptCount val="1"/>
                <c:pt idx="0">
                  <c:v>总营收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'业务表-季度'!$K$2:$R$2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</c:strRef>
          </c:cat>
          <c:val>
            <c:numRef>
              <c:f>'业务表-季度'!$K$3:$R$3</c:f>
              <c:numCache>
                <c:formatCode>0.00_ </c:formatCode>
                <c:ptCount val="8"/>
                <c:pt idx="0">
                  <c:v>495.52000000000004</c:v>
                </c:pt>
                <c:pt idx="1">
                  <c:v>566.06000000000006</c:v>
                </c:pt>
                <c:pt idx="2">
                  <c:v>652.09999999999991</c:v>
                </c:pt>
                <c:pt idx="3">
                  <c:v>663.92000000000007</c:v>
                </c:pt>
                <c:pt idx="4">
                  <c:v>735.28</c:v>
                </c:pt>
                <c:pt idx="5">
                  <c:v>736.75</c:v>
                </c:pt>
                <c:pt idx="6">
                  <c:v>805.95</c:v>
                </c:pt>
                <c:pt idx="7">
                  <c:v>848.96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BA-43F2-A3F3-D29080C963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244476160"/>
        <c:axId val="244482048"/>
      </c:barChart>
      <c:lineChart>
        <c:grouping val="standard"/>
        <c:varyColors val="0"/>
        <c:ser>
          <c:idx val="1"/>
          <c:order val="1"/>
          <c:tx>
            <c:strRef>
              <c:f>'业务表-季度'!$B$4</c:f>
              <c:strCache>
                <c:ptCount val="1"/>
                <c:pt idx="0">
                  <c:v>同比</c:v>
                </c:pt>
              </c:strCache>
            </c:strRef>
          </c:tx>
          <c:spPr>
            <a:ln w="44450" cap="rnd">
              <a:solidFill>
                <a:srgbClr val="D20000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4.4092782220093968E-2"/>
                  <c:y val="3.40052440655323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E8-422B-9866-C183E9D6AA72}"/>
                </c:ext>
              </c:extLst>
            </c:dLbl>
            <c:dLbl>
              <c:idx val="4"/>
              <c:layout>
                <c:manualLayout>
                  <c:x val="-4.4092782220094044E-2"/>
                  <c:y val="-3.8346339052621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E8-422B-9866-C183E9D6AA72}"/>
                </c:ext>
              </c:extLst>
            </c:dLbl>
            <c:dLbl>
              <c:idx val="7"/>
              <c:layout>
                <c:manualLayout>
                  <c:x val="-3.0347169592238828E-2"/>
                  <c:y val="-6.26033154430293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2C-406F-9573-98628D99C0DF}"/>
                </c:ext>
              </c:extLst>
            </c:dLbl>
            <c:dLbl>
              <c:idx val="8"/>
              <c:layout>
                <c:manualLayout>
                  <c:x val="-4.0741495851398829E-2"/>
                  <c:y val="8.02541488032344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2C-406F-9573-98628D99C0DF}"/>
                </c:ext>
              </c:extLst>
            </c:dLbl>
            <c:dLbl>
              <c:idx val="9"/>
              <c:layout>
                <c:manualLayout>
                  <c:x val="-3.9005945727072472E-2"/>
                  <c:y val="3.89842146876470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2C-406F-9573-98628D99C0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'业务表-季度'!$K$2:$R$2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</c:strRef>
          </c:cat>
          <c:val>
            <c:numRef>
              <c:f>'业务表-季度'!$K$4:$R$4</c:f>
              <c:numCache>
                <c:formatCode>0.0%</c:formatCode>
                <c:ptCount val="8"/>
                <c:pt idx="0">
                  <c:v>0.548741990936084</c:v>
                </c:pt>
                <c:pt idx="1">
                  <c:v>0.58600207335182541</c:v>
                </c:pt>
                <c:pt idx="2">
                  <c:v>0.61458849163117746</c:v>
                </c:pt>
                <c:pt idx="3">
                  <c:v>0.51358745212474943</c:v>
                </c:pt>
                <c:pt idx="4">
                  <c:v>0.48385534388117524</c:v>
                </c:pt>
                <c:pt idx="5">
                  <c:v>0.30154047274140527</c:v>
                </c:pt>
                <c:pt idx="6">
                  <c:v>0.23593007207483541</c:v>
                </c:pt>
                <c:pt idx="7">
                  <c:v>0.2787082781057959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BABA-43F2-A3F3-D29080C963D8}"/>
            </c:ext>
          </c:extLst>
        </c:ser>
        <c:ser>
          <c:idx val="2"/>
          <c:order val="2"/>
          <c:tx>
            <c:strRef>
              <c:f>'业务表-季度'!$B$5</c:f>
              <c:strCache>
                <c:ptCount val="1"/>
                <c:pt idx="0">
                  <c:v>环比</c:v>
                </c:pt>
              </c:strCache>
            </c:strRef>
          </c:tx>
          <c:spPr>
            <a:ln w="444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'业务表-季度'!$K$2:$R$2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</c:strRef>
          </c:cat>
          <c:val>
            <c:numRef>
              <c:f>'业务表-季度'!$K$5:$R$5</c:f>
              <c:numCache>
                <c:formatCode>0.0%</c:formatCode>
                <c:ptCount val="8"/>
                <c:pt idx="0">
                  <c:v>0.12967353638519064</c:v>
                </c:pt>
                <c:pt idx="1">
                  <c:v>0.14235550532773655</c:v>
                </c:pt>
                <c:pt idx="2">
                  <c:v>0.15199802141115759</c:v>
                </c:pt>
                <c:pt idx="3">
                  <c:v>1.8126054286152771E-2</c:v>
                </c:pt>
                <c:pt idx="4">
                  <c:v>0.10748282925653685</c:v>
                </c:pt>
                <c:pt idx="5">
                  <c:v>1.9992383853770779E-3</c:v>
                </c:pt>
                <c:pt idx="6">
                  <c:v>9.3926026467594292E-2</c:v>
                </c:pt>
                <c:pt idx="7">
                  <c:v>5.3365593399094191E-2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E8-422B-9866-C183E9D6AA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4485120"/>
        <c:axId val="244483584"/>
      </c:lineChart>
      <c:catAx>
        <c:axId val="24447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482048"/>
        <c:crosses val="autoZero"/>
        <c:auto val="1"/>
        <c:lblAlgn val="ctr"/>
        <c:lblOffset val="100"/>
        <c:noMultiLvlLbl val="0"/>
      </c:catAx>
      <c:valAx>
        <c:axId val="244482048"/>
        <c:scaling>
          <c:orientation val="minMax"/>
        </c:scaling>
        <c:delete val="0"/>
        <c:axPos val="l"/>
        <c:numFmt formatCode="0.0_);[Red]\(0.0\)" sourceLinked="0"/>
        <c:majorTickMark val="in"/>
        <c:minorTickMark val="in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476160"/>
        <c:crosses val="autoZero"/>
        <c:crossBetween val="between"/>
      </c:valAx>
      <c:valAx>
        <c:axId val="244483584"/>
        <c:scaling>
          <c:orientation val="minMax"/>
        </c:scaling>
        <c:delete val="0"/>
        <c:axPos val="r"/>
        <c:numFmt formatCode="0.0%" sourceLinked="1"/>
        <c:majorTickMark val="in"/>
        <c:minorTickMark val="none"/>
        <c:tickLblPos val="nextTo"/>
        <c:spPr>
          <a:noFill/>
          <a:ln>
            <a:solidFill>
              <a:sysClr val="windowText" lastClr="000000">
                <a:lumMod val="65000"/>
                <a:lumOff val="3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4485120"/>
        <c:crosses val="max"/>
        <c:crossBetween val="between"/>
      </c:valAx>
      <c:catAx>
        <c:axId val="244485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44835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腾讯经营利润趋势图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3306507364848145E-2"/>
          <c:y val="0.15824822470634675"/>
          <c:w val="0.86209874200467917"/>
          <c:h val="0.6385798351742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'业务表-季度'!$B$62</c:f>
              <c:strCache>
                <c:ptCount val="1"/>
                <c:pt idx="0">
                  <c:v>经营利润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'业务表-季度'!$G$2:$Q$2</c:f>
              <c:strCache>
                <c:ptCount val="11"/>
                <c:pt idx="0">
                  <c:v>16Q1</c:v>
                </c:pt>
                <c:pt idx="1">
                  <c:v>16Q2</c:v>
                </c:pt>
                <c:pt idx="2">
                  <c:v>16Q3</c:v>
                </c:pt>
                <c:pt idx="3">
                  <c:v>16Q4</c:v>
                </c:pt>
                <c:pt idx="4">
                  <c:v>17Q1</c:v>
                </c:pt>
                <c:pt idx="5">
                  <c:v>17Q2</c:v>
                </c:pt>
                <c:pt idx="6">
                  <c:v>17Q3</c:v>
                </c:pt>
                <c:pt idx="7">
                  <c:v>17Q4</c:v>
                </c:pt>
                <c:pt idx="8">
                  <c:v>18Q1</c:v>
                </c:pt>
                <c:pt idx="9">
                  <c:v>18Q2</c:v>
                </c:pt>
                <c:pt idx="10">
                  <c:v>18Q3</c:v>
                </c:pt>
              </c:strCache>
            </c:strRef>
          </c:cat>
          <c:val>
            <c:numRef>
              <c:f>'业务表-季度'!$G$62:$Q$62</c:f>
              <c:numCache>
                <c:formatCode>0.00_ </c:formatCode>
                <c:ptCount val="11"/>
                <c:pt idx="0">
                  <c:v>134.02821</c:v>
                </c:pt>
                <c:pt idx="1">
                  <c:v>143.29330000000004</c:v>
                </c:pt>
                <c:pt idx="2">
                  <c:v>144.74171000000004</c:v>
                </c:pt>
                <c:pt idx="3">
                  <c:v>139.1746</c:v>
                </c:pt>
                <c:pt idx="4">
                  <c:v>192.61560000000003</c:v>
                </c:pt>
                <c:pt idx="5">
                  <c:v>225.55664000000002</c:v>
                </c:pt>
                <c:pt idx="6">
                  <c:v>227.50453999999991</c:v>
                </c:pt>
                <c:pt idx="7">
                  <c:v>257.27015000000006</c:v>
                </c:pt>
                <c:pt idx="8">
                  <c:v>307.12456999999995</c:v>
                </c:pt>
                <c:pt idx="9">
                  <c:v>218.10644000000002</c:v>
                </c:pt>
                <c:pt idx="10">
                  <c:v>278.61000000000007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611-4C74-A1D8-C9ECF84794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245744384"/>
        <c:axId val="245745920"/>
      </c:barChart>
      <c:lineChart>
        <c:grouping val="standard"/>
        <c:varyColors val="0"/>
        <c:ser>
          <c:idx val="1"/>
          <c:order val="1"/>
          <c:tx>
            <c:strRef>
              <c:f>'业务表-季度'!$B$63</c:f>
              <c:strCache>
                <c:ptCount val="1"/>
                <c:pt idx="0">
                  <c:v>同比</c:v>
                </c:pt>
              </c:strCache>
            </c:strRef>
          </c:tx>
          <c:spPr>
            <a:ln w="44450" cap="rnd">
              <a:solidFill>
                <a:srgbClr val="D20000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2.9998687049735986E-2"/>
                  <c:y val="-4.33669918696170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11-4C74-A1D8-C9ECF847948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 val="-3.6853555848491745E-2"/>
                  <c:y val="3.617844158688146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BFA-481F-8F4A-FB2006A7699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'业务表-季度'!$G$2:$Q$2</c:f>
              <c:strCache>
                <c:ptCount val="11"/>
                <c:pt idx="0">
                  <c:v>16Q1</c:v>
                </c:pt>
                <c:pt idx="1">
                  <c:v>16Q2</c:v>
                </c:pt>
                <c:pt idx="2">
                  <c:v>16Q3</c:v>
                </c:pt>
                <c:pt idx="3">
                  <c:v>16Q4</c:v>
                </c:pt>
                <c:pt idx="4">
                  <c:v>17Q1</c:v>
                </c:pt>
                <c:pt idx="5">
                  <c:v>17Q2</c:v>
                </c:pt>
                <c:pt idx="6">
                  <c:v>17Q3</c:v>
                </c:pt>
                <c:pt idx="7">
                  <c:v>17Q4</c:v>
                </c:pt>
                <c:pt idx="8">
                  <c:v>18Q1</c:v>
                </c:pt>
                <c:pt idx="9">
                  <c:v>18Q2</c:v>
                </c:pt>
                <c:pt idx="10">
                  <c:v>18Q3</c:v>
                </c:pt>
              </c:strCache>
            </c:strRef>
          </c:cat>
          <c:val>
            <c:numRef>
              <c:f>'业务表-季度'!$G$63:$Q$63</c:f>
              <c:numCache>
                <c:formatCode>0.0%</c:formatCode>
                <c:ptCount val="11"/>
                <c:pt idx="0">
                  <c:v>0.43009186939820698</c:v>
                </c:pt>
                <c:pt idx="1">
                  <c:v>0.42779294539657342</c:v>
                </c:pt>
                <c:pt idx="2">
                  <c:v>0.40104259026231759</c:v>
                </c:pt>
                <c:pt idx="3">
                  <c:v>0.27823842762674533</c:v>
                </c:pt>
                <c:pt idx="4">
                  <c:v>0.43712730327443783</c:v>
                </c:pt>
                <c:pt idx="5">
                  <c:v>0.5740906239161212</c:v>
                </c:pt>
                <c:pt idx="6">
                  <c:v>0.57179668528166383</c:v>
                </c:pt>
                <c:pt idx="7">
                  <c:v>0.84854240644485457</c:v>
                </c:pt>
                <c:pt idx="8">
                  <c:v>0.59449478650742682</c:v>
                </c:pt>
                <c:pt idx="9">
                  <c:v>-3.3030284544050659E-2</c:v>
                </c:pt>
                <c:pt idx="10">
                  <c:v>0.22463490179141132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611-4C74-A1D8-C9ECF8479488}"/>
            </c:ext>
          </c:extLst>
        </c:ser>
        <c:ser>
          <c:idx val="2"/>
          <c:order val="2"/>
          <c:tx>
            <c:strRef>
              <c:f>'业务表-季度'!$B$65</c:f>
              <c:strCache>
                <c:ptCount val="1"/>
                <c:pt idx="0">
                  <c:v>经营利润率</c:v>
                </c:pt>
              </c:strCache>
            </c:strRef>
          </c:tx>
          <c:spPr>
            <a:ln w="444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'业务表-季度'!$G$2:$Q$2</c:f>
              <c:strCache>
                <c:ptCount val="11"/>
                <c:pt idx="0">
                  <c:v>16Q1</c:v>
                </c:pt>
                <c:pt idx="1">
                  <c:v>16Q2</c:v>
                </c:pt>
                <c:pt idx="2">
                  <c:v>16Q3</c:v>
                </c:pt>
                <c:pt idx="3">
                  <c:v>16Q4</c:v>
                </c:pt>
                <c:pt idx="4">
                  <c:v>17Q1</c:v>
                </c:pt>
                <c:pt idx="5">
                  <c:v>17Q2</c:v>
                </c:pt>
                <c:pt idx="6">
                  <c:v>17Q3</c:v>
                </c:pt>
                <c:pt idx="7">
                  <c:v>17Q4</c:v>
                </c:pt>
                <c:pt idx="8">
                  <c:v>18Q1</c:v>
                </c:pt>
                <c:pt idx="9">
                  <c:v>18Q2</c:v>
                </c:pt>
                <c:pt idx="10">
                  <c:v>18Q3</c:v>
                </c:pt>
              </c:strCache>
            </c:strRef>
          </c:cat>
          <c:val>
            <c:numRef>
              <c:f>'业务表-季度'!$G$65:$Q$65</c:f>
              <c:numCache>
                <c:formatCode>0.0%</c:formatCode>
                <c:ptCount val="11"/>
                <c:pt idx="0">
                  <c:v>0.41890360993905301</c:v>
                </c:pt>
                <c:pt idx="1">
                  <c:v>0.40148300692051225</c:v>
                </c:pt>
                <c:pt idx="2">
                  <c:v>0.35837800831930289</c:v>
                </c:pt>
                <c:pt idx="3">
                  <c:v>0.31728661316797374</c:v>
                </c:pt>
                <c:pt idx="4">
                  <c:v>0.38871407814013564</c:v>
                </c:pt>
                <c:pt idx="5">
                  <c:v>0.39846772426951205</c:v>
                </c:pt>
                <c:pt idx="6">
                  <c:v>0.34887983438122977</c:v>
                </c:pt>
                <c:pt idx="7">
                  <c:v>0.38750173213640204</c:v>
                </c:pt>
                <c:pt idx="8">
                  <c:v>0.41769743499075179</c:v>
                </c:pt>
                <c:pt idx="9">
                  <c:v>0.29603860196810317</c:v>
                </c:pt>
                <c:pt idx="10">
                  <c:v>0.34569142006327941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BFA-481F-8F4A-FB2006A769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5372416"/>
        <c:axId val="245370880"/>
      </c:lineChart>
      <c:catAx>
        <c:axId val="2457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5745920"/>
        <c:crosses val="autoZero"/>
        <c:auto val="1"/>
        <c:lblAlgn val="ctr"/>
        <c:lblOffset val="100"/>
        <c:noMultiLvlLbl val="0"/>
      </c:catAx>
      <c:valAx>
        <c:axId val="245745920"/>
        <c:scaling>
          <c:orientation val="minMax"/>
        </c:scaling>
        <c:delete val="0"/>
        <c:axPos val="l"/>
        <c:numFmt formatCode="0.0_);[Red]\(0.0\)" sourceLinked="0"/>
        <c:majorTickMark val="in"/>
        <c:minorTickMark val="in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5744384"/>
        <c:crosses val="autoZero"/>
        <c:crossBetween val="between"/>
      </c:valAx>
      <c:valAx>
        <c:axId val="245370880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5372416"/>
        <c:crosses val="max"/>
        <c:crossBetween val="between"/>
      </c:valAx>
      <c:catAx>
        <c:axId val="245372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5370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腾讯季度经营利润和成本费用构成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'业务表-季度'!$B$18</c:f>
              <c:strCache>
                <c:ptCount val="1"/>
                <c:pt idx="0">
                  <c:v>营业成本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.00_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'业务表-季度'!$G$2:$Q$2</c:f>
              <c:strCache>
                <c:ptCount val="11"/>
                <c:pt idx="0">
                  <c:v>16Q1</c:v>
                </c:pt>
                <c:pt idx="1">
                  <c:v>16Q2</c:v>
                </c:pt>
                <c:pt idx="2">
                  <c:v>16Q3</c:v>
                </c:pt>
                <c:pt idx="3">
                  <c:v>16Q4</c:v>
                </c:pt>
                <c:pt idx="4">
                  <c:v>17Q1</c:v>
                </c:pt>
                <c:pt idx="5">
                  <c:v>17Q2</c:v>
                </c:pt>
                <c:pt idx="6">
                  <c:v>17Q3</c:v>
                </c:pt>
                <c:pt idx="7">
                  <c:v>17Q4</c:v>
                </c:pt>
                <c:pt idx="8">
                  <c:v>18Q1</c:v>
                </c:pt>
                <c:pt idx="9">
                  <c:v>18Q2</c:v>
                </c:pt>
                <c:pt idx="10">
                  <c:v>18Q3</c:v>
                </c:pt>
              </c:strCache>
            </c:strRef>
          </c:cat>
          <c:val>
            <c:numRef>
              <c:f>'业务表-季度'!$G$18:$Q$18</c:f>
              <c:numCache>
                <c:formatCode>0.00_ </c:formatCode>
                <c:ptCount val="11"/>
                <c:pt idx="0">
                  <c:v>-134.01178999999999</c:v>
                </c:pt>
                <c:pt idx="1">
                  <c:v>-152.3467</c:v>
                </c:pt>
                <c:pt idx="2">
                  <c:v>-185.45828999999998</c:v>
                </c:pt>
                <c:pt idx="3">
                  <c:v>-202.50539999999998</c:v>
                </c:pt>
                <c:pt idx="4">
                  <c:v>-241.19440000000003</c:v>
                </c:pt>
                <c:pt idx="5">
                  <c:v>-283.04336000000001</c:v>
                </c:pt>
                <c:pt idx="6">
                  <c:v>-335.24546000000004</c:v>
                </c:pt>
                <c:pt idx="7">
                  <c:v>-348.93985000000004</c:v>
                </c:pt>
                <c:pt idx="8">
                  <c:v>-364.65543000000002</c:v>
                </c:pt>
                <c:pt idx="9">
                  <c:v>-392.25355999999999</c:v>
                </c:pt>
                <c:pt idx="10">
                  <c:v>-451.15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417-4747-AE3F-E24EA1F1BBDA}"/>
            </c:ext>
          </c:extLst>
        </c:ser>
        <c:ser>
          <c:idx val="2"/>
          <c:order val="1"/>
          <c:tx>
            <c:strRef>
              <c:f>'业务表-季度'!$B$50</c:f>
              <c:strCache>
                <c:ptCount val="1"/>
                <c:pt idx="0">
                  <c:v>销售费用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1.036413405721786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CB-4633-9F8A-74D0A68AE9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'业务表-季度'!$G$2:$Q$2</c:f>
              <c:strCache>
                <c:ptCount val="11"/>
                <c:pt idx="0">
                  <c:v>16Q1</c:v>
                </c:pt>
                <c:pt idx="1">
                  <c:v>16Q2</c:v>
                </c:pt>
                <c:pt idx="2">
                  <c:v>16Q3</c:v>
                </c:pt>
                <c:pt idx="3">
                  <c:v>16Q4</c:v>
                </c:pt>
                <c:pt idx="4">
                  <c:v>17Q1</c:v>
                </c:pt>
                <c:pt idx="5">
                  <c:v>17Q2</c:v>
                </c:pt>
                <c:pt idx="6">
                  <c:v>17Q3</c:v>
                </c:pt>
                <c:pt idx="7">
                  <c:v>17Q4</c:v>
                </c:pt>
                <c:pt idx="8">
                  <c:v>18Q1</c:v>
                </c:pt>
                <c:pt idx="9">
                  <c:v>18Q2</c:v>
                </c:pt>
                <c:pt idx="10">
                  <c:v>18Q3</c:v>
                </c:pt>
              </c:strCache>
            </c:strRef>
          </c:cat>
          <c:val>
            <c:numRef>
              <c:f>'业务表-季度'!$G$50:$Q$50</c:f>
              <c:numCache>
                <c:formatCode>0.00</c:formatCode>
                <c:ptCount val="11"/>
                <c:pt idx="0">
                  <c:v>-20.32</c:v>
                </c:pt>
                <c:pt idx="1">
                  <c:v>-23.65</c:v>
                </c:pt>
                <c:pt idx="2">
                  <c:v>-32.770000000000003</c:v>
                </c:pt>
                <c:pt idx="3">
                  <c:v>-44.62</c:v>
                </c:pt>
                <c:pt idx="4">
                  <c:v>-31.58</c:v>
                </c:pt>
                <c:pt idx="5">
                  <c:v>-36.6</c:v>
                </c:pt>
                <c:pt idx="6">
                  <c:v>-48.12</c:v>
                </c:pt>
                <c:pt idx="7">
                  <c:v>-60.22</c:v>
                </c:pt>
                <c:pt idx="8">
                  <c:v>-55.7</c:v>
                </c:pt>
                <c:pt idx="9">
                  <c:v>-63.6</c:v>
                </c:pt>
                <c:pt idx="10">
                  <c:v>-65.73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417-4747-AE3F-E24EA1F1BBDA}"/>
            </c:ext>
          </c:extLst>
        </c:ser>
        <c:ser>
          <c:idx val="1"/>
          <c:order val="2"/>
          <c:tx>
            <c:strRef>
              <c:f>'业务表-季度'!$B$54</c:f>
              <c:strCache>
                <c:ptCount val="1"/>
                <c:pt idx="0">
                  <c:v>研发支出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'业务表-季度'!$G$2:$Q$2</c:f>
              <c:strCache>
                <c:ptCount val="11"/>
                <c:pt idx="0">
                  <c:v>16Q1</c:v>
                </c:pt>
                <c:pt idx="1">
                  <c:v>16Q2</c:v>
                </c:pt>
                <c:pt idx="2">
                  <c:v>16Q3</c:v>
                </c:pt>
                <c:pt idx="3">
                  <c:v>16Q4</c:v>
                </c:pt>
                <c:pt idx="4">
                  <c:v>17Q1</c:v>
                </c:pt>
                <c:pt idx="5">
                  <c:v>17Q2</c:v>
                </c:pt>
                <c:pt idx="6">
                  <c:v>17Q3</c:v>
                </c:pt>
                <c:pt idx="7">
                  <c:v>17Q4</c:v>
                </c:pt>
                <c:pt idx="8">
                  <c:v>18Q1</c:v>
                </c:pt>
                <c:pt idx="9">
                  <c:v>18Q2</c:v>
                </c:pt>
                <c:pt idx="10">
                  <c:v>18Q3</c:v>
                </c:pt>
              </c:strCache>
            </c:strRef>
          </c:cat>
          <c:val>
            <c:numRef>
              <c:f>'业务表-季度'!$G$54:$Q$54</c:f>
              <c:numCache>
                <c:formatCode>0.00</c:formatCode>
                <c:ptCount val="11"/>
                <c:pt idx="0">
                  <c:v>-23.33</c:v>
                </c:pt>
                <c:pt idx="1">
                  <c:v>-27.459731219487097</c:v>
                </c:pt>
                <c:pt idx="2">
                  <c:v>-31.65</c:v>
                </c:pt>
                <c:pt idx="3">
                  <c:v>-36.01</c:v>
                </c:pt>
                <c:pt idx="4">
                  <c:v>-35.97381</c:v>
                </c:pt>
                <c:pt idx="5">
                  <c:v>-42.406809999999993</c:v>
                </c:pt>
                <c:pt idx="6">
                  <c:v>-48.281655629999996</c:v>
                </c:pt>
                <c:pt idx="7">
                  <c:v>-47.9</c:v>
                </c:pt>
                <c:pt idx="8">
                  <c:v>-50.055628663574034</c:v>
                </c:pt>
                <c:pt idx="9">
                  <c:v>-57.222200000000001</c:v>
                </c:pt>
                <c:pt idx="10">
                  <c:v>-62.54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417-4747-AE3F-E24EA1F1BBDA}"/>
            </c:ext>
          </c:extLst>
        </c:ser>
        <c:ser>
          <c:idx val="0"/>
          <c:order val="3"/>
          <c:tx>
            <c:strRef>
              <c:f>'业务表-季度'!$B$58</c:f>
              <c:strCache>
                <c:ptCount val="1"/>
                <c:pt idx="0">
                  <c:v>管理费用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'业务表-季度'!$G$2:$Q$2</c:f>
              <c:strCache>
                <c:ptCount val="11"/>
                <c:pt idx="0">
                  <c:v>16Q1</c:v>
                </c:pt>
                <c:pt idx="1">
                  <c:v>16Q2</c:v>
                </c:pt>
                <c:pt idx="2">
                  <c:v>16Q3</c:v>
                </c:pt>
                <c:pt idx="3">
                  <c:v>16Q4</c:v>
                </c:pt>
                <c:pt idx="4">
                  <c:v>17Q1</c:v>
                </c:pt>
                <c:pt idx="5">
                  <c:v>17Q2</c:v>
                </c:pt>
                <c:pt idx="6">
                  <c:v>17Q3</c:v>
                </c:pt>
                <c:pt idx="7">
                  <c:v>17Q4</c:v>
                </c:pt>
                <c:pt idx="8">
                  <c:v>18Q1</c:v>
                </c:pt>
                <c:pt idx="9">
                  <c:v>18Q2</c:v>
                </c:pt>
                <c:pt idx="10">
                  <c:v>18Q3</c:v>
                </c:pt>
              </c:strCache>
            </c:strRef>
          </c:cat>
          <c:val>
            <c:numRef>
              <c:f>'业务表-季度'!$G$58:$Q$58</c:f>
              <c:numCache>
                <c:formatCode>0.00</c:formatCode>
                <c:ptCount val="11"/>
                <c:pt idx="0">
                  <c:v>-20.350000000000001</c:v>
                </c:pt>
                <c:pt idx="1">
                  <c:v>-25.530268780512905</c:v>
                </c:pt>
                <c:pt idx="2">
                  <c:v>-27.18</c:v>
                </c:pt>
                <c:pt idx="3">
                  <c:v>-33.080000000000005</c:v>
                </c:pt>
                <c:pt idx="4">
                  <c:v>-34.146190000000004</c:v>
                </c:pt>
                <c:pt idx="5">
                  <c:v>-39.29319000000001</c:v>
                </c:pt>
                <c:pt idx="6">
                  <c:v>-42.298344370000002</c:v>
                </c:pt>
                <c:pt idx="7">
                  <c:v>-40.21</c:v>
                </c:pt>
                <c:pt idx="8">
                  <c:v>-44.244371336425964</c:v>
                </c:pt>
                <c:pt idx="9">
                  <c:v>-41.347799999999992</c:v>
                </c:pt>
                <c:pt idx="10">
                  <c:v>-46.36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417-4747-AE3F-E24EA1F1BBDA}"/>
            </c:ext>
          </c:extLst>
        </c:ser>
        <c:ser>
          <c:idx val="3"/>
          <c:order val="4"/>
          <c:tx>
            <c:strRef>
              <c:f>'业务表-季度'!$B$62</c:f>
              <c:strCache>
                <c:ptCount val="1"/>
                <c:pt idx="0">
                  <c:v>经营利润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'业务表-季度'!$G$2:$Q$2</c:f>
              <c:strCache>
                <c:ptCount val="11"/>
                <c:pt idx="0">
                  <c:v>16Q1</c:v>
                </c:pt>
                <c:pt idx="1">
                  <c:v>16Q2</c:v>
                </c:pt>
                <c:pt idx="2">
                  <c:v>16Q3</c:v>
                </c:pt>
                <c:pt idx="3">
                  <c:v>16Q4</c:v>
                </c:pt>
                <c:pt idx="4">
                  <c:v>17Q1</c:v>
                </c:pt>
                <c:pt idx="5">
                  <c:v>17Q2</c:v>
                </c:pt>
                <c:pt idx="6">
                  <c:v>17Q3</c:v>
                </c:pt>
                <c:pt idx="7">
                  <c:v>17Q4</c:v>
                </c:pt>
                <c:pt idx="8">
                  <c:v>18Q1</c:v>
                </c:pt>
                <c:pt idx="9">
                  <c:v>18Q2</c:v>
                </c:pt>
                <c:pt idx="10">
                  <c:v>18Q3</c:v>
                </c:pt>
              </c:strCache>
            </c:strRef>
          </c:cat>
          <c:val>
            <c:numRef>
              <c:f>'业务表-季度'!$G$62:$Q$62</c:f>
              <c:numCache>
                <c:formatCode>0.00_ </c:formatCode>
                <c:ptCount val="11"/>
                <c:pt idx="0">
                  <c:v>134.02821</c:v>
                </c:pt>
                <c:pt idx="1">
                  <c:v>143.29330000000004</c:v>
                </c:pt>
                <c:pt idx="2">
                  <c:v>144.74171000000004</c:v>
                </c:pt>
                <c:pt idx="3">
                  <c:v>139.1746</c:v>
                </c:pt>
                <c:pt idx="4">
                  <c:v>192.61560000000003</c:v>
                </c:pt>
                <c:pt idx="5">
                  <c:v>225.55664000000002</c:v>
                </c:pt>
                <c:pt idx="6">
                  <c:v>227.50453999999991</c:v>
                </c:pt>
                <c:pt idx="7">
                  <c:v>257.27015000000006</c:v>
                </c:pt>
                <c:pt idx="8">
                  <c:v>307.12456999999995</c:v>
                </c:pt>
                <c:pt idx="9">
                  <c:v>218.10644000000002</c:v>
                </c:pt>
                <c:pt idx="10">
                  <c:v>278.61000000000007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8417-4747-AE3F-E24EA1F1BBD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45446528"/>
        <c:axId val="245448064"/>
      </c:barChart>
      <c:catAx>
        <c:axId val="24544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5448064"/>
        <c:crosses val="autoZero"/>
        <c:auto val="1"/>
        <c:lblAlgn val="ctr"/>
        <c:lblOffset val="100"/>
        <c:noMultiLvlLbl val="0"/>
      </c:catAx>
      <c:valAx>
        <c:axId val="245448064"/>
        <c:scaling>
          <c:orientation val="minMax"/>
        </c:scaling>
        <c:delete val="0"/>
        <c:axPos val="l"/>
        <c:numFmt formatCode="0.00_ " sourceLinked="1"/>
        <c:majorTickMark val="in"/>
        <c:minorTickMark val="in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544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腾讯经营利润率和成本费用率构成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'业务表-季度'!$B$21</c:f>
              <c:strCache>
                <c:ptCount val="1"/>
                <c:pt idx="0">
                  <c:v>营业成本率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'业务表-季度'!$G$2:$Q$2</c:f>
              <c:strCache>
                <c:ptCount val="11"/>
                <c:pt idx="0">
                  <c:v>16Q1</c:v>
                </c:pt>
                <c:pt idx="1">
                  <c:v>16Q2</c:v>
                </c:pt>
                <c:pt idx="2">
                  <c:v>16Q3</c:v>
                </c:pt>
                <c:pt idx="3">
                  <c:v>16Q4</c:v>
                </c:pt>
                <c:pt idx="4">
                  <c:v>17Q1</c:v>
                </c:pt>
                <c:pt idx="5">
                  <c:v>17Q2</c:v>
                </c:pt>
                <c:pt idx="6">
                  <c:v>17Q3</c:v>
                </c:pt>
                <c:pt idx="7">
                  <c:v>17Q4</c:v>
                </c:pt>
                <c:pt idx="8">
                  <c:v>18Q1</c:v>
                </c:pt>
                <c:pt idx="9">
                  <c:v>18Q2</c:v>
                </c:pt>
                <c:pt idx="10">
                  <c:v>18Q3</c:v>
                </c:pt>
              </c:strCache>
            </c:strRef>
          </c:cat>
          <c:val>
            <c:numRef>
              <c:f>'业务表-季度'!$G$21:$Q$21</c:f>
              <c:numCache>
                <c:formatCode>0.0%</c:formatCode>
                <c:ptCount val="11"/>
                <c:pt idx="0">
                  <c:v>-0.4188522894202219</c:v>
                </c:pt>
                <c:pt idx="1">
                  <c:v>-0.42684906559076513</c:v>
                </c:pt>
                <c:pt idx="2">
                  <c:v>-0.45919156680202033</c:v>
                </c:pt>
                <c:pt idx="3">
                  <c:v>-0.46166651468174352</c:v>
                </c:pt>
                <c:pt idx="4">
                  <c:v>-0.48675008072328063</c:v>
                </c:pt>
                <c:pt idx="5">
                  <c:v>-0.5000236017383316</c:v>
                </c:pt>
                <c:pt idx="6">
                  <c:v>-0.51410130348106131</c:v>
                </c:pt>
                <c:pt idx="7">
                  <c:v>-0.5255751445957344</c:v>
                </c:pt>
                <c:pt idx="8">
                  <c:v>-0.49594090686541187</c:v>
                </c:pt>
                <c:pt idx="9">
                  <c:v>-0.53241066847641672</c:v>
                </c:pt>
                <c:pt idx="10">
                  <c:v>-0.55977417953967357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777-4FAC-80C3-82975B3B5A79}"/>
            </c:ext>
          </c:extLst>
        </c:ser>
        <c:ser>
          <c:idx val="2"/>
          <c:order val="1"/>
          <c:tx>
            <c:strRef>
              <c:f>'业务表-季度'!$B$53</c:f>
              <c:strCache>
                <c:ptCount val="1"/>
                <c:pt idx="0">
                  <c:v>销售费用率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'业务表-季度'!$G$2:$Q$2</c:f>
              <c:strCache>
                <c:ptCount val="11"/>
                <c:pt idx="0">
                  <c:v>16Q1</c:v>
                </c:pt>
                <c:pt idx="1">
                  <c:v>16Q2</c:v>
                </c:pt>
                <c:pt idx="2">
                  <c:v>16Q3</c:v>
                </c:pt>
                <c:pt idx="3">
                  <c:v>16Q4</c:v>
                </c:pt>
                <c:pt idx="4">
                  <c:v>17Q1</c:v>
                </c:pt>
                <c:pt idx="5">
                  <c:v>17Q2</c:v>
                </c:pt>
                <c:pt idx="6">
                  <c:v>17Q3</c:v>
                </c:pt>
                <c:pt idx="7">
                  <c:v>17Q4</c:v>
                </c:pt>
                <c:pt idx="8">
                  <c:v>18Q1</c:v>
                </c:pt>
                <c:pt idx="9">
                  <c:v>18Q2</c:v>
                </c:pt>
                <c:pt idx="10">
                  <c:v>18Q3</c:v>
                </c:pt>
              </c:strCache>
            </c:strRef>
          </c:cat>
          <c:val>
            <c:numRef>
              <c:f>'业务表-季度'!$G$53:$Q$53</c:f>
              <c:numCache>
                <c:formatCode>0.0%</c:formatCode>
                <c:ptCount val="11"/>
                <c:pt idx="0">
                  <c:v>-6.3509923425535242E-2</c:v>
                </c:pt>
                <c:pt idx="1">
                  <c:v>-6.6263203608752902E-2</c:v>
                </c:pt>
                <c:pt idx="2">
                  <c:v>-8.1137961770823025E-2</c:v>
                </c:pt>
                <c:pt idx="3">
                  <c:v>-0.10172350902790443</c:v>
                </c:pt>
                <c:pt idx="4">
                  <c:v>-6.3731030029060373E-2</c:v>
                </c:pt>
                <c:pt idx="5">
                  <c:v>-6.4657456806698932E-2</c:v>
                </c:pt>
                <c:pt idx="6">
                  <c:v>-7.3792363134488587E-2</c:v>
                </c:pt>
                <c:pt idx="7">
                  <c:v>-9.0703699240872376E-2</c:v>
                </c:pt>
                <c:pt idx="8">
                  <c:v>-7.5753454466325754E-2</c:v>
                </c:pt>
                <c:pt idx="9">
                  <c:v>-8.6325076348829313E-2</c:v>
                </c:pt>
                <c:pt idx="10">
                  <c:v>-8.1555927787083565E-2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777-4FAC-80C3-82975B3B5A79}"/>
            </c:ext>
          </c:extLst>
        </c:ser>
        <c:ser>
          <c:idx val="1"/>
          <c:order val="2"/>
          <c:tx>
            <c:strRef>
              <c:f>'业务表-季度'!$B$57</c:f>
              <c:strCache>
                <c:ptCount val="1"/>
                <c:pt idx="0">
                  <c:v>研发支出率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'业务表-季度'!$G$2:$Q$2</c:f>
              <c:strCache>
                <c:ptCount val="11"/>
                <c:pt idx="0">
                  <c:v>16Q1</c:v>
                </c:pt>
                <c:pt idx="1">
                  <c:v>16Q2</c:v>
                </c:pt>
                <c:pt idx="2">
                  <c:v>16Q3</c:v>
                </c:pt>
                <c:pt idx="3">
                  <c:v>16Q4</c:v>
                </c:pt>
                <c:pt idx="4">
                  <c:v>17Q1</c:v>
                </c:pt>
                <c:pt idx="5">
                  <c:v>17Q2</c:v>
                </c:pt>
                <c:pt idx="6">
                  <c:v>17Q3</c:v>
                </c:pt>
                <c:pt idx="7">
                  <c:v>17Q4</c:v>
                </c:pt>
                <c:pt idx="8">
                  <c:v>18Q1</c:v>
                </c:pt>
                <c:pt idx="9">
                  <c:v>18Q2</c:v>
                </c:pt>
                <c:pt idx="10">
                  <c:v>18Q3</c:v>
                </c:pt>
              </c:strCache>
            </c:strRef>
          </c:cat>
          <c:val>
            <c:numRef>
              <c:f>'业务表-季度'!$G$57:$Q$57</c:f>
              <c:numCache>
                <c:formatCode>0.0%</c:formatCode>
                <c:ptCount val="11"/>
                <c:pt idx="0">
                  <c:v>-7.2917643381778405E-2</c:v>
                </c:pt>
                <c:pt idx="1">
                  <c:v>-7.6937410606279164E-2</c:v>
                </c:pt>
                <c:pt idx="2">
                  <c:v>-7.8364860849757356E-2</c:v>
                </c:pt>
                <c:pt idx="3">
                  <c:v>-8.209465621010395E-2</c:v>
                </c:pt>
                <c:pt idx="4">
                  <c:v>-7.2598098966742006E-2</c:v>
                </c:pt>
                <c:pt idx="5">
                  <c:v>-7.491575098046141E-2</c:v>
                </c:pt>
                <c:pt idx="6">
                  <c:v>-7.4040263195828862E-2</c:v>
                </c:pt>
                <c:pt idx="7">
                  <c:v>-7.2147246656223629E-2</c:v>
                </c:pt>
                <c:pt idx="8">
                  <c:v>-6.8076962060132237E-2</c:v>
                </c:pt>
                <c:pt idx="9">
                  <c:v>-7.7668408551068879E-2</c:v>
                </c:pt>
                <c:pt idx="10">
                  <c:v>-7.7597865872572738E-2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777-4FAC-80C3-82975B3B5A79}"/>
            </c:ext>
          </c:extLst>
        </c:ser>
        <c:ser>
          <c:idx val="0"/>
          <c:order val="3"/>
          <c:tx>
            <c:strRef>
              <c:f>'业务表-季度'!$B$61</c:f>
              <c:strCache>
                <c:ptCount val="1"/>
                <c:pt idx="0">
                  <c:v>管理费用率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'业务表-季度'!$G$2:$Q$2</c:f>
              <c:strCache>
                <c:ptCount val="11"/>
                <c:pt idx="0">
                  <c:v>16Q1</c:v>
                </c:pt>
                <c:pt idx="1">
                  <c:v>16Q2</c:v>
                </c:pt>
                <c:pt idx="2">
                  <c:v>16Q3</c:v>
                </c:pt>
                <c:pt idx="3">
                  <c:v>16Q4</c:v>
                </c:pt>
                <c:pt idx="4">
                  <c:v>17Q1</c:v>
                </c:pt>
                <c:pt idx="5">
                  <c:v>17Q2</c:v>
                </c:pt>
                <c:pt idx="6">
                  <c:v>17Q3</c:v>
                </c:pt>
                <c:pt idx="7">
                  <c:v>17Q4</c:v>
                </c:pt>
                <c:pt idx="8">
                  <c:v>18Q1</c:v>
                </c:pt>
                <c:pt idx="9">
                  <c:v>18Q2</c:v>
                </c:pt>
                <c:pt idx="10">
                  <c:v>18Q3</c:v>
                </c:pt>
              </c:strCache>
            </c:strRef>
          </c:cat>
          <c:val>
            <c:numRef>
              <c:f>'业务表-季度'!$G$61:$Q$61</c:f>
              <c:numCache>
                <c:formatCode>0.0%</c:formatCode>
                <c:ptCount val="11"/>
                <c:pt idx="0">
                  <c:v>-6.3603688076261919E-2</c:v>
                </c:pt>
                <c:pt idx="1">
                  <c:v>-7.1531391052402291E-2</c:v>
                </c:pt>
                <c:pt idx="2">
                  <c:v>-6.7297216995147069E-2</c:v>
                </c:pt>
                <c:pt idx="3">
                  <c:v>-7.5414918840051082E-2</c:v>
                </c:pt>
                <c:pt idx="4">
                  <c:v>-6.8909811914756217E-2</c:v>
                </c:pt>
                <c:pt idx="5">
                  <c:v>-6.9415238667279097E-2</c:v>
                </c:pt>
                <c:pt idx="6">
                  <c:v>-6.4864812712774125E-2</c:v>
                </c:pt>
                <c:pt idx="7">
                  <c:v>-6.056452584648752E-2</c:v>
                </c:pt>
                <c:pt idx="8">
                  <c:v>-6.0173500348746009E-2</c:v>
                </c:pt>
                <c:pt idx="9">
                  <c:v>-5.6121886664404472E-2</c:v>
                </c:pt>
                <c:pt idx="10">
                  <c:v>-5.752217879521062E-2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777-4FAC-80C3-82975B3B5A79}"/>
            </c:ext>
          </c:extLst>
        </c:ser>
        <c:ser>
          <c:idx val="3"/>
          <c:order val="4"/>
          <c:tx>
            <c:strRef>
              <c:f>'业务表-季度'!$B$65</c:f>
              <c:strCache>
                <c:ptCount val="1"/>
                <c:pt idx="0">
                  <c:v>经营利润率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'业务表-季度'!$G$2:$Q$2</c:f>
              <c:strCache>
                <c:ptCount val="11"/>
                <c:pt idx="0">
                  <c:v>16Q1</c:v>
                </c:pt>
                <c:pt idx="1">
                  <c:v>16Q2</c:v>
                </c:pt>
                <c:pt idx="2">
                  <c:v>16Q3</c:v>
                </c:pt>
                <c:pt idx="3">
                  <c:v>16Q4</c:v>
                </c:pt>
                <c:pt idx="4">
                  <c:v>17Q1</c:v>
                </c:pt>
                <c:pt idx="5">
                  <c:v>17Q2</c:v>
                </c:pt>
                <c:pt idx="6">
                  <c:v>17Q3</c:v>
                </c:pt>
                <c:pt idx="7">
                  <c:v>17Q4</c:v>
                </c:pt>
                <c:pt idx="8">
                  <c:v>18Q1</c:v>
                </c:pt>
                <c:pt idx="9">
                  <c:v>18Q2</c:v>
                </c:pt>
                <c:pt idx="10">
                  <c:v>18Q3</c:v>
                </c:pt>
              </c:strCache>
            </c:strRef>
          </c:cat>
          <c:val>
            <c:numRef>
              <c:f>'业务表-季度'!$G$65:$Q$65</c:f>
              <c:numCache>
                <c:formatCode>0.0%</c:formatCode>
                <c:ptCount val="11"/>
                <c:pt idx="0">
                  <c:v>0.41890360993905301</c:v>
                </c:pt>
                <c:pt idx="1">
                  <c:v>0.40148300692051225</c:v>
                </c:pt>
                <c:pt idx="2">
                  <c:v>0.35837800831930289</c:v>
                </c:pt>
                <c:pt idx="3">
                  <c:v>0.31728661316797374</c:v>
                </c:pt>
                <c:pt idx="4">
                  <c:v>0.38871407814013564</c:v>
                </c:pt>
                <c:pt idx="5">
                  <c:v>0.39846772426951205</c:v>
                </c:pt>
                <c:pt idx="6">
                  <c:v>0.34887983438122977</c:v>
                </c:pt>
                <c:pt idx="7">
                  <c:v>0.38750173213640204</c:v>
                </c:pt>
                <c:pt idx="8">
                  <c:v>0.41769743499075179</c:v>
                </c:pt>
                <c:pt idx="9">
                  <c:v>0.29603860196810317</c:v>
                </c:pt>
                <c:pt idx="10">
                  <c:v>0.34569142006327941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777-4FAC-80C3-82975B3B5A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45579136"/>
        <c:axId val="245609600"/>
      </c:barChart>
      <c:catAx>
        <c:axId val="24557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5609600"/>
        <c:crosses val="autoZero"/>
        <c:auto val="1"/>
        <c:lblAlgn val="ctr"/>
        <c:lblOffset val="100"/>
        <c:noMultiLvlLbl val="0"/>
      </c:catAx>
      <c:valAx>
        <c:axId val="245609600"/>
        <c:scaling>
          <c:orientation val="minMax"/>
        </c:scaling>
        <c:delete val="0"/>
        <c:axPos val="l"/>
        <c:numFmt formatCode="0.0%" sourceLinked="1"/>
        <c:majorTickMark val="in"/>
        <c:minorTickMark val="in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557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b="1"/>
              <a:t>其它收入净额和占比趋势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0736934291922177E-2"/>
          <c:y val="0.15824822470634675"/>
          <c:w val="0.84812170648228213"/>
          <c:h val="0.694251914959837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'业务表-季度'!$B$42</c:f>
              <c:strCache>
                <c:ptCount val="1"/>
                <c:pt idx="0">
                  <c:v>其他收入净额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'业务表-季度'!$G$2:$R$2</c:f>
              <c:strCache>
                <c:ptCount val="12"/>
                <c:pt idx="0">
                  <c:v>16Q1</c:v>
                </c:pt>
                <c:pt idx="1">
                  <c:v>16Q2</c:v>
                </c:pt>
                <c:pt idx="2">
                  <c:v>16Q3</c:v>
                </c:pt>
                <c:pt idx="3">
                  <c:v>16Q4</c:v>
                </c:pt>
                <c:pt idx="4">
                  <c:v>17Q1</c:v>
                </c:pt>
                <c:pt idx="5">
                  <c:v>17Q2</c:v>
                </c:pt>
                <c:pt idx="6">
                  <c:v>17Q3</c:v>
                </c:pt>
                <c:pt idx="7">
                  <c:v>17Q4</c:v>
                </c:pt>
                <c:pt idx="8">
                  <c:v>18Q1</c:v>
                </c:pt>
                <c:pt idx="9">
                  <c:v>18Q2</c:v>
                </c:pt>
                <c:pt idx="10">
                  <c:v>18Q3</c:v>
                </c:pt>
                <c:pt idx="11">
                  <c:v>18Q4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'业务表-季度'!$C$2:$R$2</c15:sqref>
                  </c15:fullRef>
                </c:ext>
              </c:extLst>
            </c:strRef>
          </c:cat>
          <c:val>
            <c:numRef>
              <c:f>'业务表-季度'!$G$42:$R$42</c:f>
              <c:numCache>
                <c:formatCode>General</c:formatCode>
                <c:ptCount val="12"/>
                <c:pt idx="0">
                  <c:v>5.0599999999999996</c:v>
                </c:pt>
                <c:pt idx="1">
                  <c:v>9.11</c:v>
                </c:pt>
                <c:pt idx="2">
                  <c:v>11.55</c:v>
                </c:pt>
                <c:pt idx="3">
                  <c:v>10.220000000000001</c:v>
                </c:pt>
                <c:pt idx="4">
                  <c:v>31.91</c:v>
                </c:pt>
                <c:pt idx="5">
                  <c:v>51.25</c:v>
                </c:pt>
                <c:pt idx="6">
                  <c:v>39.18</c:v>
                </c:pt>
                <c:pt idx="7">
                  <c:v>79.06</c:v>
                </c:pt>
                <c:pt idx="8">
                  <c:v>75.849999999999994</c:v>
                </c:pt>
                <c:pt idx="9">
                  <c:v>25.06</c:v>
                </c:pt>
                <c:pt idx="10" formatCode="0.00">
                  <c:v>87.62</c:v>
                </c:pt>
                <c:pt idx="11" formatCode="0.00">
                  <c:v>-21.39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'业务表-季度'!$C$42:$R$42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BA-43F2-A3F3-D29080C963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250503168"/>
        <c:axId val="250505856"/>
      </c:barChart>
      <c:lineChart>
        <c:grouping val="standard"/>
        <c:varyColors val="0"/>
        <c:ser>
          <c:idx val="1"/>
          <c:order val="1"/>
          <c:tx>
            <c:strRef>
              <c:f>'业务表-季度'!$B$45</c:f>
              <c:strCache>
                <c:ptCount val="1"/>
                <c:pt idx="0">
                  <c:v>占收入比</c:v>
                </c:pt>
              </c:strCache>
            </c:strRef>
          </c:tx>
          <c:spPr>
            <a:ln w="44450" cap="rnd">
              <a:solidFill>
                <a:srgbClr val="D20000"/>
              </a:solidFill>
              <a:round/>
            </a:ln>
            <a:effectLst/>
          </c:spPr>
          <c:marker>
            <c:symbol val="none"/>
          </c:marker>
          <c:dLbls>
            <c:dLbl>
              <c:idx val="39"/>
              <c:layout>
                <c:manualLayout>
                  <c:x val="-4.086257587942526E-2"/>
                  <c:y val="9.2757724180368381E-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D76-46EA-9501-E92895413926}"/>
                </c:ext>
              </c:extLst>
            </c:dLbl>
            <c:dLbl>
              <c:idx val="67"/>
              <c:layout>
                <c:manualLayout>
                  <c:x val="-4.098899308126415E-2"/>
                  <c:y val="-5.80971511517088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7D6-4349-9CD0-02A436B6659B}"/>
                </c:ext>
              </c:extLst>
            </c:dLbl>
            <c:dLbl>
              <c:idx val="70"/>
              <c:layout>
                <c:manualLayout>
                  <c:x val="-3.7239720794349757E-2"/>
                  <c:y val="-7.0511072337971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7D6-4349-9CD0-02A436B6659B}"/>
                </c:ext>
              </c:extLst>
            </c:dLbl>
            <c:dLbl>
              <c:idx val="72"/>
              <c:layout>
                <c:manualLayout>
                  <c:x val="-2.1567762635047606E-2"/>
                  <c:y val="-4.87867102620119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D6-4349-9CD0-02A436B6659B}"/>
                </c:ext>
              </c:extLst>
            </c:dLbl>
            <c:dLbl>
              <c:idx val="73"/>
              <c:layout>
                <c:manualLayout>
                  <c:x val="-2.5991903933606723E-2"/>
                  <c:y val="-7.67180329311027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D6-4349-9CD0-02A436B6659B}"/>
                </c:ext>
              </c:extLst>
            </c:dLbl>
            <c:dLbl>
              <c:idx val="74"/>
              <c:layout>
                <c:manualLayout>
                  <c:x val="-4.6356027678472835E-2"/>
                  <c:y val="-8.97922398128922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6FD-4ACE-8C04-BBB27C5629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'业务表-季度'!$G$2:$R$2</c:f>
              <c:strCache>
                <c:ptCount val="12"/>
                <c:pt idx="0">
                  <c:v>16Q1</c:v>
                </c:pt>
                <c:pt idx="1">
                  <c:v>16Q2</c:v>
                </c:pt>
                <c:pt idx="2">
                  <c:v>16Q3</c:v>
                </c:pt>
                <c:pt idx="3">
                  <c:v>16Q4</c:v>
                </c:pt>
                <c:pt idx="4">
                  <c:v>17Q1</c:v>
                </c:pt>
                <c:pt idx="5">
                  <c:v>17Q2</c:v>
                </c:pt>
                <c:pt idx="6">
                  <c:v>17Q3</c:v>
                </c:pt>
                <c:pt idx="7">
                  <c:v>17Q4</c:v>
                </c:pt>
                <c:pt idx="8">
                  <c:v>18Q1</c:v>
                </c:pt>
                <c:pt idx="9">
                  <c:v>18Q2</c:v>
                </c:pt>
                <c:pt idx="10">
                  <c:v>18Q3</c:v>
                </c:pt>
                <c:pt idx="11">
                  <c:v>18Q4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'业务表-季度'!$C$2:$R$2</c15:sqref>
                  </c15:fullRef>
                </c:ext>
              </c:extLst>
            </c:strRef>
          </c:cat>
          <c:val>
            <c:numRef>
              <c:f>'业务表-季度'!$G$45:$R$45</c:f>
              <c:numCache>
                <c:formatCode>0.0%</c:formatCode>
                <c:ptCount val="12"/>
                <c:pt idx="0">
                  <c:v>1.5814971089232691E-2</c:v>
                </c:pt>
                <c:pt idx="1">
                  <c:v>2.5524642066627436E-2</c:v>
                </c:pt>
                <c:pt idx="2">
                  <c:v>2.8597603248489652E-2</c:v>
                </c:pt>
                <c:pt idx="3">
                  <c:v>2.3299288710559914E-2</c:v>
                </c:pt>
                <c:pt idx="4">
                  <c:v>6.4396997093961891E-2</c:v>
                </c:pt>
                <c:pt idx="5">
                  <c:v>9.0538105501183616E-2</c:v>
                </c:pt>
                <c:pt idx="6">
                  <c:v>6.0082809385063649E-2</c:v>
                </c:pt>
                <c:pt idx="7">
                  <c:v>0.11908061212194239</c:v>
                </c:pt>
                <c:pt idx="8">
                  <c:v>0.10315798063322816</c:v>
                </c:pt>
                <c:pt idx="9">
                  <c:v>3.4014251781472681E-2</c:v>
                </c:pt>
                <c:pt idx="10">
                  <c:v>0.10871642161424407</c:v>
                </c:pt>
                <c:pt idx="11">
                  <c:v>-2.5195533358462117E-2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'业务表-季度'!$C$45:$R$45</c15:sqref>
                  </c15:fullRef>
                </c:ext>
              </c:extLst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BABA-43F2-A3F3-D29080C963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0521472"/>
        <c:axId val="250519936"/>
      </c:lineChart>
      <c:catAx>
        <c:axId val="25050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0505856"/>
        <c:crosses val="autoZero"/>
        <c:auto val="1"/>
        <c:lblAlgn val="ctr"/>
        <c:lblOffset val="100"/>
        <c:noMultiLvlLbl val="0"/>
      </c:catAx>
      <c:valAx>
        <c:axId val="250505856"/>
        <c:scaling>
          <c:orientation val="minMax"/>
        </c:scaling>
        <c:delete val="0"/>
        <c:axPos val="l"/>
        <c:numFmt formatCode="0.0_);[Red]\(0.0\)" sourceLinked="0"/>
        <c:majorTickMark val="in"/>
        <c:minorTickMark val="in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0503168"/>
        <c:crosses val="autoZero"/>
        <c:crossBetween val="between"/>
      </c:valAx>
      <c:valAx>
        <c:axId val="250519936"/>
        <c:scaling>
          <c:orientation val="minMax"/>
        </c:scaling>
        <c:delete val="0"/>
        <c:axPos val="r"/>
        <c:numFmt formatCode="0.0%" sourceLinked="1"/>
        <c:majorTickMark val="in"/>
        <c:minorTickMark val="none"/>
        <c:tickLblPos val="nextTo"/>
        <c:spPr>
          <a:noFill/>
          <a:ln>
            <a:solidFill>
              <a:sysClr val="windowText" lastClr="000000">
                <a:lumMod val="65000"/>
                <a:lumOff val="3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0521472"/>
        <c:crosses val="max"/>
        <c:crossBetween val="between"/>
      </c:valAx>
      <c:catAx>
        <c:axId val="250521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051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b="1"/>
              <a:t>分占联营</a:t>
            </a:r>
            <a:r>
              <a:rPr lang="en-US" altLang="zh-CN" b="1"/>
              <a:t>/</a:t>
            </a:r>
            <a:r>
              <a:rPr lang="zh-CN" altLang="en-US" b="1"/>
              <a:t>合营公司损益趋势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3306507364848145E-2"/>
          <c:y val="0.15824822470634675"/>
          <c:w val="0.86209874200467917"/>
          <c:h val="0.6385798351742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'业务表-季度'!$B$70</c:f>
              <c:strCache>
                <c:ptCount val="1"/>
                <c:pt idx="0">
                  <c:v>分占联营/合营公司盈利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('业务表-季度'!$C$2:$F$2,'业务表-季度'!$K$2:$R$2)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'业务表-季度'!$C$2:$R$2</c15:sqref>
                  </c15:fullRef>
                </c:ext>
              </c:extLst>
            </c:strRef>
          </c:cat>
          <c:val>
            <c:numRef>
              <c:f>('业务表-季度'!$C$70:$F$70,'业务表-季度'!$K$70:$R$70)</c:f>
              <c:numCache>
                <c:formatCode>General</c:formatCode>
                <c:ptCount val="8"/>
                <c:pt idx="0">
                  <c:v>-3.75</c:v>
                </c:pt>
                <c:pt idx="1">
                  <c:v>4.9800000000000004</c:v>
                </c:pt>
                <c:pt idx="2">
                  <c:v>8.18</c:v>
                </c:pt>
                <c:pt idx="3">
                  <c:v>-1.2</c:v>
                </c:pt>
                <c:pt idx="4">
                  <c:v>-3.19</c:v>
                </c:pt>
                <c:pt idx="5">
                  <c:v>15.26</c:v>
                </c:pt>
                <c:pt idx="6" formatCode="0.00">
                  <c:v>2.64</c:v>
                </c:pt>
                <c:pt idx="7" formatCode="0.00">
                  <c:v>0.16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'业务表-季度'!$C$70:$R$70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7A1-4C43-A21D-5A9ECDC2E4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250577280"/>
        <c:axId val="250579968"/>
      </c:barChart>
      <c:lineChart>
        <c:grouping val="standard"/>
        <c:varyColors val="0"/>
        <c:ser>
          <c:idx val="1"/>
          <c:order val="1"/>
          <c:tx>
            <c:strRef>
              <c:f>'业务表-季度'!$B$73</c:f>
              <c:strCache>
                <c:ptCount val="1"/>
                <c:pt idx="0">
                  <c:v>占比</c:v>
                </c:pt>
              </c:strCache>
            </c:strRef>
          </c:tx>
          <c:spPr>
            <a:ln w="44450" cap="rnd">
              <a:solidFill>
                <a:srgbClr val="D20000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7.4427468254336923E-2"/>
                  <c:y val="-3.9252808311459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7A1-4C43-A21D-5A9ECDC2E481}"/>
                </c:ext>
              </c:extLst>
            </c:dLbl>
            <c:dLbl>
              <c:idx val="6"/>
              <c:layout>
                <c:manualLayout>
                  <c:x val="9.8335708766827332E-3"/>
                  <c:y val="-1.048446345778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A1-4C43-A21D-5A9ECDC2E481}"/>
                </c:ext>
              </c:extLst>
            </c:dLbl>
            <c:dLbl>
              <c:idx val="7"/>
              <c:layout>
                <c:manualLayout>
                  <c:x val="-3.219637225163953E-2"/>
                  <c:y val="-4.56457738344982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7A1-4C43-A21D-5A9ECDC2E481}"/>
                </c:ext>
              </c:extLst>
            </c:dLbl>
            <c:dLbl>
              <c:idx val="8"/>
              <c:layout>
                <c:manualLayout>
                  <c:x val="-4.7516561184552185E-2"/>
                  <c:y val="-6.80211531651346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A1-4C43-A21D-5A9ECDC2E481}"/>
                </c:ext>
              </c:extLst>
            </c:dLbl>
            <c:dLbl>
              <c:idx val="9"/>
              <c:layout>
                <c:manualLayout>
                  <c:x val="-8.7832633570635421E-2"/>
                  <c:y val="-2.6466877265381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A1-4C43-A21D-5A9ECDC2E481}"/>
                </c:ext>
              </c:extLst>
            </c:dLbl>
            <c:dLbl>
              <c:idx val="10"/>
              <c:layout>
                <c:manualLayout>
                  <c:x val="-3.6025353346516333E-2"/>
                  <c:y val="8.64317517959426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F13-41D5-BD9F-B6EA6ACC82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('业务表-季度'!$C$2:$F$2,'业务表-季度'!$K$2:$R$2)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'业务表-季度'!$C$2:$R$2</c15:sqref>
                  </c15:fullRef>
                </c:ext>
              </c:extLst>
            </c:strRef>
          </c:cat>
          <c:val>
            <c:numRef>
              <c:f>('业务表-季度'!$C$73:$F$73,'业务表-季度'!$K$73:$R$73)</c:f>
              <c:numCache>
                <c:formatCode>0.0%</c:formatCode>
                <c:ptCount val="8"/>
                <c:pt idx="0">
                  <c:v>-7.5678075556990633E-3</c:v>
                </c:pt>
                <c:pt idx="1">
                  <c:v>8.7976539589442806E-3</c:v>
                </c:pt>
                <c:pt idx="2">
                  <c:v>1.2544088330010736E-2</c:v>
                </c:pt>
                <c:pt idx="3">
                  <c:v>-1.8074466803229302E-3</c:v>
                </c:pt>
                <c:pt idx="4">
                  <c:v>-4.3384832988793386E-3</c:v>
                </c:pt>
                <c:pt idx="5">
                  <c:v>2.0712589073634203E-2</c:v>
                </c:pt>
                <c:pt idx="6">
                  <c:v>3.2756374464917178E-3</c:v>
                </c:pt>
                <c:pt idx="7">
                  <c:v>1.8846588767433095E-4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'业务表-季度'!$C$73:$R$73</c15:sqref>
                  </c15:fullRef>
                </c:ext>
              </c:extLst>
            </c:numRef>
          </c:val>
          <c:smooth val="0"/>
          <c:extLst xmlns:c16r2="http://schemas.microsoft.com/office/drawing/2015/06/chart">
            <c:ext xmlns:c15="http://schemas.microsoft.com/office/drawing/2012/chart" uri="{02D57815-91ED-43cb-92C2-25804820EDAC}">
              <c15:categoryFilterExceptions>
                <c15:categoryFilterException>
                  <c15:sqref>'业务表-季度'!$J$73</c15:sqref>
                  <c15:dLbl>
                    <c:idx val="-1"/>
                    <c:layout>
                      <c:manualLayout>
                        <c:x val="-3.9856466718095861E-2"/>
                        <c:y val="3.74627779650083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21AD-4BBE-B408-B1EC330CC72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37A1-4C43-A21D-5A9ECDC2E4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0607872"/>
        <c:axId val="250606336"/>
      </c:lineChart>
      <c:catAx>
        <c:axId val="25057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0579968"/>
        <c:crosses val="autoZero"/>
        <c:auto val="1"/>
        <c:lblAlgn val="ctr"/>
        <c:lblOffset val="100"/>
        <c:noMultiLvlLbl val="0"/>
      </c:catAx>
      <c:valAx>
        <c:axId val="250579968"/>
        <c:scaling>
          <c:orientation val="minMax"/>
        </c:scaling>
        <c:delete val="0"/>
        <c:axPos val="l"/>
        <c:numFmt formatCode="0.0_);[Red]\(0.0\)" sourceLinked="0"/>
        <c:majorTickMark val="in"/>
        <c:minorTickMark val="in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0577280"/>
        <c:crosses val="autoZero"/>
        <c:crossBetween val="between"/>
      </c:valAx>
      <c:valAx>
        <c:axId val="250606336"/>
        <c:scaling>
          <c:orientation val="minMax"/>
          <c:max val="6.5000000000000016E-2"/>
          <c:min val="-5.000000000000001E-2"/>
        </c:scaling>
        <c:delete val="0"/>
        <c:axPos val="r"/>
        <c:numFmt formatCode="0.0%" sourceLinked="1"/>
        <c:majorTickMark val="in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0607872"/>
        <c:crosses val="max"/>
        <c:crossBetween val="between"/>
      </c:valAx>
      <c:catAx>
        <c:axId val="2506078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0606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143604454435406"/>
          <c:y val="0.91126186316687885"/>
          <c:w val="0.31712791091129189"/>
          <c:h val="5.6773309217926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腾讯</a:t>
            </a:r>
            <a:r>
              <a:rPr lang="en-US" altLang="zh-CN"/>
              <a:t>Non-GAAP</a:t>
            </a:r>
            <a:r>
              <a:rPr lang="zh-CN" altLang="en-US"/>
              <a:t>经营利润趋势图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3306507364848145E-2"/>
          <c:y val="0.15824822470634675"/>
          <c:w val="0.86209874200467917"/>
          <c:h val="0.6385798351742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'业务表-季度'!$B$108</c:f>
              <c:strCache>
                <c:ptCount val="1"/>
                <c:pt idx="0">
                  <c:v>经营利润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'业务表-季度'!$K$2:$R$2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'业务表-季度'!$G$2:$R$2</c15:sqref>
                  </c15:fullRef>
                </c:ext>
              </c:extLst>
            </c:strRef>
          </c:cat>
          <c:val>
            <c:numRef>
              <c:f>'业务表-季度'!$K$108:$R$108</c:f>
              <c:numCache>
                <c:formatCode>0.0</c:formatCode>
                <c:ptCount val="8"/>
                <c:pt idx="0">
                  <c:v>185.09560000000002</c:v>
                </c:pt>
                <c:pt idx="1">
                  <c:v>200.31664000000004</c:v>
                </c:pt>
                <c:pt idx="2">
                  <c:v>216.18453999999988</c:v>
                </c:pt>
                <c:pt idx="3">
                  <c:v>218.56015000000008</c:v>
                </c:pt>
                <c:pt idx="4">
                  <c:v>252.92456999999996</c:v>
                </c:pt>
                <c:pt idx="5">
                  <c:v>222.61644000000001</c:v>
                </c:pt>
                <c:pt idx="6">
                  <c:v>225.63000000000008</c:v>
                </c:pt>
                <c:pt idx="7">
                  <c:v>223.88000000000005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'业务表-季度'!$G$108:$R$108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C30-415B-BC16-FCBA7CB9ED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250748288"/>
        <c:axId val="250754176"/>
      </c:barChart>
      <c:lineChart>
        <c:grouping val="standard"/>
        <c:varyColors val="0"/>
        <c:ser>
          <c:idx val="1"/>
          <c:order val="1"/>
          <c:tx>
            <c:strRef>
              <c:f>'业务表-季度'!$B$63</c:f>
              <c:strCache>
                <c:ptCount val="1"/>
                <c:pt idx="0">
                  <c:v>同比</c:v>
                </c:pt>
              </c:strCache>
            </c:strRef>
          </c:tx>
          <c:spPr>
            <a:ln w="44450" cap="rnd">
              <a:solidFill>
                <a:srgbClr val="D2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3.4156984346196274E-2"/>
                  <c:y val="-7.11316392026480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7B-4F0F-87FE-8506F795AD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'业务表-季度'!$K$2:$Q$2</c:f>
              <c:strCache>
                <c:ptCount val="7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'业务表-季度'!$G$2:$Q$2</c15:sqref>
                  </c15:fullRef>
                </c:ext>
              </c:extLst>
            </c:strRef>
          </c:cat>
          <c:val>
            <c:numRef>
              <c:f>'业务表-季度'!$K$109:$R$109</c:f>
              <c:numCache>
                <c:formatCode>0.0%</c:formatCode>
                <c:ptCount val="8"/>
                <c:pt idx="0">
                  <c:v>0.37270542865618528</c:v>
                </c:pt>
                <c:pt idx="1">
                  <c:v>0.33660265563488379</c:v>
                </c:pt>
                <c:pt idx="2">
                  <c:v>0.43768397951719007</c:v>
                </c:pt>
                <c:pt idx="3">
                  <c:v>0.46233206209019184</c:v>
                </c:pt>
                <c:pt idx="4">
                  <c:v>0.3664537136485142</c:v>
                </c:pt>
                <c:pt idx="5">
                  <c:v>0.11132275381615808</c:v>
                </c:pt>
                <c:pt idx="6">
                  <c:v>4.3691653436458422E-2</c:v>
                </c:pt>
                <c:pt idx="7">
                  <c:v>2.4340439005006154E-2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'业务表-季度'!$G$109:$R$109</c15:sqref>
                  </c15:fullRef>
                </c:ext>
              </c:extLst>
            </c:numRef>
          </c:val>
          <c:smooth val="0"/>
          <c:extLst xmlns:c16r2="http://schemas.microsoft.com/office/drawing/2015/06/chart">
            <c:ext xmlns:c15="http://schemas.microsoft.com/office/drawing/2012/chart" uri="{02D57815-91ED-43cb-92C2-25804820EDAC}">
              <c15:categoryFilterExceptions>
                <c15:categoryFilterException>
                  <c15:sqref>'业务表-季度'!$J$109</c15:sqref>
                  <c15:dLbl>
                    <c:idx val="-1"/>
                    <c:layout>
                      <c:manualLayout>
                        <c:x val="-3.705767131815426E-2"/>
                        <c:y val="2.488821061964197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76EE-4FD4-9053-BF74EAA1EEA4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7-CC30-415B-BC16-FCBA7CB9EDF0}"/>
            </c:ext>
          </c:extLst>
        </c:ser>
        <c:ser>
          <c:idx val="2"/>
          <c:order val="2"/>
          <c:tx>
            <c:strRef>
              <c:f>'业务表-季度'!$B$65</c:f>
              <c:strCache>
                <c:ptCount val="1"/>
                <c:pt idx="0">
                  <c:v>经营利润率</c:v>
                </c:pt>
              </c:strCache>
            </c:strRef>
          </c:tx>
          <c:spPr>
            <a:ln w="444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9485443864177261E-2"/>
                  <c:y val="2.24996593042598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F7B-4F0F-87FE-8506F795AD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'业务表-季度'!$K$2:$Q$2</c:f>
              <c:strCache>
                <c:ptCount val="7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'业务表-季度'!$G$2:$Q$2</c15:sqref>
                  </c15:fullRef>
                </c:ext>
              </c:extLst>
            </c:strRef>
          </c:cat>
          <c:val>
            <c:numRef>
              <c:f>'业务表-季度'!$K$111:$R$111</c:f>
              <c:numCache>
                <c:formatCode>0.0%</c:formatCode>
                <c:ptCount val="8"/>
                <c:pt idx="0">
                  <c:v>0.37353810138844046</c:v>
                </c:pt>
                <c:pt idx="1">
                  <c:v>0.35387881143341698</c:v>
                </c:pt>
                <c:pt idx="2">
                  <c:v>0.3315205336604814</c:v>
                </c:pt>
                <c:pt idx="3">
                  <c:v>0.32919651464031818</c:v>
                </c:pt>
                <c:pt idx="4">
                  <c:v>0.34398401969317804</c:v>
                </c:pt>
                <c:pt idx="5">
                  <c:v>0.30216008143875128</c:v>
                </c:pt>
                <c:pt idx="6">
                  <c:v>0.27995533221663882</c:v>
                </c:pt>
                <c:pt idx="7">
                  <c:v>0.26371089332830761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'业务表-季度'!$G$111:$R$111</c15:sqref>
                  </c15:fullRef>
                </c:ext>
              </c:extLst>
            </c:numRef>
          </c:val>
          <c:smooth val="0"/>
          <c:extLst xmlns:c16r2="http://schemas.microsoft.com/office/drawing/2015/06/chart">
            <c:ext xmlns:c15="http://schemas.microsoft.com/office/drawing/2012/chart" uri="{02D57815-91ED-43cb-92C2-25804820EDAC}">
              <c15:categoryFilterExceptions>
                <c15:categoryFilterException>
                  <c15:sqref>'业务表-季度'!$J$111</c15:sqref>
                  <c15:dLbl>
                    <c:idx val="-1"/>
                    <c:layout>
                      <c:manualLayout>
                        <c:x val="-3.7057671318154323E-2"/>
                        <c:y val="-6.095808108289141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76EE-4FD4-9053-BF74EAA1EEA4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1-CC30-415B-BC16-FCBA7CB9ED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0765696"/>
        <c:axId val="250755712"/>
      </c:lineChart>
      <c:catAx>
        <c:axId val="25074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0754176"/>
        <c:crosses val="autoZero"/>
        <c:auto val="1"/>
        <c:lblAlgn val="ctr"/>
        <c:lblOffset val="100"/>
        <c:noMultiLvlLbl val="0"/>
      </c:catAx>
      <c:valAx>
        <c:axId val="250754176"/>
        <c:scaling>
          <c:orientation val="minMax"/>
        </c:scaling>
        <c:delete val="0"/>
        <c:axPos val="l"/>
        <c:numFmt formatCode="0.0_);[Red]\(0.0\)" sourceLinked="0"/>
        <c:majorTickMark val="in"/>
        <c:minorTickMark val="in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0748288"/>
        <c:crosses val="autoZero"/>
        <c:crossBetween val="between"/>
      </c:valAx>
      <c:valAx>
        <c:axId val="250755712"/>
        <c:scaling>
          <c:orientation val="minMax"/>
        </c:scaling>
        <c:delete val="0"/>
        <c:axPos val="r"/>
        <c:numFmt formatCode="0.0%" sourceLinked="1"/>
        <c:majorTickMark val="in"/>
        <c:minorTickMark val="none"/>
        <c:tickLblPos val="nextTo"/>
        <c:spPr>
          <a:noFill/>
          <a:ln>
            <a:solidFill>
              <a:sysClr val="windowText" lastClr="000000">
                <a:lumMod val="65000"/>
                <a:lumOff val="3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0765696"/>
        <c:crosses val="max"/>
        <c:crossBetween val="between"/>
      </c:valAx>
      <c:catAx>
        <c:axId val="2507656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07557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腾讯</a:t>
            </a:r>
            <a:r>
              <a:rPr lang="en-US" altLang="zh-CN"/>
              <a:t>Non-GAAP</a:t>
            </a:r>
            <a:r>
              <a:rPr lang="zh-CN" altLang="en-US"/>
              <a:t>经营利润率和成本费用率构成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'业务表-季度'!$B$21</c:f>
              <c:strCache>
                <c:ptCount val="1"/>
                <c:pt idx="0">
                  <c:v>营业成本率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'业务表-季度'!$K$2:$R$2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'业务表-季度'!$G$2:$R$2</c15:sqref>
                  </c15:fullRef>
                </c:ext>
              </c:extLst>
            </c:strRef>
          </c:cat>
          <c:val>
            <c:numRef>
              <c:f>'业务表-季度'!$K$21:$R$21</c:f>
              <c:numCache>
                <c:formatCode>0.0%</c:formatCode>
                <c:ptCount val="8"/>
                <c:pt idx="0">
                  <c:v>-0.48675008072328063</c:v>
                </c:pt>
                <c:pt idx="1">
                  <c:v>-0.5000236017383316</c:v>
                </c:pt>
                <c:pt idx="2">
                  <c:v>-0.51410130348106131</c:v>
                </c:pt>
                <c:pt idx="3">
                  <c:v>-0.5255751445957344</c:v>
                </c:pt>
                <c:pt idx="4">
                  <c:v>-0.49594090686541187</c:v>
                </c:pt>
                <c:pt idx="5">
                  <c:v>-0.53241066847641672</c:v>
                </c:pt>
                <c:pt idx="6">
                  <c:v>-0.55977417953967357</c:v>
                </c:pt>
                <c:pt idx="7">
                  <c:v>-0.58594044477949492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'业务表-季度'!$G$21:$R$21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314-445E-BFC0-510B8EC3F9E0}"/>
            </c:ext>
          </c:extLst>
        </c:ser>
        <c:ser>
          <c:idx val="2"/>
          <c:order val="1"/>
          <c:tx>
            <c:strRef>
              <c:f>'业务表-季度'!$B$53</c:f>
              <c:strCache>
                <c:ptCount val="1"/>
                <c:pt idx="0">
                  <c:v>销售费用率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'业务表-季度'!$K$2:$R$2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'业务表-季度'!$G$2:$R$2</c15:sqref>
                  </c15:fullRef>
                </c:ext>
              </c:extLst>
            </c:strRef>
          </c:cat>
          <c:val>
            <c:numRef>
              <c:f>'业务表-季度'!$K$53:$R$53</c:f>
              <c:numCache>
                <c:formatCode>0.0%</c:formatCode>
                <c:ptCount val="8"/>
                <c:pt idx="0">
                  <c:v>-6.3731030029060373E-2</c:v>
                </c:pt>
                <c:pt idx="1">
                  <c:v>-6.4657456806698932E-2</c:v>
                </c:pt>
                <c:pt idx="2">
                  <c:v>-7.3792363134488587E-2</c:v>
                </c:pt>
                <c:pt idx="3">
                  <c:v>-9.0703699240872376E-2</c:v>
                </c:pt>
                <c:pt idx="4">
                  <c:v>-7.5753454466325754E-2</c:v>
                </c:pt>
                <c:pt idx="5">
                  <c:v>-8.6325076348829313E-2</c:v>
                </c:pt>
                <c:pt idx="6">
                  <c:v>-8.1555927787083565E-2</c:v>
                </c:pt>
                <c:pt idx="7">
                  <c:v>-6.7494346023369761E-2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'业务表-季度'!$G$53:$R$53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314-445E-BFC0-510B8EC3F9E0}"/>
            </c:ext>
          </c:extLst>
        </c:ser>
        <c:ser>
          <c:idx val="1"/>
          <c:order val="2"/>
          <c:tx>
            <c:strRef>
              <c:f>'业务表-季度'!$B$57</c:f>
              <c:strCache>
                <c:ptCount val="1"/>
                <c:pt idx="0">
                  <c:v>研发支出率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'业务表-季度'!$K$2:$R$2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'业务表-季度'!$G$2:$R$2</c15:sqref>
                  </c15:fullRef>
                </c:ext>
              </c:extLst>
            </c:strRef>
          </c:cat>
          <c:val>
            <c:numRef>
              <c:f>'业务表-季度'!$K$57:$R$57</c:f>
              <c:numCache>
                <c:formatCode>0.0%</c:formatCode>
                <c:ptCount val="8"/>
                <c:pt idx="0">
                  <c:v>-7.2598098966742006E-2</c:v>
                </c:pt>
                <c:pt idx="1">
                  <c:v>-7.491575098046141E-2</c:v>
                </c:pt>
                <c:pt idx="2">
                  <c:v>-7.4040263195828862E-2</c:v>
                </c:pt>
                <c:pt idx="3">
                  <c:v>-7.2147246656223629E-2</c:v>
                </c:pt>
                <c:pt idx="4">
                  <c:v>-6.8076962060132237E-2</c:v>
                </c:pt>
                <c:pt idx="5">
                  <c:v>-7.7668408551068879E-2</c:v>
                </c:pt>
                <c:pt idx="6">
                  <c:v>-7.7597865872572738E-2</c:v>
                </c:pt>
                <c:pt idx="7">
                  <c:v>-7.0135426093603917E-2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'业务表-季度'!$G$57:$R$57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314-445E-BFC0-510B8EC3F9E0}"/>
            </c:ext>
          </c:extLst>
        </c:ser>
        <c:ser>
          <c:idx val="0"/>
          <c:order val="3"/>
          <c:tx>
            <c:strRef>
              <c:f>'业务表-季度'!$B$61</c:f>
              <c:strCache>
                <c:ptCount val="1"/>
                <c:pt idx="0">
                  <c:v>管理费用率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'业务表-季度'!$K$2:$R$2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'业务表-季度'!$G$2:$R$2</c15:sqref>
                  </c15:fullRef>
                </c:ext>
              </c:extLst>
            </c:strRef>
          </c:cat>
          <c:val>
            <c:numRef>
              <c:f>'业务表-季度'!$K$61:$R$61</c:f>
              <c:numCache>
                <c:formatCode>0.0%</c:formatCode>
                <c:ptCount val="8"/>
                <c:pt idx="0">
                  <c:v>-6.8909811914756217E-2</c:v>
                </c:pt>
                <c:pt idx="1">
                  <c:v>-6.9415238667279097E-2</c:v>
                </c:pt>
                <c:pt idx="2">
                  <c:v>-6.4864812712774125E-2</c:v>
                </c:pt>
                <c:pt idx="3">
                  <c:v>-6.056452584648752E-2</c:v>
                </c:pt>
                <c:pt idx="4">
                  <c:v>-6.0173500348746009E-2</c:v>
                </c:pt>
                <c:pt idx="5">
                  <c:v>-5.6121886664404472E-2</c:v>
                </c:pt>
                <c:pt idx="6">
                  <c:v>-5.752217879521062E-2</c:v>
                </c:pt>
                <c:pt idx="7">
                  <c:v>-6.3498667385476368E-2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'业务表-季度'!$G$61:$R$61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314-445E-BFC0-510B8EC3F9E0}"/>
            </c:ext>
          </c:extLst>
        </c:ser>
        <c:ser>
          <c:idx val="3"/>
          <c:order val="4"/>
          <c:tx>
            <c:strRef>
              <c:f>'业务表-季度'!$B$111</c:f>
              <c:strCache>
                <c:ptCount val="1"/>
                <c:pt idx="0">
                  <c:v>Non-GAAP经营利润率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'业务表-季度'!$K$2:$R$2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'业务表-季度'!$G$2:$R$2</c15:sqref>
                  </c15:fullRef>
                </c:ext>
              </c:extLst>
            </c:strRef>
          </c:cat>
          <c:val>
            <c:numRef>
              <c:f>'业务表-季度'!$K$111:$R$111</c:f>
              <c:numCache>
                <c:formatCode>0.0%</c:formatCode>
                <c:ptCount val="8"/>
                <c:pt idx="0">
                  <c:v>0.37353810138844046</c:v>
                </c:pt>
                <c:pt idx="1">
                  <c:v>0.35387881143341698</c:v>
                </c:pt>
                <c:pt idx="2">
                  <c:v>0.3315205336604814</c:v>
                </c:pt>
                <c:pt idx="3">
                  <c:v>0.32919651464031818</c:v>
                </c:pt>
                <c:pt idx="4">
                  <c:v>0.34398401969317804</c:v>
                </c:pt>
                <c:pt idx="5">
                  <c:v>0.30216008143875128</c:v>
                </c:pt>
                <c:pt idx="6">
                  <c:v>0.27995533221663882</c:v>
                </c:pt>
                <c:pt idx="7">
                  <c:v>0.26371089332830761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'业务表-季度'!$G$111:$R$111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314-445E-BFC0-510B8EC3F9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50859904"/>
        <c:axId val="250861440"/>
      </c:barChart>
      <c:catAx>
        <c:axId val="25085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0861440"/>
        <c:crosses val="autoZero"/>
        <c:auto val="1"/>
        <c:lblAlgn val="ctr"/>
        <c:lblOffset val="100"/>
        <c:noMultiLvlLbl val="0"/>
      </c:catAx>
      <c:valAx>
        <c:axId val="250861440"/>
        <c:scaling>
          <c:orientation val="minMax"/>
        </c:scaling>
        <c:delete val="0"/>
        <c:axPos val="l"/>
        <c:numFmt formatCode="0.0%" sourceLinked="1"/>
        <c:majorTickMark val="in"/>
        <c:minorTickMark val="in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085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sz="1200" b="1">
                <a:latin typeface="微软雅黑" panose="020B0503020204020204" pitchFamily="34" charset="-122"/>
                <a:ea typeface="微软雅黑" panose="020B0503020204020204" pitchFamily="34" charset="-122"/>
              </a:rPr>
              <a:t>收入构成趋势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'业务表-季度'!$B$6</c:f>
              <c:strCache>
                <c:ptCount val="1"/>
                <c:pt idx="0">
                  <c:v>增值服务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'业务表-季度'!$K$2:$R$2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'业务表-季度'!$G$2:$R$2</c15:sqref>
                  </c15:fullRef>
                </c:ext>
              </c:extLst>
            </c:strRef>
          </c:cat>
          <c:val>
            <c:numRef>
              <c:f>'业务表-季度'!$K$9:$R$9</c:f>
              <c:numCache>
                <c:formatCode>0.0%</c:formatCode>
                <c:ptCount val="8"/>
                <c:pt idx="0">
                  <c:v>0.70850823377462058</c:v>
                </c:pt>
                <c:pt idx="1">
                  <c:v>0.65017842631523159</c:v>
                </c:pt>
                <c:pt idx="2">
                  <c:v>0.64597454378162866</c:v>
                </c:pt>
                <c:pt idx="3">
                  <c:v>0.60168393782383423</c:v>
                </c:pt>
                <c:pt idx="4">
                  <c:v>0.63753944075726254</c:v>
                </c:pt>
                <c:pt idx="5">
                  <c:v>0.57100780454699696</c:v>
                </c:pt>
                <c:pt idx="6">
                  <c:v>0.54654755257770327</c:v>
                </c:pt>
                <c:pt idx="7">
                  <c:v>0.51417027892951372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'业务表-季度'!$G$9:$R$9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42-4A2C-97C7-A6566A6F21DA}"/>
            </c:ext>
          </c:extLst>
        </c:ser>
        <c:ser>
          <c:idx val="1"/>
          <c:order val="1"/>
          <c:tx>
            <c:strRef>
              <c:f>'业务表-季度'!$B$10</c:f>
              <c:strCache>
                <c:ptCount val="1"/>
                <c:pt idx="0">
                  <c:v>网络广告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'业务表-季度'!$K$2:$R$2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'业务表-季度'!$G$2:$R$2</c15:sqref>
                  </c15:fullRef>
                </c:ext>
              </c:extLst>
            </c:strRef>
          </c:cat>
          <c:val>
            <c:numRef>
              <c:f>'业务表-季度'!$K$13:$R$13</c:f>
              <c:numCache>
                <c:formatCode>0.0%</c:formatCode>
                <c:ptCount val="8"/>
                <c:pt idx="0">
                  <c:v>0.13900548918308039</c:v>
                </c:pt>
                <c:pt idx="1">
                  <c:v>0.17927428187824612</c:v>
                </c:pt>
                <c:pt idx="2">
                  <c:v>0.16932985738383685</c:v>
                </c:pt>
                <c:pt idx="3">
                  <c:v>0.1861820701289312</c:v>
                </c:pt>
                <c:pt idx="4">
                  <c:v>0.14537319116527039</c:v>
                </c:pt>
                <c:pt idx="5">
                  <c:v>0.19151679674244995</c:v>
                </c:pt>
                <c:pt idx="6">
                  <c:v>0.20158818785284446</c:v>
                </c:pt>
                <c:pt idx="7">
                  <c:v>0.20063371654730494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'业务表-季度'!$G$13:$R$13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142-4A2C-97C7-A6566A6F21DA}"/>
            </c:ext>
          </c:extLst>
        </c:ser>
        <c:ser>
          <c:idx val="2"/>
          <c:order val="2"/>
          <c:tx>
            <c:strRef>
              <c:f>'业务表-季度'!$B$14</c:f>
              <c:strCache>
                <c:ptCount val="1"/>
                <c:pt idx="0">
                  <c:v>支付及云业务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'业务表-季度'!$K$2:$R$2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'业务表-季度'!$G$2:$R$2</c15:sqref>
                  </c15:fullRef>
                </c:ext>
              </c:extLst>
            </c:strRef>
          </c:cat>
          <c:val>
            <c:numRef>
              <c:f>'业务表-季度'!$K$17:$R$17</c:f>
              <c:numCache>
                <c:formatCode>0.0%</c:formatCode>
                <c:ptCount val="8"/>
                <c:pt idx="0">
                  <c:v>0.152486277042299</c:v>
                </c:pt>
                <c:pt idx="1">
                  <c:v>0.17054729180652228</c:v>
                </c:pt>
                <c:pt idx="2">
                  <c:v>0.1846955988345346</c:v>
                </c:pt>
                <c:pt idx="3">
                  <c:v>0.2121339920472346</c:v>
                </c:pt>
                <c:pt idx="4">
                  <c:v>0.21708736807746709</c:v>
                </c:pt>
                <c:pt idx="5">
                  <c:v>0.23747539871055312</c:v>
                </c:pt>
                <c:pt idx="6">
                  <c:v>0.25186425956945219</c:v>
                </c:pt>
                <c:pt idx="7">
                  <c:v>0.28519600452318128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'业务表-季度'!$G$17:$R$17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142-4A2C-97C7-A6566A6F21D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250909440"/>
        <c:axId val="250910976"/>
      </c:barChart>
      <c:catAx>
        <c:axId val="25090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0910976"/>
        <c:crosses val="autoZero"/>
        <c:auto val="1"/>
        <c:lblAlgn val="ctr"/>
        <c:lblOffset val="100"/>
        <c:noMultiLvlLbl val="0"/>
      </c:catAx>
      <c:valAx>
        <c:axId val="250910976"/>
        <c:scaling>
          <c:orientation val="minMax"/>
        </c:scaling>
        <c:delete val="0"/>
        <c:axPos val="l"/>
        <c:numFmt formatCode="0%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090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sz="1200" b="1">
                <a:latin typeface="微软雅黑" panose="020B0503020204020204" pitchFamily="34" charset="-122"/>
                <a:ea typeface="微软雅黑" panose="020B0503020204020204" pitchFamily="34" charset="-122"/>
              </a:rPr>
              <a:t>腾讯季度营收趋势（亿元）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'业务表-季度'!$B$6</c:f>
              <c:strCache>
                <c:ptCount val="1"/>
                <c:pt idx="0">
                  <c:v>增值服务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'业务表-季度'!$K$2:$R$2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'业务表-季度'!$G$2:$R$2</c15:sqref>
                  </c15:fullRef>
                </c:ext>
              </c:extLst>
            </c:strRef>
          </c:cat>
          <c:val>
            <c:numRef>
              <c:f>'业务表-季度'!$K$6:$R$6</c:f>
              <c:numCache>
                <c:formatCode>0.00</c:formatCode>
                <c:ptCount val="8"/>
                <c:pt idx="0">
                  <c:v>351.08000000000004</c:v>
                </c:pt>
                <c:pt idx="1">
                  <c:v>368.04</c:v>
                </c:pt>
                <c:pt idx="2">
                  <c:v>421.24</c:v>
                </c:pt>
                <c:pt idx="3">
                  <c:v>399.47</c:v>
                </c:pt>
                <c:pt idx="4">
                  <c:v>468.77</c:v>
                </c:pt>
                <c:pt idx="5">
                  <c:v>420.69</c:v>
                </c:pt>
                <c:pt idx="6">
                  <c:v>440.49</c:v>
                </c:pt>
                <c:pt idx="7">
                  <c:v>436.51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'业务表-季度'!$G$6:$R$6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1E4-4428-8985-8CA4E29819D7}"/>
            </c:ext>
          </c:extLst>
        </c:ser>
        <c:ser>
          <c:idx val="2"/>
          <c:order val="2"/>
          <c:tx>
            <c:strRef>
              <c:f>'业务表-季度'!$B$10</c:f>
              <c:strCache>
                <c:ptCount val="1"/>
                <c:pt idx="0">
                  <c:v>网络广告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'业务表-季度'!$K$2:$R$2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'业务表-季度'!$G$2:$R$2</c15:sqref>
                  </c15:fullRef>
                </c:ext>
              </c:extLst>
            </c:strRef>
          </c:cat>
          <c:val>
            <c:numRef>
              <c:f>'业务表-季度'!$K$10:$R$10</c:f>
              <c:numCache>
                <c:formatCode>0.00</c:formatCode>
                <c:ptCount val="8"/>
                <c:pt idx="0">
                  <c:v>68.88</c:v>
                </c:pt>
                <c:pt idx="1">
                  <c:v>101.48</c:v>
                </c:pt>
                <c:pt idx="2">
                  <c:v>110.42</c:v>
                </c:pt>
                <c:pt idx="3">
                  <c:v>123.61000000000001</c:v>
                </c:pt>
                <c:pt idx="4">
                  <c:v>106.89000000000001</c:v>
                </c:pt>
                <c:pt idx="5">
                  <c:v>141.1</c:v>
                </c:pt>
                <c:pt idx="6">
                  <c:v>162.47</c:v>
                </c:pt>
                <c:pt idx="7">
                  <c:v>170.33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'业务表-季度'!$G$10:$R$10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1E4-4428-8985-8CA4E29819D7}"/>
            </c:ext>
          </c:extLst>
        </c:ser>
        <c:ser>
          <c:idx val="4"/>
          <c:order val="4"/>
          <c:tx>
            <c:strRef>
              <c:f>'业务表-季度'!$B$14</c:f>
              <c:strCache>
                <c:ptCount val="1"/>
                <c:pt idx="0">
                  <c:v>支付及云业务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'业务表-季度'!$K$2:$R$2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'业务表-季度'!$G$2:$R$2</c15:sqref>
                  </c15:fullRef>
                </c:ext>
              </c:extLst>
            </c:strRef>
          </c:cat>
          <c:val>
            <c:numRef>
              <c:f>'业务表-季度'!$K$14:$R$14</c:f>
              <c:numCache>
                <c:formatCode>0.00</c:formatCode>
                <c:ptCount val="8"/>
                <c:pt idx="0">
                  <c:v>75.56</c:v>
                </c:pt>
                <c:pt idx="1">
                  <c:v>96.54</c:v>
                </c:pt>
                <c:pt idx="2">
                  <c:v>120.44</c:v>
                </c:pt>
                <c:pt idx="3">
                  <c:v>140.84</c:v>
                </c:pt>
                <c:pt idx="4">
                  <c:v>159.62</c:v>
                </c:pt>
                <c:pt idx="5">
                  <c:v>174.96</c:v>
                </c:pt>
                <c:pt idx="6">
                  <c:v>202.99</c:v>
                </c:pt>
                <c:pt idx="7">
                  <c:v>242.12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'业务表-季度'!$G$14:$R$14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1E4-4428-8985-8CA4E2981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250999552"/>
        <c:axId val="251001088"/>
      </c:barChart>
      <c:lineChart>
        <c:grouping val="standard"/>
        <c:varyColors val="0"/>
        <c:ser>
          <c:idx val="1"/>
          <c:order val="1"/>
          <c:tx>
            <c:strRef>
              <c:f>'业务表-季度'!$B$7</c:f>
              <c:strCache>
                <c:ptCount val="1"/>
                <c:pt idx="0">
                  <c:v>增值服务同比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'业务表-季度'!$K$2:$R$2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'业务表-季度'!$G$2:$R$2</c15:sqref>
                  </c15:fullRef>
                </c:ext>
              </c:extLst>
            </c:strRef>
          </c:cat>
          <c:val>
            <c:numRef>
              <c:f>'业务表-季度'!$K$7:$R$7</c:f>
              <c:numCache>
                <c:formatCode>0.0%</c:formatCode>
                <c:ptCount val="8"/>
                <c:pt idx="0">
                  <c:v>0.40634513699727637</c:v>
                </c:pt>
                <c:pt idx="1">
                  <c:v>0.43317757009345792</c:v>
                </c:pt>
                <c:pt idx="2">
                  <c:v>0.50577301161751564</c:v>
                </c:pt>
                <c:pt idx="3">
                  <c:v>0.3684697338220686</c:v>
                </c:pt>
                <c:pt idx="4">
                  <c:v>0.33522274125555418</c:v>
                </c:pt>
                <c:pt idx="5">
                  <c:v>0.14305510270622745</c:v>
                </c:pt>
                <c:pt idx="6">
                  <c:v>4.5698414205678439E-2</c:v>
                </c:pt>
                <c:pt idx="7">
                  <c:v>9.2722857786567081E-2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'业务表-季度'!$G$7:$R$7</c15:sqref>
                  </c15:fullRef>
                </c:ext>
              </c:extLst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1E4-4428-8985-8CA4E29819D7}"/>
            </c:ext>
          </c:extLst>
        </c:ser>
        <c:ser>
          <c:idx val="3"/>
          <c:order val="3"/>
          <c:tx>
            <c:strRef>
              <c:f>'业务表-季度'!$B$11</c:f>
              <c:strCache>
                <c:ptCount val="1"/>
                <c:pt idx="0">
                  <c:v>网络广告同比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'业务表-季度'!$K$2:$R$2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'业务表-季度'!$G$2:$R$2</c15:sqref>
                  </c15:fullRef>
                </c:ext>
              </c:extLst>
            </c:strRef>
          </c:cat>
          <c:val>
            <c:numRef>
              <c:f>'业务表-季度'!$K$11:$R$11</c:f>
              <c:numCache>
                <c:formatCode>0.0%</c:formatCode>
                <c:ptCount val="8"/>
                <c:pt idx="0">
                  <c:v>0.46522016592214421</c:v>
                </c:pt>
                <c:pt idx="1">
                  <c:v>0.55358236374770375</c:v>
                </c:pt>
                <c:pt idx="2">
                  <c:v>0.4823466237078804</c:v>
                </c:pt>
                <c:pt idx="3">
                  <c:v>0.491433397683398</c:v>
                </c:pt>
                <c:pt idx="4">
                  <c:v>0.55182926829268331</c:v>
                </c:pt>
                <c:pt idx="5">
                  <c:v>0.39042175798186829</c:v>
                </c:pt>
                <c:pt idx="6">
                  <c:v>0.47138199601521458</c:v>
                </c:pt>
                <c:pt idx="7">
                  <c:v>0.37796294798155494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'业务表-季度'!$G$11:$R$11</c15:sqref>
                  </c15:fullRef>
                </c:ext>
              </c:extLst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01E4-4428-8985-8CA4E29819D7}"/>
            </c:ext>
          </c:extLst>
        </c:ser>
        <c:ser>
          <c:idx val="5"/>
          <c:order val="5"/>
          <c:tx>
            <c:strRef>
              <c:f>'业务表-季度'!$B$15</c:f>
              <c:strCache>
                <c:ptCount val="1"/>
                <c:pt idx="0">
                  <c:v>其它同比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strRef>
              <c:f>'业务表-季度'!$K$2:$R$2</c:f>
              <c:strCache>
                <c:ptCount val="8"/>
                <c:pt idx="0">
                  <c:v>17Q1</c:v>
                </c:pt>
                <c:pt idx="1">
                  <c:v>17Q2</c:v>
                </c:pt>
                <c:pt idx="2">
                  <c:v>17Q3</c:v>
                </c:pt>
                <c:pt idx="3">
                  <c:v>17Q4</c:v>
                </c:pt>
                <c:pt idx="4">
                  <c:v>18Q1</c:v>
                </c:pt>
                <c:pt idx="5">
                  <c:v>18Q2</c:v>
                </c:pt>
                <c:pt idx="6">
                  <c:v>18Q3</c:v>
                </c:pt>
                <c:pt idx="7">
                  <c:v>18Q4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'业务表-季度'!$G$2:$R$2</c15:sqref>
                  </c15:fullRef>
                </c:ext>
              </c:extLst>
            </c:strRef>
          </c:cat>
          <c:val>
            <c:numRef>
              <c:f>'业务表-季度'!$K$15:$R$15</c:f>
              <c:numCache>
                <c:formatCode>0.0%</c:formatCode>
                <c:ptCount val="8"/>
                <c:pt idx="0">
                  <c:v>2.2429184549356225</c:v>
                </c:pt>
                <c:pt idx="1">
                  <c:v>1.7749353262431735</c:v>
                </c:pt>
                <c:pt idx="2">
                  <c:v>1.4262691377921031</c:v>
                </c:pt>
                <c:pt idx="3">
                  <c:v>1.2057948316366485</c:v>
                </c:pt>
                <c:pt idx="4">
                  <c:v>1.1124933827421915</c:v>
                </c:pt>
                <c:pt idx="5">
                  <c:v>0.81230577998756992</c:v>
                </c:pt>
                <c:pt idx="6">
                  <c:v>0.6854035204251081</c:v>
                </c:pt>
                <c:pt idx="7">
                  <c:v>0.71911388809997168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'业务表-季度'!$G$15:$R$15</c15:sqref>
                  </c15:fullRef>
                </c:ext>
              </c:extLst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01E4-4428-8985-8CA4E2981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012608"/>
        <c:axId val="251011072"/>
      </c:lineChart>
      <c:catAx>
        <c:axId val="25099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1001088"/>
        <c:crosses val="autoZero"/>
        <c:auto val="1"/>
        <c:lblAlgn val="ctr"/>
        <c:lblOffset val="100"/>
        <c:noMultiLvlLbl val="0"/>
      </c:catAx>
      <c:valAx>
        <c:axId val="251001088"/>
        <c:scaling>
          <c:orientation val="minMax"/>
        </c:scaling>
        <c:delete val="0"/>
        <c:axPos val="l"/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0999552"/>
        <c:crosses val="autoZero"/>
        <c:crossBetween val="between"/>
      </c:valAx>
      <c:valAx>
        <c:axId val="251011072"/>
        <c:scaling>
          <c:orientation val="minMax"/>
        </c:scaling>
        <c:delete val="0"/>
        <c:axPos val="r"/>
        <c:numFmt formatCode="0%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1012608"/>
        <c:crosses val="max"/>
        <c:crossBetween val="between"/>
      </c:valAx>
      <c:catAx>
        <c:axId val="251012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510110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腾讯营收趋势图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3306507364848145E-2"/>
          <c:y val="0.15824822470634675"/>
          <c:w val="0.86209874200467917"/>
          <c:h val="0.6385798351742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'业务表-年度'!$B$3</c:f>
              <c:strCache>
                <c:ptCount val="1"/>
                <c:pt idx="0">
                  <c:v>总营收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'业务表-年度'!$D$2:$K$2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2019E</c:v>
                </c:pt>
                <c:pt idx="4">
                  <c:v>2020E</c:v>
                </c:pt>
                <c:pt idx="5">
                  <c:v>2021E</c:v>
                </c:pt>
                <c:pt idx="6">
                  <c:v>2022E</c:v>
                </c:pt>
                <c:pt idx="7">
                  <c:v>2023E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'业务表-年度'!$C$2:$K$2</c15:sqref>
                  </c15:fullRef>
                </c:ext>
              </c:extLst>
            </c:strRef>
          </c:cat>
          <c:val>
            <c:numRef>
              <c:f>'业务表-年度'!$D$3:$K$3</c:f>
              <c:numCache>
                <c:formatCode>0.0_ </c:formatCode>
                <c:ptCount val="8"/>
                <c:pt idx="0">
                  <c:v>1519.3799999999999</c:v>
                </c:pt>
                <c:pt idx="1">
                  <c:v>2377.6000000000004</c:v>
                </c:pt>
                <c:pt idx="2">
                  <c:v>3126.94</c:v>
                </c:pt>
                <c:pt idx="3">
                  <c:v>3879.9360647926833</c:v>
                </c:pt>
                <c:pt idx="4">
                  <c:v>4729.6756226241196</c:v>
                </c:pt>
                <c:pt idx="5">
                  <c:v>5625.3207134707627</c:v>
                </c:pt>
                <c:pt idx="6">
                  <c:v>6628.7271188970499</c:v>
                </c:pt>
                <c:pt idx="7">
                  <c:v>7759.2079023160068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'业务表-年度'!$C$3:$K$3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BA-43F2-A3F3-D29080C963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245115520"/>
        <c:axId val="245130752"/>
      </c:barChart>
      <c:lineChart>
        <c:grouping val="standard"/>
        <c:varyColors val="0"/>
        <c:ser>
          <c:idx val="1"/>
          <c:order val="1"/>
          <c:tx>
            <c:strRef>
              <c:f>'业务表-年度'!$B$4</c:f>
              <c:strCache>
                <c:ptCount val="1"/>
                <c:pt idx="0">
                  <c:v>同比</c:v>
                </c:pt>
              </c:strCache>
            </c:strRef>
          </c:tx>
          <c:spPr>
            <a:ln w="44450" cap="rnd">
              <a:solidFill>
                <a:srgbClr val="D2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'业务表-年度'!$D$4:$K$4</c:f>
              <c:numCache>
                <c:formatCode>0.0%</c:formatCode>
                <c:ptCount val="8"/>
                <c:pt idx="0">
                  <c:v>0.47709088787999554</c:v>
                </c:pt>
                <c:pt idx="1">
                  <c:v>0.56484881991338609</c:v>
                </c:pt>
                <c:pt idx="2">
                  <c:v>0.31516655450874809</c:v>
                </c:pt>
                <c:pt idx="3">
                  <c:v>0.2408092463535223</c:v>
                </c:pt>
                <c:pt idx="4">
                  <c:v>0.21900864953475474</c:v>
                </c:pt>
                <c:pt idx="5">
                  <c:v>0.18936712838452996</c:v>
                </c:pt>
                <c:pt idx="6">
                  <c:v>0.17837319088731496</c:v>
                </c:pt>
                <c:pt idx="7">
                  <c:v>0.17054266424638365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'业务表-年度'!$C$4:$K$4</c15:sqref>
                  </c15:fullRef>
                </c:ext>
              </c:extLst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BABA-43F2-A3F3-D29080C963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5138176"/>
        <c:axId val="245132288"/>
      </c:lineChart>
      <c:catAx>
        <c:axId val="24511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5130752"/>
        <c:crosses val="autoZero"/>
        <c:auto val="1"/>
        <c:lblAlgn val="ctr"/>
        <c:lblOffset val="100"/>
        <c:noMultiLvlLbl val="0"/>
      </c:catAx>
      <c:valAx>
        <c:axId val="245130752"/>
        <c:scaling>
          <c:orientation val="minMax"/>
        </c:scaling>
        <c:delete val="0"/>
        <c:axPos val="l"/>
        <c:numFmt formatCode="0.0_);[Red]\(0.0\)" sourceLinked="0"/>
        <c:majorTickMark val="in"/>
        <c:minorTickMark val="in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5115520"/>
        <c:crosses val="autoZero"/>
        <c:crossBetween val="between"/>
      </c:valAx>
      <c:valAx>
        <c:axId val="24513228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5138176"/>
        <c:crosses val="max"/>
        <c:crossBetween val="between"/>
      </c:valAx>
      <c:catAx>
        <c:axId val="245138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51322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税前净利润趋势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3306507364848145E-2"/>
          <c:y val="0.15824822470634675"/>
          <c:w val="0.86209874200467917"/>
          <c:h val="0.6385798351742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'业务表-年度'!$B$74</c:f>
              <c:strCache>
                <c:ptCount val="1"/>
                <c:pt idx="0">
                  <c:v>税前利润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'业务表-年度'!$D$2:$K$2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2019E</c:v>
                </c:pt>
                <c:pt idx="4">
                  <c:v>2020E</c:v>
                </c:pt>
                <c:pt idx="5">
                  <c:v>2021E</c:v>
                </c:pt>
                <c:pt idx="6">
                  <c:v>2022E</c:v>
                </c:pt>
                <c:pt idx="7">
                  <c:v>2023E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'业务表-年度'!$C$2:$K$2</c15:sqref>
                  </c15:fullRef>
                </c:ext>
              </c:extLst>
            </c:strRef>
          </c:cat>
          <c:val>
            <c:numRef>
              <c:f>'业务表-年度'!$D$74:$K$74</c:f>
              <c:numCache>
                <c:formatCode>0.0_ </c:formatCode>
                <c:ptCount val="8"/>
                <c:pt idx="0">
                  <c:v>516.46782000000007</c:v>
                </c:pt>
                <c:pt idx="1">
                  <c:v>882.0769300000004</c:v>
                </c:pt>
                <c:pt idx="2">
                  <c:v>992.37580999999977</c:v>
                </c:pt>
                <c:pt idx="3">
                  <c:v>864.84828647175141</c:v>
                </c:pt>
                <c:pt idx="4">
                  <c:v>1024.0053830336017</c:v>
                </c:pt>
                <c:pt idx="5">
                  <c:v>1215.2983927689222</c:v>
                </c:pt>
                <c:pt idx="6">
                  <c:v>1442.7355657725789</c:v>
                </c:pt>
                <c:pt idx="7">
                  <c:v>1678.5163705886698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'业务表-年度'!$C$74:$K$74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611-4C74-A1D8-C9ECF84794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245272960"/>
        <c:axId val="245274496"/>
      </c:barChart>
      <c:lineChart>
        <c:grouping val="standard"/>
        <c:varyColors val="0"/>
        <c:ser>
          <c:idx val="1"/>
          <c:order val="1"/>
          <c:tx>
            <c:strRef>
              <c:f>'业务表-年度'!$B$75</c:f>
              <c:strCache>
                <c:ptCount val="1"/>
                <c:pt idx="0">
                  <c:v>同比</c:v>
                </c:pt>
              </c:strCache>
            </c:strRef>
          </c:tx>
          <c:spPr>
            <a:ln w="44450" cap="rnd">
              <a:solidFill>
                <a:srgbClr val="D2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'业务表-年度'!$D$75:$K$75</c:f>
              <c:numCache>
                <c:formatCode>0.0%</c:formatCode>
                <c:ptCount val="8"/>
                <c:pt idx="0">
                  <c:v>0.4260763750828358</c:v>
                </c:pt>
                <c:pt idx="1">
                  <c:v>0.70790298222259085</c:v>
                </c:pt>
                <c:pt idx="2">
                  <c:v>0.12504451284084639</c:v>
                </c:pt>
                <c:pt idx="3">
                  <c:v>-0.12850728750456786</c:v>
                </c:pt>
                <c:pt idx="4">
                  <c:v>0.18402892050714481</c:v>
                </c:pt>
                <c:pt idx="5">
                  <c:v>0.18680859779136871</c:v>
                </c:pt>
                <c:pt idx="6">
                  <c:v>0.18714512777842685</c:v>
                </c:pt>
                <c:pt idx="7">
                  <c:v>0.16342620949378994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'业务表-年度'!$C$75:$K$75</c15:sqref>
                  </c15:fullRef>
                </c:ext>
              </c:extLst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611-4C74-A1D8-C9ECF8479488}"/>
            </c:ext>
          </c:extLst>
        </c:ser>
        <c:ser>
          <c:idx val="2"/>
          <c:order val="2"/>
          <c:tx>
            <c:strRef>
              <c:f>'业务表-年度'!$B$77</c:f>
              <c:strCache>
                <c:ptCount val="1"/>
                <c:pt idx="0">
                  <c:v>税前净利润率</c:v>
                </c:pt>
              </c:strCache>
            </c:strRef>
          </c:tx>
          <c:spPr>
            <a:ln w="444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'业务表-年度'!$D$77:$K$77</c:f>
              <c:numCache>
                <c:formatCode>0.0%</c:formatCode>
                <c:ptCount val="8"/>
                <c:pt idx="0">
                  <c:v>0.33992011215100904</c:v>
                </c:pt>
                <c:pt idx="1">
                  <c:v>0.37099467109690454</c:v>
                </c:pt>
                <c:pt idx="2">
                  <c:v>0.31736324010054551</c:v>
                </c:pt>
                <c:pt idx="3">
                  <c:v>0.2229027159286355</c:v>
                </c:pt>
                <c:pt idx="4">
                  <c:v>0.21650647205811185</c:v>
                </c:pt>
                <c:pt idx="5">
                  <c:v>0.21604072988384268</c:v>
                </c:pt>
                <c:pt idx="6">
                  <c:v>0.21764896033503259</c:v>
                </c:pt>
                <c:pt idx="7">
                  <c:v>0.21632573733301538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'业务表-年度'!$C$77:$K$77</c15:sqref>
                  </c15:fullRef>
                </c:ext>
              </c:extLst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BFA-481F-8F4A-FB2006A769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5286016"/>
        <c:axId val="245276032"/>
      </c:lineChart>
      <c:catAx>
        <c:axId val="24527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5274496"/>
        <c:crosses val="autoZero"/>
        <c:auto val="1"/>
        <c:lblAlgn val="ctr"/>
        <c:lblOffset val="100"/>
        <c:noMultiLvlLbl val="0"/>
      </c:catAx>
      <c:valAx>
        <c:axId val="245274496"/>
        <c:scaling>
          <c:orientation val="minMax"/>
        </c:scaling>
        <c:delete val="0"/>
        <c:axPos val="l"/>
        <c:numFmt formatCode="0.0_);[Red]\(0.0\)" sourceLinked="0"/>
        <c:majorTickMark val="in"/>
        <c:minorTickMark val="in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5272960"/>
        <c:crosses val="autoZero"/>
        <c:crossBetween val="between"/>
      </c:valAx>
      <c:valAx>
        <c:axId val="245276032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5286016"/>
        <c:crosses val="max"/>
        <c:crossBetween val="between"/>
      </c:valAx>
      <c:catAx>
        <c:axId val="2452860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52760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腾讯税前净利润和成本构成趋势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'业务表-年度'!$B$22</c:f>
              <c:strCache>
                <c:ptCount val="1"/>
                <c:pt idx="0">
                  <c:v>增值服务成本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'业务表-年度'!$D$2:$K$2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2019E</c:v>
                </c:pt>
                <c:pt idx="4">
                  <c:v>2020E</c:v>
                </c:pt>
                <c:pt idx="5">
                  <c:v>2021E</c:v>
                </c:pt>
                <c:pt idx="6">
                  <c:v>2022E</c:v>
                </c:pt>
                <c:pt idx="7">
                  <c:v>2023E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'业务表-年度'!$C$2:$K$2</c15:sqref>
                  </c15:fullRef>
                </c:ext>
              </c:extLst>
            </c:strRef>
          </c:cat>
          <c:val>
            <c:numRef>
              <c:f>'业务表-年度'!$D$22:$K$22</c:f>
              <c:numCache>
                <c:formatCode>0.0</c:formatCode>
                <c:ptCount val="8"/>
                <c:pt idx="0">
                  <c:v>-376.16643999999997</c:v>
                </c:pt>
                <c:pt idx="1">
                  <c:v>-613.7815700000001</c:v>
                </c:pt>
                <c:pt idx="2">
                  <c:v>-739.44858999999997</c:v>
                </c:pt>
                <c:pt idx="3">
                  <c:v>-930.28711260975388</c:v>
                </c:pt>
                <c:pt idx="4">
                  <c:v>-1043.0677238161363</c:v>
                </c:pt>
                <c:pt idx="5">
                  <c:v>-1171.9263697404247</c:v>
                </c:pt>
                <c:pt idx="6">
                  <c:v>-1309.588935977313</c:v>
                </c:pt>
                <c:pt idx="7">
                  <c:v>-1447.1526568429601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'业务表-年度'!$C$22:$K$22</c15:sqref>
                  </c15:fullRef>
                </c:ext>
              </c:extLst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categoryFilterExceptions>
                <c15:categoryFilterException>
                  <c15:sqref>'业务表-年度'!$C$22</c15:sqref>
                  <c15:dLbl>
                    <c:idx val="-1"/>
                    <c:layout>
                      <c:manualLayout>
                        <c:x val="-1.7037085002831064E-17"/>
                        <c:y val="4.814718632771553E-3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FDE8-4800-BBCA-6588050F59E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8417-4747-AE3F-E24EA1F1BBDA}"/>
            </c:ext>
          </c:extLst>
        </c:ser>
        <c:ser>
          <c:idx val="2"/>
          <c:order val="1"/>
          <c:tx>
            <c:strRef>
              <c:f>'业务表-年度'!$B$26</c:f>
              <c:strCache>
                <c:ptCount val="1"/>
                <c:pt idx="0">
                  <c:v>广告成本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'业务表-年度'!$D$2:$K$2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2019E</c:v>
                </c:pt>
                <c:pt idx="4">
                  <c:v>2020E</c:v>
                </c:pt>
                <c:pt idx="5">
                  <c:v>2021E</c:v>
                </c:pt>
                <c:pt idx="6">
                  <c:v>2022E</c:v>
                </c:pt>
                <c:pt idx="7">
                  <c:v>2023E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'业务表-年度'!$C$2:$K$2</c15:sqref>
                  </c15:fullRef>
                </c:ext>
              </c:extLst>
            </c:strRef>
          </c:cat>
          <c:val>
            <c:numRef>
              <c:f>'业务表-年度'!$D$26:$K$26</c:f>
              <c:numCache>
                <c:formatCode>0.0</c:formatCode>
                <c:ptCount val="8"/>
                <c:pt idx="0">
                  <c:v>-153.90472</c:v>
                </c:pt>
                <c:pt idx="1">
                  <c:v>-255.99494000000001</c:v>
                </c:pt>
                <c:pt idx="2">
                  <c:v>-372.65892000000002</c:v>
                </c:pt>
                <c:pt idx="3">
                  <c:v>-479.3373913885988</c:v>
                </c:pt>
                <c:pt idx="4">
                  <c:v>-582.04397350161503</c:v>
                </c:pt>
                <c:pt idx="5">
                  <c:v>-695.14425892845202</c:v>
                </c:pt>
                <c:pt idx="6">
                  <c:v>-817.69682273702324</c:v>
                </c:pt>
                <c:pt idx="7">
                  <c:v>-948.23522381788723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'业务表-年度'!$C$26:$K$26</c15:sqref>
                  </c15:fullRef>
                </c:ext>
              </c:extLst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categoryFilterExceptions>
                <c15:categoryFilterException>
                  <c15:sqref>'业务表-年度'!$C$26</c15:sqref>
                  <c15:dLbl>
                    <c:idx val="-1"/>
                    <c:layout>
                      <c:manualLayout>
                        <c:x val="0"/>
                        <c:y val="6.419624843695463E-3"/>
                      </c:manualLayout>
                    </c:layout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bg1"/>
                            </a:solidFill>
                            <a:latin typeface="微软雅黑" panose="020B0503020204020204" pitchFamily="34" charset="-122"/>
                            <a:ea typeface="微软雅黑" panose="020B0503020204020204" pitchFamily="34" charset="-122"/>
                            <a:cs typeface="+mn-cs"/>
                          </a:defRPr>
                        </a:pPr>
                        <a:endParaRPr lang="zh-CN"/>
                      </a:p>
                    </c:txPr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FDE8-4800-BBCA-6588050F59E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8417-4747-AE3F-E24EA1F1BBDA}"/>
            </c:ext>
          </c:extLst>
        </c:ser>
        <c:ser>
          <c:idx val="1"/>
          <c:order val="2"/>
          <c:tx>
            <c:strRef>
              <c:f>'业务表-年度'!$B$30</c:f>
              <c:strCache>
                <c:ptCount val="1"/>
                <c:pt idx="0">
                  <c:v>云和支付成本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'业务表-年度'!$D$2:$K$2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2019E</c:v>
                </c:pt>
                <c:pt idx="4">
                  <c:v>2020E</c:v>
                </c:pt>
                <c:pt idx="5">
                  <c:v>2021E</c:v>
                </c:pt>
                <c:pt idx="6">
                  <c:v>2022E</c:v>
                </c:pt>
                <c:pt idx="7">
                  <c:v>2023E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'业务表-年度'!$C$2:$K$2</c15:sqref>
                  </c15:fullRef>
                </c:ext>
              </c:extLst>
            </c:strRef>
          </c:cat>
          <c:val>
            <c:numRef>
              <c:f>'业务表-年度'!$D$30:$K$30</c:f>
              <c:numCache>
                <c:formatCode>0.0</c:formatCode>
                <c:ptCount val="8"/>
                <c:pt idx="0">
                  <c:v>-144.25101999999998</c:v>
                </c:pt>
                <c:pt idx="1">
                  <c:v>-338.64655999999997</c:v>
                </c:pt>
                <c:pt idx="2">
                  <c:v>-593.39148</c:v>
                </c:pt>
                <c:pt idx="3">
                  <c:v>-916.20507964685703</c:v>
                </c:pt>
                <c:pt idx="4">
                  <c:v>-1256.1275657742831</c:v>
                </c:pt>
                <c:pt idx="5">
                  <c:v>-1579.8693522977007</c:v>
                </c:pt>
                <c:pt idx="6">
                  <c:v>-1945.5007244927065</c:v>
                </c:pt>
                <c:pt idx="7">
                  <c:v>-2386.493400869324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'业务表-年度'!$C$30:$K$30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417-4747-AE3F-E24EA1F1BBDA}"/>
            </c:ext>
          </c:extLst>
        </c:ser>
        <c:ser>
          <c:idx val="0"/>
          <c:order val="3"/>
          <c:tx>
            <c:strRef>
              <c:f>'业务表-年度'!$B$50</c:f>
              <c:strCache>
                <c:ptCount val="1"/>
                <c:pt idx="0">
                  <c:v>销售费用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'业务表-年度'!$D$2:$K$2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2019E</c:v>
                </c:pt>
                <c:pt idx="4">
                  <c:v>2020E</c:v>
                </c:pt>
                <c:pt idx="5">
                  <c:v>2021E</c:v>
                </c:pt>
                <c:pt idx="6">
                  <c:v>2022E</c:v>
                </c:pt>
                <c:pt idx="7">
                  <c:v>2023E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'业务表-年度'!$C$2:$K$2</c15:sqref>
                  </c15:fullRef>
                </c:ext>
              </c:extLst>
            </c:strRef>
          </c:cat>
          <c:val>
            <c:numRef>
              <c:f>'业务表-年度'!$D$50:$K$50</c:f>
              <c:numCache>
                <c:formatCode>0.0</c:formatCode>
                <c:ptCount val="8"/>
                <c:pt idx="0">
                  <c:v>-121.36000000000001</c:v>
                </c:pt>
                <c:pt idx="1">
                  <c:v>-176.52</c:v>
                </c:pt>
                <c:pt idx="2">
                  <c:v>-242.33000000000004</c:v>
                </c:pt>
                <c:pt idx="3">
                  <c:v>-281.15348215085857</c:v>
                </c:pt>
                <c:pt idx="4">
                  <c:v>-328.55748270250672</c:v>
                </c:pt>
                <c:pt idx="5">
                  <c:v>-373.53128359229413</c:v>
                </c:pt>
                <c:pt idx="6">
                  <c:v>-419.13287101899567</c:v>
                </c:pt>
                <c:pt idx="7">
                  <c:v>-465.81574024238762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'业务表-年度'!$C$50:$K$50</c15:sqref>
                  </c15:fullRef>
                </c:ext>
              </c:extLst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categoryFilterExceptions>
                <c15:categoryFilterException>
                  <c15:sqref>'业务表-年度'!$C$50</c15:sqref>
                  <c15:dLbl>
                    <c:idx val="-1"/>
                    <c:layout>
                      <c:manualLayout>
                        <c:x val="0"/>
                        <c:y val="-8.0244046840514654E-3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FDE8-4800-BBCA-6588050F59E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8417-4747-AE3F-E24EA1F1BBDA}"/>
            </c:ext>
          </c:extLst>
        </c:ser>
        <c:ser>
          <c:idx val="3"/>
          <c:order val="4"/>
          <c:tx>
            <c:strRef>
              <c:f>'业务表-年度'!$B$54</c:f>
              <c:strCache>
                <c:ptCount val="1"/>
                <c:pt idx="0">
                  <c:v>研发支出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'业务表-年度'!$D$2:$K$2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2019E</c:v>
                </c:pt>
                <c:pt idx="4">
                  <c:v>2020E</c:v>
                </c:pt>
                <c:pt idx="5">
                  <c:v>2021E</c:v>
                </c:pt>
                <c:pt idx="6">
                  <c:v>2022E</c:v>
                </c:pt>
                <c:pt idx="7">
                  <c:v>2023E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'业务表-年度'!$C$2:$K$2</c15:sqref>
                  </c15:fullRef>
                </c:ext>
              </c:extLst>
            </c:strRef>
          </c:cat>
          <c:val>
            <c:numRef>
              <c:f>'业务表-年度'!$D$54:$K$54</c:f>
              <c:numCache>
                <c:formatCode>0.0</c:formatCode>
                <c:ptCount val="8"/>
                <c:pt idx="0">
                  <c:v>-118.44973121948709</c:v>
                </c:pt>
                <c:pt idx="1">
                  <c:v>-174.56227562999999</c:v>
                </c:pt>
                <c:pt idx="2">
                  <c:v>-229.36</c:v>
                </c:pt>
                <c:pt idx="3">
                  <c:v>-277.27354608606595</c:v>
                </c:pt>
                <c:pt idx="4">
                  <c:v>-328.55748270250672</c:v>
                </c:pt>
                <c:pt idx="5">
                  <c:v>-383.43140650763405</c:v>
                </c:pt>
                <c:pt idx="6">
                  <c:v>-443.29939368402864</c:v>
                </c:pt>
                <c:pt idx="7">
                  <c:v>-508.95802922272833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'业务表-年度'!$C$54:$K$54</c15:sqref>
                  </c15:fullRef>
                </c:ext>
              </c:extLst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categoryFilterExceptions>
                <c15:categoryFilterException>
                  <c15:sqref>'业务表-年度'!$C$54</c15:sqref>
                  <c15:dLbl>
                    <c:idx val="-1"/>
                    <c:layout>
                      <c:manualLayout>
                        <c:x val="0"/>
                        <c:y val="-1.283899694625517E-2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FDE8-4800-BBCA-6588050F59E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8417-4747-AE3F-E24EA1F1BBDA}"/>
            </c:ext>
          </c:extLst>
        </c:ser>
        <c:ser>
          <c:idx val="5"/>
          <c:order val="5"/>
          <c:tx>
            <c:strRef>
              <c:f>'业务表-年度'!$B$58</c:f>
              <c:strCache>
                <c:ptCount val="1"/>
                <c:pt idx="0">
                  <c:v>管理费用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'业务表-年度'!$D$2:$K$2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2019E</c:v>
                </c:pt>
                <c:pt idx="4">
                  <c:v>2020E</c:v>
                </c:pt>
                <c:pt idx="5">
                  <c:v>2021E</c:v>
                </c:pt>
                <c:pt idx="6">
                  <c:v>2022E</c:v>
                </c:pt>
                <c:pt idx="7">
                  <c:v>2023E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'业务表-年度'!$C$2:$K$2</c15:sqref>
                  </c15:fullRef>
                </c:ext>
              </c:extLst>
            </c:strRef>
          </c:cat>
          <c:val>
            <c:numRef>
              <c:f>'业务表-年度'!$D$58:$K$58</c:f>
              <c:numCache>
                <c:formatCode>0.0</c:formatCode>
                <c:ptCount val="8"/>
                <c:pt idx="0">
                  <c:v>-106.14026878051291</c:v>
                </c:pt>
                <c:pt idx="1">
                  <c:v>-155.94772437000003</c:v>
                </c:pt>
                <c:pt idx="2">
                  <c:v>-185.85999999999999</c:v>
                </c:pt>
                <c:pt idx="3">
                  <c:v>-231.32669413234979</c:v>
                </c:pt>
                <c:pt idx="4">
                  <c:v>-275.14282678378072</c:v>
                </c:pt>
                <c:pt idx="5">
                  <c:v>-319.24027818295406</c:v>
                </c:pt>
                <c:pt idx="6">
                  <c:v>-366.67480279261872</c:v>
                </c:pt>
                <c:pt idx="7">
                  <c:v>-418.04061462330776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'业务表-年度'!$C$58:$K$58</c15:sqref>
                  </c15:fullRef>
                </c:ext>
              </c:extLst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categoryFilterExceptions>
                <c15:categoryFilterException>
                  <c15:sqref>'业务表-年度'!$C$58</c15:sqref>
                  <c15:dLbl>
                    <c:idx val="-1"/>
                    <c:layout>
                      <c:manualLayout>
                        <c:x val="0"/>
                        <c:y val="-1.9741230988337834E-2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FDE8-4800-BBCA-6588050F59E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1746-4FCC-A887-E7E580941148}"/>
            </c:ext>
          </c:extLst>
        </c:ser>
        <c:ser>
          <c:idx val="6"/>
          <c:order val="6"/>
          <c:tx>
            <c:strRef>
              <c:f>'业务表-年度'!$B$74</c:f>
              <c:strCache>
                <c:ptCount val="1"/>
                <c:pt idx="0">
                  <c:v>税前利润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'业务表-年度'!$D$2:$K$2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2019E</c:v>
                </c:pt>
                <c:pt idx="4">
                  <c:v>2020E</c:v>
                </c:pt>
                <c:pt idx="5">
                  <c:v>2021E</c:v>
                </c:pt>
                <c:pt idx="6">
                  <c:v>2022E</c:v>
                </c:pt>
                <c:pt idx="7">
                  <c:v>2023E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'业务表-年度'!$C$2:$K$2</c15:sqref>
                  </c15:fullRef>
                </c:ext>
              </c:extLst>
            </c:strRef>
          </c:cat>
          <c:val>
            <c:numRef>
              <c:f>'业务表-年度'!$D$74:$K$74</c:f>
              <c:numCache>
                <c:formatCode>0.0_ </c:formatCode>
                <c:ptCount val="8"/>
                <c:pt idx="0">
                  <c:v>516.46782000000007</c:v>
                </c:pt>
                <c:pt idx="1">
                  <c:v>882.0769300000004</c:v>
                </c:pt>
                <c:pt idx="2">
                  <c:v>992.37580999999977</c:v>
                </c:pt>
                <c:pt idx="3">
                  <c:v>864.84828647175141</c:v>
                </c:pt>
                <c:pt idx="4">
                  <c:v>1024.0053830336017</c:v>
                </c:pt>
                <c:pt idx="5">
                  <c:v>1215.2983927689222</c:v>
                </c:pt>
                <c:pt idx="6">
                  <c:v>1442.7355657725789</c:v>
                </c:pt>
                <c:pt idx="7">
                  <c:v>1678.5163705886698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'业务表-年度'!$C$74:$K$74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1746-4FCC-A887-E7E5809411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45213056"/>
        <c:axId val="245214592"/>
      </c:barChart>
      <c:catAx>
        <c:axId val="24521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5214592"/>
        <c:crosses val="autoZero"/>
        <c:auto val="1"/>
        <c:lblAlgn val="ctr"/>
        <c:lblOffset val="100"/>
        <c:noMultiLvlLbl val="0"/>
      </c:catAx>
      <c:valAx>
        <c:axId val="245214592"/>
        <c:scaling>
          <c:orientation val="minMax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521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腾讯税前利润率与成本占比趋势预测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'业务表-年度'!$B$25</c:f>
              <c:strCache>
                <c:ptCount val="1"/>
                <c:pt idx="0">
                  <c:v>增值服务成本占比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'业务表-年度'!$D$2:$K$2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2019E</c:v>
                </c:pt>
                <c:pt idx="4">
                  <c:v>2020E</c:v>
                </c:pt>
                <c:pt idx="5">
                  <c:v>2021E</c:v>
                </c:pt>
                <c:pt idx="6">
                  <c:v>2022E</c:v>
                </c:pt>
                <c:pt idx="7">
                  <c:v>2023E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'业务表-年度'!$C$2:$K$2</c15:sqref>
                  </c15:fullRef>
                </c:ext>
              </c:extLst>
            </c:strRef>
          </c:cat>
          <c:val>
            <c:numRef>
              <c:f>'业务表-年度'!$D$25:$K$25</c:f>
              <c:numCache>
                <c:formatCode>0.0%</c:formatCode>
                <c:ptCount val="8"/>
                <c:pt idx="0">
                  <c:v>-0.24757890718582579</c:v>
                </c:pt>
                <c:pt idx="1">
                  <c:v>-0.25815173704576044</c:v>
                </c:pt>
                <c:pt idx="2">
                  <c:v>-0.23647674403730162</c:v>
                </c:pt>
                <c:pt idx="3">
                  <c:v>-0.23976867068799546</c:v>
                </c:pt>
                <c:pt idx="4">
                  <c:v>-0.22053684164442156</c:v>
                </c:pt>
                <c:pt idx="5">
                  <c:v>-0.20833058761148546</c:v>
                </c:pt>
                <c:pt idx="6">
                  <c:v>-0.19756265607072007</c:v>
                </c:pt>
                <c:pt idx="7">
                  <c:v>-0.18650778211665225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'业务表-年度'!$C$25:$K$25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417-4747-AE3F-E24EA1F1BBDA}"/>
            </c:ext>
          </c:extLst>
        </c:ser>
        <c:ser>
          <c:idx val="2"/>
          <c:order val="1"/>
          <c:tx>
            <c:strRef>
              <c:f>'业务表-年度'!$B$29</c:f>
              <c:strCache>
                <c:ptCount val="1"/>
                <c:pt idx="0">
                  <c:v>广告成本占比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'业务表-年度'!$D$2:$K$2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2019E</c:v>
                </c:pt>
                <c:pt idx="4">
                  <c:v>2020E</c:v>
                </c:pt>
                <c:pt idx="5">
                  <c:v>2021E</c:v>
                </c:pt>
                <c:pt idx="6">
                  <c:v>2022E</c:v>
                </c:pt>
                <c:pt idx="7">
                  <c:v>2023E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'业务表-年度'!$C$2:$K$2</c15:sqref>
                  </c15:fullRef>
                </c:ext>
              </c:extLst>
            </c:strRef>
          </c:cat>
          <c:val>
            <c:numRef>
              <c:f>'业务表-年度'!$D$29:$K$29</c:f>
              <c:numCache>
                <c:formatCode>0.0%</c:formatCode>
                <c:ptCount val="8"/>
                <c:pt idx="0">
                  <c:v>-0.10129442272505891</c:v>
                </c:pt>
                <c:pt idx="1">
                  <c:v>-0.10766947341857334</c:v>
                </c:pt>
                <c:pt idx="2">
                  <c:v>-0.1191768693994768</c:v>
                </c:pt>
                <c:pt idx="3">
                  <c:v>-0.1235426005439116</c:v>
                </c:pt>
                <c:pt idx="4">
                  <c:v>-0.12306213363078064</c:v>
                </c:pt>
                <c:pt idx="5">
                  <c:v>-0.12357415591680201</c:v>
                </c:pt>
                <c:pt idx="6">
                  <c:v>-0.12335653709532689</c:v>
                </c:pt>
                <c:pt idx="7">
                  <c:v>-0.12220773508786294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'业务表-年度'!$C$29:$K$29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417-4747-AE3F-E24EA1F1BBDA}"/>
            </c:ext>
          </c:extLst>
        </c:ser>
        <c:ser>
          <c:idx val="1"/>
          <c:order val="2"/>
          <c:tx>
            <c:strRef>
              <c:f>'业务表-年度'!$B$33</c:f>
              <c:strCache>
                <c:ptCount val="1"/>
                <c:pt idx="0">
                  <c:v>云和支付成本占比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'业务表-年度'!$D$2:$K$2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2019E</c:v>
                </c:pt>
                <c:pt idx="4">
                  <c:v>2020E</c:v>
                </c:pt>
                <c:pt idx="5">
                  <c:v>2021E</c:v>
                </c:pt>
                <c:pt idx="6">
                  <c:v>2022E</c:v>
                </c:pt>
                <c:pt idx="7">
                  <c:v>2023E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'业务表-年度'!$C$2:$K$2</c15:sqref>
                  </c15:fullRef>
                </c:ext>
              </c:extLst>
            </c:strRef>
          </c:cat>
          <c:val>
            <c:numRef>
              <c:f>'业务表-年度'!$D$33:$K$33</c:f>
              <c:numCache>
                <c:formatCode>0.0%</c:formatCode>
                <c:ptCount val="8"/>
                <c:pt idx="0">
                  <c:v>-9.4940712659110943E-2</c:v>
                </c:pt>
                <c:pt idx="1">
                  <c:v>-0.14243209959623146</c:v>
                </c:pt>
                <c:pt idx="2">
                  <c:v>-0.18976746595713381</c:v>
                </c:pt>
                <c:pt idx="3">
                  <c:v>-0.23613922094250092</c:v>
                </c:pt>
                <c:pt idx="4">
                  <c:v>-0.2655842949917479</c:v>
                </c:pt>
                <c:pt idx="5">
                  <c:v>-0.28084964978342331</c:v>
                </c:pt>
                <c:pt idx="6">
                  <c:v>-0.293495370920687</c:v>
                </c:pt>
                <c:pt idx="7">
                  <c:v>-0.30756920434584456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'业务表-年度'!$C$33:$K$33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417-4747-AE3F-E24EA1F1BBDA}"/>
            </c:ext>
          </c:extLst>
        </c:ser>
        <c:ser>
          <c:idx val="0"/>
          <c:order val="3"/>
          <c:tx>
            <c:strRef>
              <c:f>'业务表-年度'!$B$53</c:f>
              <c:strCache>
                <c:ptCount val="1"/>
                <c:pt idx="0">
                  <c:v>销售费用率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'业务表-年度'!$D$2:$K$2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2019E</c:v>
                </c:pt>
                <c:pt idx="4">
                  <c:v>2020E</c:v>
                </c:pt>
                <c:pt idx="5">
                  <c:v>2021E</c:v>
                </c:pt>
                <c:pt idx="6">
                  <c:v>2022E</c:v>
                </c:pt>
                <c:pt idx="7">
                  <c:v>2023E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'业务表-年度'!$C$2:$K$2</c15:sqref>
                  </c15:fullRef>
                </c:ext>
              </c:extLst>
            </c:strRef>
          </c:cat>
          <c:val>
            <c:numRef>
              <c:f>'业务表-年度'!$D$53:$K$53</c:f>
              <c:numCache>
                <c:formatCode>0.0%</c:formatCode>
                <c:ptCount val="8"/>
                <c:pt idx="0">
                  <c:v>-7.9874685727072903E-2</c:v>
                </c:pt>
                <c:pt idx="1">
                  <c:v>-7.4242934051144002E-2</c:v>
                </c:pt>
                <c:pt idx="2">
                  <c:v>-7.7497489558482111E-2</c:v>
                </c:pt>
                <c:pt idx="3">
                  <c:v>-7.2463431730770397E-2</c:v>
                </c:pt>
                <c:pt idx="4">
                  <c:v>-6.9467233890390223E-2</c:v>
                </c:pt>
                <c:pt idx="5">
                  <c:v>-6.6401775581934649E-2</c:v>
                </c:pt>
                <c:pt idx="6">
                  <c:v>-6.3229766967498116E-2</c:v>
                </c:pt>
                <c:pt idx="7">
                  <c:v>-6.0033929507591698E-2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'业务表-年度'!$C$53:$K$53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417-4747-AE3F-E24EA1F1BBDA}"/>
            </c:ext>
          </c:extLst>
        </c:ser>
        <c:ser>
          <c:idx val="3"/>
          <c:order val="4"/>
          <c:tx>
            <c:strRef>
              <c:f>'业务表-年度'!$B$57</c:f>
              <c:strCache>
                <c:ptCount val="1"/>
                <c:pt idx="0">
                  <c:v>研发支出率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'业务表-年度'!$D$2:$K$2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2019E</c:v>
                </c:pt>
                <c:pt idx="4">
                  <c:v>2020E</c:v>
                </c:pt>
                <c:pt idx="5">
                  <c:v>2021E</c:v>
                </c:pt>
                <c:pt idx="6">
                  <c:v>2022E</c:v>
                </c:pt>
                <c:pt idx="7">
                  <c:v>2023E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'业务表-年度'!$C$2:$K$2</c15:sqref>
                  </c15:fullRef>
                </c:ext>
              </c:extLst>
            </c:strRef>
          </c:cat>
          <c:val>
            <c:numRef>
              <c:f>'业务表-年度'!$D$57:$K$57</c:f>
              <c:numCache>
                <c:formatCode>0.0%</c:formatCode>
                <c:ptCount val="8"/>
                <c:pt idx="0">
                  <c:v>-7.7959253919024279E-2</c:v>
                </c:pt>
                <c:pt idx="1">
                  <c:v>-7.3419530463492574E-2</c:v>
                </c:pt>
                <c:pt idx="2">
                  <c:v>-7.3349664528260861E-2</c:v>
                </c:pt>
                <c:pt idx="3">
                  <c:v>-7.1463431730770424E-2</c:v>
                </c:pt>
                <c:pt idx="4">
                  <c:v>-6.9467233890390223E-2</c:v>
                </c:pt>
                <c:pt idx="5">
                  <c:v>-6.8161697090344378E-2</c:v>
                </c:pt>
                <c:pt idx="6">
                  <c:v>-6.6875492946493323E-2</c:v>
                </c:pt>
                <c:pt idx="7">
                  <c:v>-6.5594070378087441E-2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'业务表-年度'!$C$57:$K$57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8417-4747-AE3F-E24EA1F1BBDA}"/>
            </c:ext>
          </c:extLst>
        </c:ser>
        <c:ser>
          <c:idx val="5"/>
          <c:order val="5"/>
          <c:tx>
            <c:strRef>
              <c:f>'业务表-年度'!$B$61</c:f>
              <c:strCache>
                <c:ptCount val="1"/>
                <c:pt idx="0">
                  <c:v>管理费用率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'业务表-年度'!$D$2:$K$2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2019E</c:v>
                </c:pt>
                <c:pt idx="4">
                  <c:v>2020E</c:v>
                </c:pt>
                <c:pt idx="5">
                  <c:v>2021E</c:v>
                </c:pt>
                <c:pt idx="6">
                  <c:v>2022E</c:v>
                </c:pt>
                <c:pt idx="7">
                  <c:v>2023E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'业务表-年度'!$C$2:$K$2</c15:sqref>
                  </c15:fullRef>
                </c:ext>
              </c:extLst>
            </c:strRef>
          </c:cat>
          <c:val>
            <c:numRef>
              <c:f>'业务表-年度'!$D$61:$K$61</c:f>
              <c:numCache>
                <c:formatCode>0.0%</c:formatCode>
                <c:ptCount val="8"/>
                <c:pt idx="0">
                  <c:v>-6.9857618752723422E-2</c:v>
                </c:pt>
                <c:pt idx="1">
                  <c:v>-6.5590395512281296E-2</c:v>
                </c:pt>
                <c:pt idx="2">
                  <c:v>-5.9438300702923622E-2</c:v>
                </c:pt>
                <c:pt idx="3">
                  <c:v>-5.9621264440786671E-2</c:v>
                </c:pt>
                <c:pt idx="4">
                  <c:v>-5.8173720300743567E-2</c:v>
                </c:pt>
                <c:pt idx="5">
                  <c:v>-5.6750591556225465E-2</c:v>
                </c:pt>
                <c:pt idx="6">
                  <c:v>-5.5316020137155614E-2</c:v>
                </c:pt>
                <c:pt idx="7">
                  <c:v>-5.3876712660132345E-2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'业务表-年度'!$C$61:$K$61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B3D-47AC-B5A9-1382A2C24726}"/>
            </c:ext>
          </c:extLst>
        </c:ser>
        <c:ser>
          <c:idx val="6"/>
          <c:order val="6"/>
          <c:tx>
            <c:strRef>
              <c:f>'业务表-年度'!$B$77</c:f>
              <c:strCache>
                <c:ptCount val="1"/>
                <c:pt idx="0">
                  <c:v>税前净利润率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'业务表-年度'!$D$2:$K$2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2019E</c:v>
                </c:pt>
                <c:pt idx="4">
                  <c:v>2020E</c:v>
                </c:pt>
                <c:pt idx="5">
                  <c:v>2021E</c:v>
                </c:pt>
                <c:pt idx="6">
                  <c:v>2022E</c:v>
                </c:pt>
                <c:pt idx="7">
                  <c:v>2023E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'业务表-年度'!$C$2:$K$2</c15:sqref>
                  </c15:fullRef>
                </c:ext>
              </c:extLst>
            </c:strRef>
          </c:cat>
          <c:val>
            <c:numRef>
              <c:f>'业务表-年度'!$D$77:$K$77</c:f>
              <c:numCache>
                <c:formatCode>0.0%</c:formatCode>
                <c:ptCount val="8"/>
                <c:pt idx="0">
                  <c:v>0.33992011215100904</c:v>
                </c:pt>
                <c:pt idx="1">
                  <c:v>0.37099467109690454</c:v>
                </c:pt>
                <c:pt idx="2">
                  <c:v>0.31736324010054551</c:v>
                </c:pt>
                <c:pt idx="3">
                  <c:v>0.2229027159286355</c:v>
                </c:pt>
                <c:pt idx="4">
                  <c:v>0.21650647205811185</c:v>
                </c:pt>
                <c:pt idx="5">
                  <c:v>0.21604072988384268</c:v>
                </c:pt>
                <c:pt idx="6">
                  <c:v>0.21764896033503259</c:v>
                </c:pt>
                <c:pt idx="7">
                  <c:v>0.21632573733301538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'业务表-年度'!$C$77:$K$77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1B3D-47AC-B5A9-1382A2C247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51609472"/>
        <c:axId val="251611008"/>
      </c:barChart>
      <c:catAx>
        <c:axId val="25160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1611008"/>
        <c:crosses val="autoZero"/>
        <c:auto val="1"/>
        <c:lblAlgn val="ctr"/>
        <c:lblOffset val="100"/>
        <c:noMultiLvlLbl val="0"/>
      </c:catAx>
      <c:valAx>
        <c:axId val="251611008"/>
        <c:scaling>
          <c:orientation val="minMax"/>
        </c:scaling>
        <c:delete val="0"/>
        <c:axPos val="l"/>
        <c:numFmt formatCode="0.0%" sourceLinked="1"/>
        <c:majorTickMark val="in"/>
        <c:minorTickMark val="in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160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sz="1200">
                <a:latin typeface="微软雅黑" panose="020B0503020204020204" pitchFamily="34" charset="-122"/>
                <a:ea typeface="微软雅黑" panose="020B0503020204020204" pitchFamily="34" charset="-122"/>
              </a:rPr>
              <a:t>腾讯的资产构成变化趋势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经营性资产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资产!$B$2:$W$2</c:f>
              <c:strCache>
                <c:ptCount val="22"/>
                <c:pt idx="0">
                  <c:v>10年年报</c:v>
                </c:pt>
                <c:pt idx="2">
                  <c:v>14年一季报</c:v>
                </c:pt>
                <c:pt idx="3">
                  <c:v>14年中报</c:v>
                </c:pt>
                <c:pt idx="4">
                  <c:v>14年三季报</c:v>
                </c:pt>
                <c:pt idx="5">
                  <c:v>14年年报</c:v>
                </c:pt>
                <c:pt idx="6">
                  <c:v>15年一季报</c:v>
                </c:pt>
                <c:pt idx="7">
                  <c:v>15年中报</c:v>
                </c:pt>
                <c:pt idx="8">
                  <c:v>15年三季报</c:v>
                </c:pt>
                <c:pt idx="9">
                  <c:v>15年年报</c:v>
                </c:pt>
                <c:pt idx="10">
                  <c:v>16年一季报</c:v>
                </c:pt>
                <c:pt idx="11">
                  <c:v>16年中报</c:v>
                </c:pt>
                <c:pt idx="12">
                  <c:v>16年三季报</c:v>
                </c:pt>
                <c:pt idx="13">
                  <c:v>16年年报</c:v>
                </c:pt>
                <c:pt idx="14">
                  <c:v>17年一季报</c:v>
                </c:pt>
                <c:pt idx="15">
                  <c:v>17年中报</c:v>
                </c:pt>
                <c:pt idx="16">
                  <c:v>17年三季报</c:v>
                </c:pt>
                <c:pt idx="17">
                  <c:v>17年年报</c:v>
                </c:pt>
                <c:pt idx="18">
                  <c:v>18年一季报</c:v>
                </c:pt>
                <c:pt idx="19">
                  <c:v>18年中报</c:v>
                </c:pt>
                <c:pt idx="20">
                  <c:v>18年三季报</c:v>
                </c:pt>
                <c:pt idx="21">
                  <c:v>18年年报</c:v>
                </c:pt>
              </c:strCache>
            </c:strRef>
          </c:cat>
          <c:val>
            <c:numRef>
              <c:f>资产!$B$3:$W$3</c:f>
              <c:numCache>
                <c:formatCode>0_);[Red]\(0\)</c:formatCode>
                <c:ptCount val="22"/>
                <c:pt idx="0">
                  <c:v>73.875510000000006</c:v>
                </c:pt>
                <c:pt idx="2">
                  <c:v>287.52</c:v>
                </c:pt>
                <c:pt idx="3">
                  <c:v>298.11</c:v>
                </c:pt>
                <c:pt idx="4">
                  <c:v>300.45999999999998</c:v>
                </c:pt>
                <c:pt idx="5">
                  <c:v>362.38000000000005</c:v>
                </c:pt>
                <c:pt idx="6">
                  <c:v>396.86</c:v>
                </c:pt>
                <c:pt idx="7">
                  <c:v>434.22999999999996</c:v>
                </c:pt>
                <c:pt idx="8">
                  <c:v>525.04999999999995</c:v>
                </c:pt>
                <c:pt idx="9">
                  <c:v>551.62000000000012</c:v>
                </c:pt>
                <c:pt idx="10">
                  <c:v>611.05999999999995</c:v>
                </c:pt>
                <c:pt idx="11">
                  <c:v>672.23</c:v>
                </c:pt>
                <c:pt idx="12">
                  <c:v>1172.98</c:v>
                </c:pt>
                <c:pt idx="13">
                  <c:v>999.98</c:v>
                </c:pt>
                <c:pt idx="14">
                  <c:v>1076.3600000000001</c:v>
                </c:pt>
                <c:pt idx="15">
                  <c:v>1152.17</c:v>
                </c:pt>
                <c:pt idx="16">
                  <c:v>1248.97</c:v>
                </c:pt>
                <c:pt idx="17">
                  <c:v>1278.5700000000002</c:v>
                </c:pt>
                <c:pt idx="18">
                  <c:v>1447.09</c:v>
                </c:pt>
                <c:pt idx="19">
                  <c:v>1597.21</c:v>
                </c:pt>
                <c:pt idx="20">
                  <c:v>1774.38</c:v>
                </c:pt>
                <c:pt idx="21">
                  <c:v>1889.81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C55-4DF8-A4AE-9BC0C695916C}"/>
            </c:ext>
          </c:extLst>
        </c:ser>
        <c:ser>
          <c:idx val="1"/>
          <c:order val="1"/>
          <c:tx>
            <c:v>投资性资产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资产!$B$2:$W$2</c:f>
              <c:strCache>
                <c:ptCount val="22"/>
                <c:pt idx="0">
                  <c:v>10年年报</c:v>
                </c:pt>
                <c:pt idx="2">
                  <c:v>14年一季报</c:v>
                </c:pt>
                <c:pt idx="3">
                  <c:v>14年中报</c:v>
                </c:pt>
                <c:pt idx="4">
                  <c:v>14年三季报</c:v>
                </c:pt>
                <c:pt idx="5">
                  <c:v>14年年报</c:v>
                </c:pt>
                <c:pt idx="6">
                  <c:v>15年一季报</c:v>
                </c:pt>
                <c:pt idx="7">
                  <c:v>15年中报</c:v>
                </c:pt>
                <c:pt idx="8">
                  <c:v>15年三季报</c:v>
                </c:pt>
                <c:pt idx="9">
                  <c:v>15年年报</c:v>
                </c:pt>
                <c:pt idx="10">
                  <c:v>16年一季报</c:v>
                </c:pt>
                <c:pt idx="11">
                  <c:v>16年中报</c:v>
                </c:pt>
                <c:pt idx="12">
                  <c:v>16年三季报</c:v>
                </c:pt>
                <c:pt idx="13">
                  <c:v>16年年报</c:v>
                </c:pt>
                <c:pt idx="14">
                  <c:v>17年一季报</c:v>
                </c:pt>
                <c:pt idx="15">
                  <c:v>17年中报</c:v>
                </c:pt>
                <c:pt idx="16">
                  <c:v>17年三季报</c:v>
                </c:pt>
                <c:pt idx="17">
                  <c:v>17年年报</c:v>
                </c:pt>
                <c:pt idx="18">
                  <c:v>18年一季报</c:v>
                </c:pt>
                <c:pt idx="19">
                  <c:v>18年中报</c:v>
                </c:pt>
                <c:pt idx="20">
                  <c:v>18年三季报</c:v>
                </c:pt>
                <c:pt idx="21">
                  <c:v>18年年报</c:v>
                </c:pt>
              </c:strCache>
            </c:strRef>
          </c:cat>
          <c:val>
            <c:numRef>
              <c:f>资产!$B$4:$W$4</c:f>
              <c:numCache>
                <c:formatCode>0_);[Red]\(0\)</c:formatCode>
                <c:ptCount val="22"/>
                <c:pt idx="0">
                  <c:v>52.720529999999997</c:v>
                </c:pt>
                <c:pt idx="2">
                  <c:v>392.25</c:v>
                </c:pt>
                <c:pt idx="3">
                  <c:v>568.02</c:v>
                </c:pt>
                <c:pt idx="4">
                  <c:v>635.70000000000005</c:v>
                </c:pt>
                <c:pt idx="5">
                  <c:v>674.12</c:v>
                </c:pt>
                <c:pt idx="6">
                  <c:v>751.71</c:v>
                </c:pt>
                <c:pt idx="7">
                  <c:v>851.57999999999993</c:v>
                </c:pt>
                <c:pt idx="8">
                  <c:v>951.9799999999999</c:v>
                </c:pt>
                <c:pt idx="9">
                  <c:v>1124.82</c:v>
                </c:pt>
                <c:pt idx="10">
                  <c:v>1127.1600000000001</c:v>
                </c:pt>
                <c:pt idx="11">
                  <c:v>1292.32</c:v>
                </c:pt>
                <c:pt idx="12">
                  <c:v>1343.19</c:v>
                </c:pt>
                <c:pt idx="13">
                  <c:v>1675.1399999999996</c:v>
                </c:pt>
                <c:pt idx="14">
                  <c:v>1864.3300000000002</c:v>
                </c:pt>
                <c:pt idx="15">
                  <c:v>2118.2999999999997</c:v>
                </c:pt>
                <c:pt idx="16">
                  <c:v>2372.36</c:v>
                </c:pt>
                <c:pt idx="17">
                  <c:v>2774.23</c:v>
                </c:pt>
                <c:pt idx="18">
                  <c:v>3304.1499999999996</c:v>
                </c:pt>
                <c:pt idx="19">
                  <c:v>3567.75</c:v>
                </c:pt>
                <c:pt idx="20">
                  <c:v>3729.83</c:v>
                </c:pt>
                <c:pt idx="21">
                  <c:v>3712.18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C55-4DF8-A4AE-9BC0C695916C}"/>
            </c:ext>
          </c:extLst>
        </c:ser>
        <c:ser>
          <c:idx val="2"/>
          <c:order val="2"/>
          <c:tx>
            <c:v>类现金资产</c:v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资产!$B$2:$W$2</c:f>
              <c:strCache>
                <c:ptCount val="22"/>
                <c:pt idx="0">
                  <c:v>10年年报</c:v>
                </c:pt>
                <c:pt idx="2">
                  <c:v>14年一季报</c:v>
                </c:pt>
                <c:pt idx="3">
                  <c:v>14年中报</c:v>
                </c:pt>
                <c:pt idx="4">
                  <c:v>14年三季报</c:v>
                </c:pt>
                <c:pt idx="5">
                  <c:v>14年年报</c:v>
                </c:pt>
                <c:pt idx="6">
                  <c:v>15年一季报</c:v>
                </c:pt>
                <c:pt idx="7">
                  <c:v>15年中报</c:v>
                </c:pt>
                <c:pt idx="8">
                  <c:v>15年三季报</c:v>
                </c:pt>
                <c:pt idx="9">
                  <c:v>15年年报</c:v>
                </c:pt>
                <c:pt idx="10">
                  <c:v>16年一季报</c:v>
                </c:pt>
                <c:pt idx="11">
                  <c:v>16年中报</c:v>
                </c:pt>
                <c:pt idx="12">
                  <c:v>16年三季报</c:v>
                </c:pt>
                <c:pt idx="13">
                  <c:v>16年年报</c:v>
                </c:pt>
                <c:pt idx="14">
                  <c:v>17年一季报</c:v>
                </c:pt>
                <c:pt idx="15">
                  <c:v>17年中报</c:v>
                </c:pt>
                <c:pt idx="16">
                  <c:v>17年三季报</c:v>
                </c:pt>
                <c:pt idx="17">
                  <c:v>17年年报</c:v>
                </c:pt>
                <c:pt idx="18">
                  <c:v>18年一季报</c:v>
                </c:pt>
                <c:pt idx="19">
                  <c:v>18年中报</c:v>
                </c:pt>
                <c:pt idx="20">
                  <c:v>18年三季报</c:v>
                </c:pt>
                <c:pt idx="21">
                  <c:v>18年年报</c:v>
                </c:pt>
              </c:strCache>
            </c:strRef>
          </c:cat>
          <c:val>
            <c:numRef>
              <c:f>资产!$B$5:$W$5</c:f>
              <c:numCache>
                <c:formatCode>0_);[Red]\(0\)</c:formatCode>
                <c:ptCount val="22"/>
                <c:pt idx="0">
                  <c:v>231.70456999999999</c:v>
                </c:pt>
                <c:pt idx="2">
                  <c:v>589.38</c:v>
                </c:pt>
                <c:pt idx="3">
                  <c:v>640.20000000000005</c:v>
                </c:pt>
                <c:pt idx="4">
                  <c:v>622.76</c:v>
                </c:pt>
                <c:pt idx="5">
                  <c:v>675.16000000000008</c:v>
                </c:pt>
                <c:pt idx="6">
                  <c:v>876.83</c:v>
                </c:pt>
                <c:pt idx="7">
                  <c:v>894.81</c:v>
                </c:pt>
                <c:pt idx="8">
                  <c:v>1141.74</c:v>
                </c:pt>
                <c:pt idx="9">
                  <c:v>1391.74</c:v>
                </c:pt>
                <c:pt idx="10">
                  <c:v>1851.75</c:v>
                </c:pt>
                <c:pt idx="11">
                  <c:v>2345.04</c:v>
                </c:pt>
                <c:pt idx="12">
                  <c:v>1011.4499999999999</c:v>
                </c:pt>
                <c:pt idx="13">
                  <c:v>1283.8700000000001</c:v>
                </c:pt>
                <c:pt idx="14">
                  <c:v>1416.69</c:v>
                </c:pt>
                <c:pt idx="15">
                  <c:v>1384.66</c:v>
                </c:pt>
                <c:pt idx="16">
                  <c:v>1514.8500000000001</c:v>
                </c:pt>
                <c:pt idx="17">
                  <c:v>1493.92</c:v>
                </c:pt>
                <c:pt idx="18">
                  <c:v>1390.58</c:v>
                </c:pt>
                <c:pt idx="19">
                  <c:v>1303.1199999999999</c:v>
                </c:pt>
                <c:pt idx="20">
                  <c:v>1405.0500000000002</c:v>
                </c:pt>
                <c:pt idx="21">
                  <c:v>1633.2199999999998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C55-4DF8-A4AE-9BC0C6959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237888"/>
        <c:axId val="251239808"/>
      </c:barChart>
      <c:lineChart>
        <c:grouping val="standard"/>
        <c:varyColors val="0"/>
        <c:ser>
          <c:idx val="3"/>
          <c:order val="3"/>
          <c:tx>
            <c:v>经营类占比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strLit>
              <c:ptCount val="16"/>
              <c:pt idx="0">
                <c:v>10年年报</c:v>
              </c:pt>
              <c:pt idx="2">
                <c:v>15年一季报</c:v>
              </c:pt>
              <c:pt idx="3">
                <c:v>15年中报</c:v>
              </c:pt>
              <c:pt idx="4">
                <c:v>15年三季报</c:v>
              </c:pt>
              <c:pt idx="5">
                <c:v>15年年报</c:v>
              </c:pt>
              <c:pt idx="6">
                <c:v>16年一季报</c:v>
              </c:pt>
              <c:pt idx="7">
                <c:v>16年中报</c:v>
              </c:pt>
              <c:pt idx="8">
                <c:v>16年三季报</c:v>
              </c:pt>
              <c:pt idx="9">
                <c:v>16年年报</c:v>
              </c:pt>
              <c:pt idx="10">
                <c:v>17年一季报</c:v>
              </c:pt>
              <c:pt idx="11">
                <c:v>17年中报</c:v>
              </c:pt>
              <c:pt idx="12">
                <c:v>17年三季报</c:v>
              </c:pt>
              <c:pt idx="13">
                <c:v>17年年报</c:v>
              </c:pt>
              <c:pt idx="14">
                <c:v>18年一季报</c:v>
              </c:pt>
              <c:pt idx="15">
                <c:v>18年中报</c:v>
              </c:pt>
            </c:strLit>
          </c:cat>
          <c:val>
            <c:numRef>
              <c:f>资产!$B$6:$W$6</c:f>
              <c:numCache>
                <c:formatCode>0.0%</c:formatCode>
                <c:ptCount val="22"/>
                <c:pt idx="0">
                  <c:v>0.20618304278075331</c:v>
                </c:pt>
                <c:pt idx="2">
                  <c:v>0.22654532561162979</c:v>
                </c:pt>
                <c:pt idx="3">
                  <c:v>0.1979048415685806</c:v>
                </c:pt>
                <c:pt idx="4">
                  <c:v>0.19273599671567493</c:v>
                </c:pt>
                <c:pt idx="5">
                  <c:v>0.21171260647558515</c:v>
                </c:pt>
                <c:pt idx="6">
                  <c:v>0.19594154241137554</c:v>
                </c:pt>
                <c:pt idx="7">
                  <c:v>0.19913143968229219</c:v>
                </c:pt>
                <c:pt idx="8">
                  <c:v>0.20049488882185146</c:v>
                </c:pt>
                <c:pt idx="9">
                  <c:v>0.17978736579992052</c:v>
                </c:pt>
                <c:pt idx="10">
                  <c:v>0.17021312155811885</c:v>
                </c:pt>
                <c:pt idx="11">
                  <c:v>0.15598467603646751</c:v>
                </c:pt>
                <c:pt idx="12">
                  <c:v>0.33251313917031883</c:v>
                </c:pt>
                <c:pt idx="13">
                  <c:v>0.25258462385608454</c:v>
                </c:pt>
                <c:pt idx="14">
                  <c:v>0.24701999825583265</c:v>
                </c:pt>
                <c:pt idx="15">
                  <c:v>0.24750544023475177</c:v>
                </c:pt>
                <c:pt idx="16">
                  <c:v>0.24317099478600826</c:v>
                </c:pt>
                <c:pt idx="17">
                  <c:v>0.23050920183459778</c:v>
                </c:pt>
                <c:pt idx="18">
                  <c:v>0.23561257086661608</c:v>
                </c:pt>
                <c:pt idx="19">
                  <c:v>0.24693726731889526</c:v>
                </c:pt>
                <c:pt idx="20">
                  <c:v>0.25681187276206141</c:v>
                </c:pt>
                <c:pt idx="21">
                  <c:v>0.26119628870481992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C55-4DF8-A4AE-9BC0C695916C}"/>
            </c:ext>
          </c:extLst>
        </c:ser>
        <c:ser>
          <c:idx val="4"/>
          <c:order val="4"/>
          <c:tx>
            <c:v>投资类占比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Lit>
              <c:ptCount val="16"/>
              <c:pt idx="0">
                <c:v>10年年报</c:v>
              </c:pt>
              <c:pt idx="2">
                <c:v>15年一季报</c:v>
              </c:pt>
              <c:pt idx="3">
                <c:v>15年中报</c:v>
              </c:pt>
              <c:pt idx="4">
                <c:v>15年三季报</c:v>
              </c:pt>
              <c:pt idx="5">
                <c:v>15年年报</c:v>
              </c:pt>
              <c:pt idx="6">
                <c:v>16年一季报</c:v>
              </c:pt>
              <c:pt idx="7">
                <c:v>16年中报</c:v>
              </c:pt>
              <c:pt idx="8">
                <c:v>16年三季报</c:v>
              </c:pt>
              <c:pt idx="9">
                <c:v>16年年报</c:v>
              </c:pt>
              <c:pt idx="10">
                <c:v>17年一季报</c:v>
              </c:pt>
              <c:pt idx="11">
                <c:v>17年中报</c:v>
              </c:pt>
              <c:pt idx="12">
                <c:v>17年三季报</c:v>
              </c:pt>
              <c:pt idx="13">
                <c:v>17年年报</c:v>
              </c:pt>
              <c:pt idx="14">
                <c:v>18年一季报</c:v>
              </c:pt>
              <c:pt idx="15">
                <c:v>18年中报</c:v>
              </c:pt>
            </c:strLit>
          </c:cat>
          <c:val>
            <c:numRef>
              <c:f>资产!$B$7:$W$7</c:f>
              <c:numCache>
                <c:formatCode>0.0%</c:formatCode>
                <c:ptCount val="22"/>
                <c:pt idx="0">
                  <c:v>0.1471404974722203</c:v>
                </c:pt>
                <c:pt idx="2">
                  <c:v>0.30906512232596617</c:v>
                </c:pt>
                <c:pt idx="3">
                  <c:v>0.37708868574615123</c:v>
                </c:pt>
                <c:pt idx="4">
                  <c:v>0.40778231083057503</c:v>
                </c:pt>
                <c:pt idx="5">
                  <c:v>0.3938398981106061</c:v>
                </c:pt>
                <c:pt idx="6">
                  <c:v>0.37114150291300485</c:v>
                </c:pt>
                <c:pt idx="7">
                  <c:v>0.3905219616439361</c:v>
                </c:pt>
                <c:pt idx="8">
                  <c:v>0.36352180603871281</c:v>
                </c:pt>
                <c:pt idx="9">
                  <c:v>0.36660821724931392</c:v>
                </c:pt>
                <c:pt idx="10">
                  <c:v>0.31397476859138101</c:v>
                </c:pt>
                <c:pt idx="11">
                  <c:v>0.29987075336632951</c:v>
                </c:pt>
                <c:pt idx="12">
                  <c:v>0.38076380108968655</c:v>
                </c:pt>
                <c:pt idx="13">
                  <c:v>0.42312306926766668</c:v>
                </c:pt>
                <c:pt idx="14">
                  <c:v>0.42785572981929509</c:v>
                </c:pt>
                <c:pt idx="15">
                  <c:v>0.45504636820024352</c:v>
                </c:pt>
                <c:pt idx="16">
                  <c:v>0.46189191188782325</c:v>
                </c:pt>
                <c:pt idx="17">
                  <c:v>0.50015684945337058</c:v>
                </c:pt>
                <c:pt idx="18">
                  <c:v>0.537975714039161</c:v>
                </c:pt>
                <c:pt idx="19">
                  <c:v>0.55159336310002349</c:v>
                </c:pt>
                <c:pt idx="20">
                  <c:v>0.53983060414574069</c:v>
                </c:pt>
                <c:pt idx="21">
                  <c:v>0.51307149343280989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5C55-4DF8-A4AE-9BC0C695916C}"/>
            </c:ext>
          </c:extLst>
        </c:ser>
        <c:ser>
          <c:idx val="5"/>
          <c:order val="5"/>
          <c:tx>
            <c:v>类现金类占比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Lit>
              <c:ptCount val="16"/>
              <c:pt idx="0">
                <c:v>10年年报</c:v>
              </c:pt>
              <c:pt idx="2">
                <c:v>15年一季报</c:v>
              </c:pt>
              <c:pt idx="3">
                <c:v>15年中报</c:v>
              </c:pt>
              <c:pt idx="4">
                <c:v>15年三季报</c:v>
              </c:pt>
              <c:pt idx="5">
                <c:v>15年年报</c:v>
              </c:pt>
              <c:pt idx="6">
                <c:v>16年一季报</c:v>
              </c:pt>
              <c:pt idx="7">
                <c:v>16年中报</c:v>
              </c:pt>
              <c:pt idx="8">
                <c:v>16年三季报</c:v>
              </c:pt>
              <c:pt idx="9">
                <c:v>16年年报</c:v>
              </c:pt>
              <c:pt idx="10">
                <c:v>17年一季报</c:v>
              </c:pt>
              <c:pt idx="11">
                <c:v>17年中报</c:v>
              </c:pt>
              <c:pt idx="12">
                <c:v>17年三季报</c:v>
              </c:pt>
              <c:pt idx="13">
                <c:v>17年年报</c:v>
              </c:pt>
              <c:pt idx="14">
                <c:v>18年一季报</c:v>
              </c:pt>
              <c:pt idx="15">
                <c:v>18年中报</c:v>
              </c:pt>
            </c:strLit>
          </c:cat>
          <c:val>
            <c:numRef>
              <c:f>资产!$B$8:$W$8</c:f>
              <c:numCache>
                <c:formatCode>0.0%</c:formatCode>
                <c:ptCount val="22"/>
                <c:pt idx="0">
                  <c:v>0.64667645974702637</c:v>
                </c:pt>
                <c:pt idx="2">
                  <c:v>0.46438955206240395</c:v>
                </c:pt>
                <c:pt idx="3">
                  <c:v>0.4250064726852682</c:v>
                </c:pt>
                <c:pt idx="4">
                  <c:v>0.39948169245374998</c:v>
                </c:pt>
                <c:pt idx="5">
                  <c:v>0.39444749541380891</c:v>
                </c:pt>
                <c:pt idx="6">
                  <c:v>0.43291695467561964</c:v>
                </c:pt>
                <c:pt idx="7">
                  <c:v>0.41034659867377166</c:v>
                </c:pt>
                <c:pt idx="8">
                  <c:v>0.43598330513943567</c:v>
                </c:pt>
                <c:pt idx="9">
                  <c:v>0.45360441695076564</c:v>
                </c:pt>
                <c:pt idx="10">
                  <c:v>0.51581210985050019</c:v>
                </c:pt>
                <c:pt idx="11">
                  <c:v>0.544144570597203</c:v>
                </c:pt>
                <c:pt idx="12">
                  <c:v>0.28672305973999468</c:v>
                </c:pt>
                <c:pt idx="13">
                  <c:v>0.32429230687624877</c:v>
                </c:pt>
                <c:pt idx="14">
                  <c:v>0.32512427192487231</c:v>
                </c:pt>
                <c:pt idx="15">
                  <c:v>0.29744819156500463</c:v>
                </c:pt>
                <c:pt idx="16">
                  <c:v>0.29493709332616846</c:v>
                </c:pt>
                <c:pt idx="17">
                  <c:v>0.26933394871203159</c:v>
                </c:pt>
                <c:pt idx="18">
                  <c:v>0.22641171509422289</c:v>
                </c:pt>
                <c:pt idx="19">
                  <c:v>0.20146936958108122</c:v>
                </c:pt>
                <c:pt idx="20">
                  <c:v>0.20335752309219807</c:v>
                </c:pt>
                <c:pt idx="21">
                  <c:v>0.22573221786237027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5C55-4DF8-A4AE-9BC0C6959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255424"/>
        <c:axId val="251253888"/>
      </c:lineChart>
      <c:catAx>
        <c:axId val="25123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1239808"/>
        <c:crosses val="autoZero"/>
        <c:auto val="1"/>
        <c:lblAlgn val="ctr"/>
        <c:lblOffset val="100"/>
        <c:noMultiLvlLbl val="0"/>
      </c:catAx>
      <c:valAx>
        <c:axId val="2512398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1237888"/>
        <c:crosses val="autoZero"/>
        <c:crossBetween val="between"/>
      </c:valAx>
      <c:valAx>
        <c:axId val="25125388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1255424"/>
        <c:crosses val="max"/>
        <c:crossBetween val="between"/>
      </c:valAx>
      <c:catAx>
        <c:axId val="251255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51253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sz="1200" b="1">
                <a:latin typeface="微软雅黑" panose="020B0503020204020204" pitchFamily="34" charset="-122"/>
                <a:ea typeface="微软雅黑" panose="020B0503020204020204" pitchFamily="34" charset="-122"/>
              </a:rPr>
              <a:t>腾讯主流手游月活趋势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手游!$B$10</c:f>
              <c:strCache>
                <c:ptCount val="1"/>
                <c:pt idx="0">
                  <c:v>王者荣耀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手游!$C$9:$S$9</c:f>
              <c:numCache>
                <c:formatCode>yyyy/m</c:formatCode>
                <c:ptCount val="17"/>
                <c:pt idx="0">
                  <c:v>43011</c:v>
                </c:pt>
                <c:pt idx="1">
                  <c:v>43042</c:v>
                </c:pt>
                <c:pt idx="2">
                  <c:v>43073</c:v>
                </c:pt>
                <c:pt idx="3">
                  <c:v>43104</c:v>
                </c:pt>
                <c:pt idx="4">
                  <c:v>43135</c:v>
                </c:pt>
                <c:pt idx="5">
                  <c:v>43166</c:v>
                </c:pt>
                <c:pt idx="6">
                  <c:v>43197</c:v>
                </c:pt>
                <c:pt idx="7">
                  <c:v>43228</c:v>
                </c:pt>
                <c:pt idx="8">
                  <c:v>43259</c:v>
                </c:pt>
                <c:pt idx="9">
                  <c:v>43289</c:v>
                </c:pt>
                <c:pt idx="10">
                  <c:v>43320</c:v>
                </c:pt>
                <c:pt idx="11">
                  <c:v>43351</c:v>
                </c:pt>
                <c:pt idx="12">
                  <c:v>43381</c:v>
                </c:pt>
                <c:pt idx="13">
                  <c:v>43412</c:v>
                </c:pt>
                <c:pt idx="14">
                  <c:v>43442</c:v>
                </c:pt>
                <c:pt idx="15">
                  <c:v>43474</c:v>
                </c:pt>
                <c:pt idx="16">
                  <c:v>43506</c:v>
                </c:pt>
              </c:numCache>
            </c:numRef>
          </c:cat>
          <c:val>
            <c:numRef>
              <c:f>手游!$C$10:$S$10</c:f>
              <c:numCache>
                <c:formatCode>General</c:formatCode>
                <c:ptCount val="17"/>
                <c:pt idx="0">
                  <c:v>18835</c:v>
                </c:pt>
                <c:pt idx="1">
                  <c:v>15341</c:v>
                </c:pt>
                <c:pt idx="2">
                  <c:v>14508</c:v>
                </c:pt>
                <c:pt idx="3">
                  <c:v>14251</c:v>
                </c:pt>
                <c:pt idx="4">
                  <c:v>19285</c:v>
                </c:pt>
                <c:pt idx="5">
                  <c:v>16034</c:v>
                </c:pt>
                <c:pt idx="6">
                  <c:v>15375</c:v>
                </c:pt>
                <c:pt idx="7">
                  <c:v>14113</c:v>
                </c:pt>
                <c:pt idx="8">
                  <c:v>14360</c:v>
                </c:pt>
                <c:pt idx="9">
                  <c:v>15784</c:v>
                </c:pt>
                <c:pt idx="10">
                  <c:v>15223</c:v>
                </c:pt>
                <c:pt idx="11">
                  <c:v>12636</c:v>
                </c:pt>
                <c:pt idx="12">
                  <c:v>12841</c:v>
                </c:pt>
                <c:pt idx="13">
                  <c:v>12507</c:v>
                </c:pt>
                <c:pt idx="14">
                  <c:v>12325</c:v>
                </c:pt>
                <c:pt idx="15">
                  <c:v>14693</c:v>
                </c:pt>
                <c:pt idx="16">
                  <c:v>15111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B79-4AAE-A0C2-C64A579A873E}"/>
            </c:ext>
          </c:extLst>
        </c:ser>
        <c:ser>
          <c:idx val="1"/>
          <c:order val="1"/>
          <c:tx>
            <c:strRef>
              <c:f>手游!$B$11</c:f>
              <c:strCache>
                <c:ptCount val="1"/>
                <c:pt idx="0">
                  <c:v>欢乐斗地主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手游!$C$9:$S$9</c:f>
              <c:numCache>
                <c:formatCode>yyyy/m</c:formatCode>
                <c:ptCount val="17"/>
                <c:pt idx="0">
                  <c:v>43011</c:v>
                </c:pt>
                <c:pt idx="1">
                  <c:v>43042</c:v>
                </c:pt>
                <c:pt idx="2">
                  <c:v>43073</c:v>
                </c:pt>
                <c:pt idx="3">
                  <c:v>43104</c:v>
                </c:pt>
                <c:pt idx="4">
                  <c:v>43135</c:v>
                </c:pt>
                <c:pt idx="5">
                  <c:v>43166</c:v>
                </c:pt>
                <c:pt idx="6">
                  <c:v>43197</c:v>
                </c:pt>
                <c:pt idx="7">
                  <c:v>43228</c:v>
                </c:pt>
                <c:pt idx="8">
                  <c:v>43259</c:v>
                </c:pt>
                <c:pt idx="9">
                  <c:v>43289</c:v>
                </c:pt>
                <c:pt idx="10">
                  <c:v>43320</c:v>
                </c:pt>
                <c:pt idx="11">
                  <c:v>43351</c:v>
                </c:pt>
                <c:pt idx="12">
                  <c:v>43381</c:v>
                </c:pt>
                <c:pt idx="13">
                  <c:v>43412</c:v>
                </c:pt>
                <c:pt idx="14">
                  <c:v>43442</c:v>
                </c:pt>
                <c:pt idx="15">
                  <c:v>43474</c:v>
                </c:pt>
                <c:pt idx="16">
                  <c:v>43506</c:v>
                </c:pt>
              </c:numCache>
            </c:numRef>
          </c:cat>
          <c:val>
            <c:numRef>
              <c:f>手游!$C$11:$S$11</c:f>
              <c:numCache>
                <c:formatCode>General</c:formatCode>
                <c:ptCount val="17"/>
                <c:pt idx="0">
                  <c:v>10412</c:v>
                </c:pt>
                <c:pt idx="1">
                  <c:v>10007</c:v>
                </c:pt>
                <c:pt idx="2">
                  <c:v>9851</c:v>
                </c:pt>
                <c:pt idx="3">
                  <c:v>8879</c:v>
                </c:pt>
                <c:pt idx="4">
                  <c:v>9153</c:v>
                </c:pt>
                <c:pt idx="5">
                  <c:v>8496</c:v>
                </c:pt>
                <c:pt idx="6">
                  <c:v>8229</c:v>
                </c:pt>
                <c:pt idx="7">
                  <c:v>7948</c:v>
                </c:pt>
                <c:pt idx="8">
                  <c:v>8647</c:v>
                </c:pt>
                <c:pt idx="9">
                  <c:v>8206</c:v>
                </c:pt>
                <c:pt idx="10">
                  <c:v>8325</c:v>
                </c:pt>
                <c:pt idx="11">
                  <c:v>7776</c:v>
                </c:pt>
                <c:pt idx="12">
                  <c:v>7659</c:v>
                </c:pt>
                <c:pt idx="13">
                  <c:v>7341</c:v>
                </c:pt>
                <c:pt idx="14">
                  <c:v>7374</c:v>
                </c:pt>
                <c:pt idx="15">
                  <c:v>7626</c:v>
                </c:pt>
                <c:pt idx="16">
                  <c:v>7326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B79-4AAE-A0C2-C64A579A873E}"/>
            </c:ext>
          </c:extLst>
        </c:ser>
        <c:ser>
          <c:idx val="2"/>
          <c:order val="2"/>
          <c:tx>
            <c:strRef>
              <c:f>手游!$B$12</c:f>
              <c:strCache>
                <c:ptCount val="1"/>
                <c:pt idx="0">
                  <c:v>欢乐麻将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手游!$C$9:$S$9</c:f>
              <c:numCache>
                <c:formatCode>yyyy/m</c:formatCode>
                <c:ptCount val="17"/>
                <c:pt idx="0">
                  <c:v>43011</c:v>
                </c:pt>
                <c:pt idx="1">
                  <c:v>43042</c:v>
                </c:pt>
                <c:pt idx="2">
                  <c:v>43073</c:v>
                </c:pt>
                <c:pt idx="3">
                  <c:v>43104</c:v>
                </c:pt>
                <c:pt idx="4">
                  <c:v>43135</c:v>
                </c:pt>
                <c:pt idx="5">
                  <c:v>43166</c:v>
                </c:pt>
                <c:pt idx="6">
                  <c:v>43197</c:v>
                </c:pt>
                <c:pt idx="7">
                  <c:v>43228</c:v>
                </c:pt>
                <c:pt idx="8">
                  <c:v>43259</c:v>
                </c:pt>
                <c:pt idx="9">
                  <c:v>43289</c:v>
                </c:pt>
                <c:pt idx="10">
                  <c:v>43320</c:v>
                </c:pt>
                <c:pt idx="11">
                  <c:v>43351</c:v>
                </c:pt>
                <c:pt idx="12">
                  <c:v>43381</c:v>
                </c:pt>
                <c:pt idx="13">
                  <c:v>43412</c:v>
                </c:pt>
                <c:pt idx="14">
                  <c:v>43442</c:v>
                </c:pt>
                <c:pt idx="15">
                  <c:v>43474</c:v>
                </c:pt>
                <c:pt idx="16">
                  <c:v>43506</c:v>
                </c:pt>
              </c:numCache>
            </c:numRef>
          </c:cat>
          <c:val>
            <c:numRef>
              <c:f>手游!$C$12:$S$12</c:f>
              <c:numCache>
                <c:formatCode>General</c:formatCode>
                <c:ptCount val="17"/>
                <c:pt idx="0">
                  <c:v>2802</c:v>
                </c:pt>
                <c:pt idx="1">
                  <c:v>2684</c:v>
                </c:pt>
                <c:pt idx="2">
                  <c:v>2673</c:v>
                </c:pt>
                <c:pt idx="3">
                  <c:v>2612</c:v>
                </c:pt>
                <c:pt idx="4">
                  <c:v>2803</c:v>
                </c:pt>
                <c:pt idx="5">
                  <c:v>2761</c:v>
                </c:pt>
                <c:pt idx="6">
                  <c:v>2662</c:v>
                </c:pt>
                <c:pt idx="7">
                  <c:v>2527</c:v>
                </c:pt>
                <c:pt idx="8">
                  <c:v>2694</c:v>
                </c:pt>
                <c:pt idx="9">
                  <c:v>2498</c:v>
                </c:pt>
                <c:pt idx="10">
                  <c:v>2496</c:v>
                </c:pt>
                <c:pt idx="11">
                  <c:v>2278</c:v>
                </c:pt>
                <c:pt idx="12">
                  <c:v>2232</c:v>
                </c:pt>
                <c:pt idx="13">
                  <c:v>2112</c:v>
                </c:pt>
                <c:pt idx="14">
                  <c:v>2122</c:v>
                </c:pt>
                <c:pt idx="15">
                  <c:v>2185</c:v>
                </c:pt>
                <c:pt idx="16">
                  <c:v>2110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B79-4AAE-A0C2-C64A579A873E}"/>
            </c:ext>
          </c:extLst>
        </c:ser>
        <c:ser>
          <c:idx val="3"/>
          <c:order val="3"/>
          <c:tx>
            <c:strRef>
              <c:f>手游!$B$13</c:f>
              <c:strCache>
                <c:ptCount val="1"/>
                <c:pt idx="0">
                  <c:v>QQ飞车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手游!$C$9:$S$9</c:f>
              <c:numCache>
                <c:formatCode>yyyy/m</c:formatCode>
                <c:ptCount val="17"/>
                <c:pt idx="0">
                  <c:v>43011</c:v>
                </c:pt>
                <c:pt idx="1">
                  <c:v>43042</c:v>
                </c:pt>
                <c:pt idx="2">
                  <c:v>43073</c:v>
                </c:pt>
                <c:pt idx="3">
                  <c:v>43104</c:v>
                </c:pt>
                <c:pt idx="4">
                  <c:v>43135</c:v>
                </c:pt>
                <c:pt idx="5">
                  <c:v>43166</c:v>
                </c:pt>
                <c:pt idx="6">
                  <c:v>43197</c:v>
                </c:pt>
                <c:pt idx="7">
                  <c:v>43228</c:v>
                </c:pt>
                <c:pt idx="8">
                  <c:v>43259</c:v>
                </c:pt>
                <c:pt idx="9">
                  <c:v>43289</c:v>
                </c:pt>
                <c:pt idx="10">
                  <c:v>43320</c:v>
                </c:pt>
                <c:pt idx="11">
                  <c:v>43351</c:v>
                </c:pt>
                <c:pt idx="12">
                  <c:v>43381</c:v>
                </c:pt>
                <c:pt idx="13">
                  <c:v>43412</c:v>
                </c:pt>
                <c:pt idx="14">
                  <c:v>43442</c:v>
                </c:pt>
                <c:pt idx="15">
                  <c:v>43474</c:v>
                </c:pt>
                <c:pt idx="16">
                  <c:v>43506</c:v>
                </c:pt>
              </c:numCache>
            </c:numRef>
          </c:cat>
          <c:val>
            <c:numRef>
              <c:f>手游!$C$13:$S$13</c:f>
              <c:numCache>
                <c:formatCode>General</c:formatCode>
                <c:ptCount val="17"/>
                <c:pt idx="2">
                  <c:v>1157</c:v>
                </c:pt>
                <c:pt idx="3">
                  <c:v>4751</c:v>
                </c:pt>
                <c:pt idx="4">
                  <c:v>4903</c:v>
                </c:pt>
                <c:pt idx="5">
                  <c:v>2613</c:v>
                </c:pt>
                <c:pt idx="6">
                  <c:v>1852</c:v>
                </c:pt>
                <c:pt idx="7">
                  <c:v>1499</c:v>
                </c:pt>
                <c:pt idx="8">
                  <c:v>1713</c:v>
                </c:pt>
                <c:pt idx="9">
                  <c:v>1789</c:v>
                </c:pt>
                <c:pt idx="10">
                  <c:v>1808</c:v>
                </c:pt>
                <c:pt idx="11">
                  <c:v>1240</c:v>
                </c:pt>
                <c:pt idx="12">
                  <c:v>1221</c:v>
                </c:pt>
                <c:pt idx="13">
                  <c:v>1103</c:v>
                </c:pt>
                <c:pt idx="14">
                  <c:v>1158</c:v>
                </c:pt>
                <c:pt idx="15">
                  <c:v>1574</c:v>
                </c:pt>
                <c:pt idx="16">
                  <c:v>1686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B79-4AAE-A0C2-C64A579A873E}"/>
            </c:ext>
          </c:extLst>
        </c:ser>
        <c:ser>
          <c:idx val="4"/>
          <c:order val="4"/>
          <c:tx>
            <c:strRef>
              <c:f>手游!$B$15</c:f>
              <c:strCache>
                <c:ptCount val="1"/>
                <c:pt idx="0">
                  <c:v>绝地求生：刺激战场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手游!$C$9:$S$9</c:f>
              <c:numCache>
                <c:formatCode>yyyy/m</c:formatCode>
                <c:ptCount val="17"/>
                <c:pt idx="0">
                  <c:v>43011</c:v>
                </c:pt>
                <c:pt idx="1">
                  <c:v>43042</c:v>
                </c:pt>
                <c:pt idx="2">
                  <c:v>43073</c:v>
                </c:pt>
                <c:pt idx="3">
                  <c:v>43104</c:v>
                </c:pt>
                <c:pt idx="4">
                  <c:v>43135</c:v>
                </c:pt>
                <c:pt idx="5">
                  <c:v>43166</c:v>
                </c:pt>
                <c:pt idx="6">
                  <c:v>43197</c:v>
                </c:pt>
                <c:pt idx="7">
                  <c:v>43228</c:v>
                </c:pt>
                <c:pt idx="8">
                  <c:v>43259</c:v>
                </c:pt>
                <c:pt idx="9">
                  <c:v>43289</c:v>
                </c:pt>
                <c:pt idx="10">
                  <c:v>43320</c:v>
                </c:pt>
                <c:pt idx="11">
                  <c:v>43351</c:v>
                </c:pt>
                <c:pt idx="12">
                  <c:v>43381</c:v>
                </c:pt>
                <c:pt idx="13">
                  <c:v>43412</c:v>
                </c:pt>
                <c:pt idx="14">
                  <c:v>43442</c:v>
                </c:pt>
                <c:pt idx="15">
                  <c:v>43474</c:v>
                </c:pt>
                <c:pt idx="16">
                  <c:v>43506</c:v>
                </c:pt>
              </c:numCache>
            </c:numRef>
          </c:cat>
          <c:val>
            <c:numRef>
              <c:f>手游!$C$15:$S$15</c:f>
              <c:numCache>
                <c:formatCode>General</c:formatCode>
                <c:ptCount val="17"/>
                <c:pt idx="5">
                  <c:v>7763</c:v>
                </c:pt>
                <c:pt idx="6">
                  <c:v>10760</c:v>
                </c:pt>
                <c:pt idx="7">
                  <c:v>10936</c:v>
                </c:pt>
                <c:pt idx="8">
                  <c:v>13897</c:v>
                </c:pt>
                <c:pt idx="9">
                  <c:v>17727</c:v>
                </c:pt>
                <c:pt idx="10">
                  <c:v>18318</c:v>
                </c:pt>
                <c:pt idx="11">
                  <c:v>14231</c:v>
                </c:pt>
                <c:pt idx="12">
                  <c:v>14383</c:v>
                </c:pt>
                <c:pt idx="13">
                  <c:v>12814</c:v>
                </c:pt>
                <c:pt idx="14">
                  <c:v>12954</c:v>
                </c:pt>
                <c:pt idx="15">
                  <c:v>14462</c:v>
                </c:pt>
                <c:pt idx="16">
                  <c:v>18565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B79-4AAE-A0C2-C64A579A8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181696"/>
        <c:axId val="251187584"/>
      </c:lineChart>
      <c:dateAx>
        <c:axId val="251181696"/>
        <c:scaling>
          <c:orientation val="minMax"/>
        </c:scaling>
        <c:delete val="0"/>
        <c:axPos val="b"/>
        <c:numFmt formatCode="yyyy/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1187584"/>
        <c:crosses val="autoZero"/>
        <c:auto val="1"/>
        <c:lblOffset val="100"/>
        <c:baseTimeUnit val="months"/>
      </c:dateAx>
      <c:valAx>
        <c:axId val="251187584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1181696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五大系占用时长比变化趋势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广告相关!$B$63</c:f>
              <c:strCache>
                <c:ptCount val="1"/>
                <c:pt idx="0">
                  <c:v>腾讯系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广告相关!$C$63:$P$63</c:f>
              <c:numCache>
                <c:formatCode>0.0%</c:formatCode>
                <c:ptCount val="14"/>
                <c:pt idx="0">
                  <c:v>0.63028596687389593</c:v>
                </c:pt>
                <c:pt idx="1">
                  <c:v>0.62931356323091925</c:v>
                </c:pt>
                <c:pt idx="2">
                  <c:v>0.61565217456070553</c:v>
                </c:pt>
                <c:pt idx="3">
                  <c:v>0.6024628517952112</c:v>
                </c:pt>
                <c:pt idx="4">
                  <c:v>0.61746201072951368</c:v>
                </c:pt>
                <c:pt idx="5">
                  <c:v>0.61593821566941276</c:v>
                </c:pt>
                <c:pt idx="6">
                  <c:v>0.59959613665574329</c:v>
                </c:pt>
                <c:pt idx="7">
                  <c:v>0.59711736645573599</c:v>
                </c:pt>
                <c:pt idx="8">
                  <c:v>0.59477221359664478</c:v>
                </c:pt>
                <c:pt idx="9">
                  <c:v>0.59890462002066658</c:v>
                </c:pt>
                <c:pt idx="10">
                  <c:v>0.59602919657583497</c:v>
                </c:pt>
                <c:pt idx="11">
                  <c:v>0.59151435916798911</c:v>
                </c:pt>
                <c:pt idx="12">
                  <c:v>0.59728759887388128</c:v>
                </c:pt>
                <c:pt idx="13">
                  <c:v>0.59898466519131366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45E-4F65-9E57-D54B4C7A440E}"/>
            </c:ext>
          </c:extLst>
        </c:ser>
        <c:ser>
          <c:idx val="1"/>
          <c:order val="1"/>
          <c:tx>
            <c:strRef>
              <c:f>广告相关!$B$64</c:f>
              <c:strCache>
                <c:ptCount val="1"/>
                <c:pt idx="0">
                  <c:v>阿里系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广告相关!$C$64:$P$64</c:f>
              <c:numCache>
                <c:formatCode>0.0%</c:formatCode>
                <c:ptCount val="14"/>
                <c:pt idx="0">
                  <c:v>0.13837158455253823</c:v>
                </c:pt>
                <c:pt idx="1">
                  <c:v>0.13613075190660306</c:v>
                </c:pt>
                <c:pt idx="2">
                  <c:v>0.13531957157702831</c:v>
                </c:pt>
                <c:pt idx="3">
                  <c:v>0.14374386569582981</c:v>
                </c:pt>
                <c:pt idx="4">
                  <c:v>0.14355061614758019</c:v>
                </c:pt>
                <c:pt idx="5">
                  <c:v>0.14129736826182063</c:v>
                </c:pt>
                <c:pt idx="6">
                  <c:v>0.1494614083585748</c:v>
                </c:pt>
                <c:pt idx="7">
                  <c:v>0.15105633166464857</c:v>
                </c:pt>
                <c:pt idx="8">
                  <c:v>0.14544950420649683</c:v>
                </c:pt>
                <c:pt idx="9">
                  <c:v>0.13961249837249015</c:v>
                </c:pt>
                <c:pt idx="10">
                  <c:v>0.14505553436458773</c:v>
                </c:pt>
                <c:pt idx="11">
                  <c:v>0.14394840164651507</c:v>
                </c:pt>
                <c:pt idx="12">
                  <c:v>0.14595870368272731</c:v>
                </c:pt>
                <c:pt idx="13">
                  <c:v>0.14571790520726624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45E-4F65-9E57-D54B4C7A440E}"/>
            </c:ext>
          </c:extLst>
        </c:ser>
        <c:ser>
          <c:idx val="2"/>
          <c:order val="2"/>
          <c:tx>
            <c:strRef>
              <c:f>广告相关!$B$65</c:f>
              <c:strCache>
                <c:ptCount val="1"/>
                <c:pt idx="0">
                  <c:v>头条系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广告相关!$C$65:$P$65</c:f>
              <c:numCache>
                <c:formatCode>0.0%</c:formatCode>
                <c:ptCount val="14"/>
                <c:pt idx="0">
                  <c:v>4.0455764647459876E-2</c:v>
                </c:pt>
                <c:pt idx="1">
                  <c:v>4.2219251544307203E-2</c:v>
                </c:pt>
                <c:pt idx="2">
                  <c:v>4.6497272966120204E-2</c:v>
                </c:pt>
                <c:pt idx="3">
                  <c:v>5.2739145134783505E-2</c:v>
                </c:pt>
                <c:pt idx="4">
                  <c:v>5.7562921543239255E-2</c:v>
                </c:pt>
                <c:pt idx="5">
                  <c:v>6.1152478725881539E-2</c:v>
                </c:pt>
                <c:pt idx="6">
                  <c:v>6.4917817116786874E-2</c:v>
                </c:pt>
                <c:pt idx="7">
                  <c:v>6.8909193084639928E-2</c:v>
                </c:pt>
                <c:pt idx="8">
                  <c:v>7.8841572950367741E-2</c:v>
                </c:pt>
                <c:pt idx="9">
                  <c:v>8.4223540452933163E-2</c:v>
                </c:pt>
                <c:pt idx="10">
                  <c:v>8.9082749326503785E-2</c:v>
                </c:pt>
                <c:pt idx="11">
                  <c:v>9.2245928447409531E-2</c:v>
                </c:pt>
                <c:pt idx="12">
                  <c:v>9.1774406678808276E-2</c:v>
                </c:pt>
                <c:pt idx="13">
                  <c:v>9.0951915482604645E-2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45E-4F65-9E57-D54B4C7A440E}"/>
            </c:ext>
          </c:extLst>
        </c:ser>
        <c:ser>
          <c:idx val="3"/>
          <c:order val="3"/>
          <c:tx>
            <c:strRef>
              <c:f>广告相关!$B$66</c:f>
              <c:strCache>
                <c:ptCount val="1"/>
                <c:pt idx="0">
                  <c:v>百度系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广告相关!$C$66:$P$66</c:f>
              <c:numCache>
                <c:formatCode>0.0%</c:formatCode>
                <c:ptCount val="14"/>
                <c:pt idx="0">
                  <c:v>0.15405334558468856</c:v>
                </c:pt>
                <c:pt idx="1">
                  <c:v>0.15563605248486423</c:v>
                </c:pt>
                <c:pt idx="2">
                  <c:v>0.16667613197834757</c:v>
                </c:pt>
                <c:pt idx="3">
                  <c:v>0.16301414028440345</c:v>
                </c:pt>
                <c:pt idx="4">
                  <c:v>0.14221277766944271</c:v>
                </c:pt>
                <c:pt idx="5">
                  <c:v>0.1434206545515887</c:v>
                </c:pt>
                <c:pt idx="6">
                  <c:v>0.14804476305183251</c:v>
                </c:pt>
                <c:pt idx="7">
                  <c:v>0.14358967739048342</c:v>
                </c:pt>
                <c:pt idx="8">
                  <c:v>0.14337099398296907</c:v>
                </c:pt>
                <c:pt idx="9">
                  <c:v>0.14059295546004152</c:v>
                </c:pt>
                <c:pt idx="10">
                  <c:v>0.13337783436578388</c:v>
                </c:pt>
                <c:pt idx="11">
                  <c:v>0.1336402188798341</c:v>
                </c:pt>
                <c:pt idx="12">
                  <c:v>0.12631130055992762</c:v>
                </c:pt>
                <c:pt idx="13">
                  <c:v>0.12500520022834086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45E-4F65-9E57-D54B4C7A440E}"/>
            </c:ext>
          </c:extLst>
        </c:ser>
        <c:ser>
          <c:idx val="4"/>
          <c:order val="4"/>
          <c:tx>
            <c:strRef>
              <c:f>广告相关!$B$67</c:f>
              <c:strCache>
                <c:ptCount val="1"/>
                <c:pt idx="0">
                  <c:v>新浪系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广告相关!$C$67:$P$67</c:f>
              <c:numCache>
                <c:formatCode>0.0%</c:formatCode>
                <c:ptCount val="14"/>
                <c:pt idx="0">
                  <c:v>3.6833338341417436E-2</c:v>
                </c:pt>
                <c:pt idx="1">
                  <c:v>3.6700380833306318E-2</c:v>
                </c:pt>
                <c:pt idx="2">
                  <c:v>3.5854848917798332E-2</c:v>
                </c:pt>
                <c:pt idx="3">
                  <c:v>3.8039997089771974E-2</c:v>
                </c:pt>
                <c:pt idx="4">
                  <c:v>3.9211673910224183E-2</c:v>
                </c:pt>
                <c:pt idx="5">
                  <c:v>3.8191282791296362E-2</c:v>
                </c:pt>
                <c:pt idx="6">
                  <c:v>3.7979874817062581E-2</c:v>
                </c:pt>
                <c:pt idx="7">
                  <c:v>3.9327431404492109E-2</c:v>
                </c:pt>
                <c:pt idx="8">
                  <c:v>3.7565715263521579E-2</c:v>
                </c:pt>
                <c:pt idx="9">
                  <c:v>3.6666385693868597E-2</c:v>
                </c:pt>
                <c:pt idx="10">
                  <c:v>3.6454685367289678E-2</c:v>
                </c:pt>
                <c:pt idx="11">
                  <c:v>3.8651091858252183E-2</c:v>
                </c:pt>
                <c:pt idx="12">
                  <c:v>3.8667990204655514E-2</c:v>
                </c:pt>
                <c:pt idx="13">
                  <c:v>3.9340313890474592E-2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45E-4F65-9E57-D54B4C7A4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455808"/>
        <c:axId val="260465792"/>
      </c:lineChart>
      <c:catAx>
        <c:axId val="260455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0465792"/>
        <c:crosses val="autoZero"/>
        <c:auto val="1"/>
        <c:lblAlgn val="ctr"/>
        <c:lblOffset val="100"/>
        <c:noMultiLvlLbl val="0"/>
      </c:catAx>
      <c:valAx>
        <c:axId val="26046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045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4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673394</xdr:colOff>
      <xdr:row>13</xdr:row>
      <xdr:rowOff>28592</xdr:rowOff>
    </xdr:from>
    <xdr:to>
      <xdr:col>259</xdr:col>
      <xdr:colOff>345557</xdr:colOff>
      <xdr:row>16</xdr:row>
      <xdr:rowOff>30538</xdr:rowOff>
    </xdr:to>
    <xdr:sp macro="" textlink="">
      <xdr:nvSpPr>
        <xdr:cNvPr id="3" name="TextBox 11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6798191" y="2299086"/>
          <a:ext cx="5796959" cy="6443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/>
          <a:r>
            <a:rPr lang="zh-CN" altLang="en-US" sz="3000" b="1">
              <a:solidFill>
                <a:schemeClr val="bg1"/>
              </a:solidFill>
              <a:latin typeface="华文中宋" panose="02010600040101010101" pitchFamily="2" charset="-122"/>
              <a:ea typeface="华文中宋" panose="02010600040101010101" pitchFamily="2" charset="-122"/>
              <a:cs typeface="+mn-cs"/>
            </a:rPr>
            <a:t>腾讯控股财务预测与估值模型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68983</xdr:rowOff>
    </xdr:from>
    <xdr:ext cx="2405659" cy="356316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SpPr txBox="1"/>
      </xdr:nvSpPr>
      <xdr:spPr>
        <a:xfrm>
          <a:off x="0" y="68983"/>
          <a:ext cx="2405659" cy="356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【</a:t>
          </a:r>
          <a:r>
            <a:rPr lang="zh-CN" altLang="en-US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见智研究</a:t>
          </a:r>
          <a:r>
            <a:rPr lang="en-US" altLang="zh-CN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】</a:t>
          </a:r>
          <a:r>
            <a:rPr lang="zh-CN" altLang="en-US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腾讯控股</a:t>
          </a:r>
          <a:r>
            <a:rPr lang="en-US" altLang="zh-CN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-</a:t>
          </a:r>
          <a:r>
            <a:rPr lang="zh-CN" altLang="en-US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使用说明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29763</xdr:colOff>
      <xdr:row>38</xdr:row>
      <xdr:rowOff>3572</xdr:rowOff>
    </xdr:from>
    <xdr:to>
      <xdr:col>58</xdr:col>
      <xdr:colOff>142874</xdr:colOff>
      <xdr:row>57</xdr:row>
      <xdr:rowOff>95249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DC6EB10A-AF0C-4FA3-B660-AD1E0EB43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49</xdr:col>
      <xdr:colOff>23811</xdr:colOff>
      <xdr:row>57</xdr:row>
      <xdr:rowOff>170259</xdr:rowOff>
    </xdr:from>
    <xdr:to>
      <xdr:col>58</xdr:col>
      <xdr:colOff>154780</xdr:colOff>
      <xdr:row>74</xdr:row>
      <xdr:rowOff>130969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E39DDE65-6591-4FA4-85AE-D02A0807F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49</xdr:col>
      <xdr:colOff>11906</xdr:colOff>
      <xdr:row>73</xdr:row>
      <xdr:rowOff>107157</xdr:rowOff>
    </xdr:from>
    <xdr:to>
      <xdr:col>58</xdr:col>
      <xdr:colOff>142875</xdr:colOff>
      <xdr:row>90</xdr:row>
      <xdr:rowOff>67867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68DC1236-9CB2-4192-8ADD-9EC64F01B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48</xdr:col>
      <xdr:colOff>654844</xdr:colOff>
      <xdr:row>129</xdr:row>
      <xdr:rowOff>107157</xdr:rowOff>
    </xdr:from>
    <xdr:to>
      <xdr:col>58</xdr:col>
      <xdr:colOff>77392</xdr:colOff>
      <xdr:row>148</xdr:row>
      <xdr:rowOff>198834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xmlns="" id="{AC48C185-7426-4E9F-8773-8F0B3A2B9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416719</xdr:colOff>
      <xdr:row>106</xdr:row>
      <xdr:rowOff>202408</xdr:rowOff>
    </xdr:from>
    <xdr:to>
      <xdr:col>57</xdr:col>
      <xdr:colOff>363142</xdr:colOff>
      <xdr:row>129</xdr:row>
      <xdr:rowOff>79773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xmlns="" id="{69A8249A-92E3-4F6C-B762-7B106B9BC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49</xdr:col>
      <xdr:colOff>83343</xdr:colOff>
      <xdr:row>169</xdr:row>
      <xdr:rowOff>59531</xdr:rowOff>
    </xdr:from>
    <xdr:to>
      <xdr:col>58</xdr:col>
      <xdr:colOff>196454</xdr:colOff>
      <xdr:row>188</xdr:row>
      <xdr:rowOff>151208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xmlns="" id="{9BB7CF08-8A65-4D49-AE9F-D256DC891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58</xdr:col>
      <xdr:colOff>345281</xdr:colOff>
      <xdr:row>74</xdr:row>
      <xdr:rowOff>11907</xdr:rowOff>
    </xdr:from>
    <xdr:to>
      <xdr:col>69</xdr:col>
      <xdr:colOff>23812</xdr:colOff>
      <xdr:row>90</xdr:row>
      <xdr:rowOff>186929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xmlns="" id="{2E03AD54-00FF-4351-9FD7-FACB3A0C2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49</xdr:col>
      <xdr:colOff>95250</xdr:colOff>
      <xdr:row>149</xdr:row>
      <xdr:rowOff>107156</xdr:rowOff>
    </xdr:from>
    <xdr:to>
      <xdr:col>58</xdr:col>
      <xdr:colOff>208361</xdr:colOff>
      <xdr:row>168</xdr:row>
      <xdr:rowOff>198833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xmlns="" id="{5FDF0C83-3D3E-4B90-9DBD-E067F4FCB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48</xdr:col>
      <xdr:colOff>607219</xdr:colOff>
      <xdr:row>91</xdr:row>
      <xdr:rowOff>107155</xdr:rowOff>
    </xdr:from>
    <xdr:to>
      <xdr:col>58</xdr:col>
      <xdr:colOff>47625</xdr:colOff>
      <xdr:row>108</xdr:row>
      <xdr:rowOff>67865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xmlns="" id="{78629756-E191-4FF0-A05A-F8B1CCA4C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244928</xdr:colOff>
      <xdr:row>3</xdr:row>
      <xdr:rowOff>91175</xdr:rowOff>
    </xdr:from>
    <xdr:to>
      <xdr:col>47</xdr:col>
      <xdr:colOff>333375</xdr:colOff>
      <xdr:row>23</xdr:row>
      <xdr:rowOff>17687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880CCACB-3D4D-44D9-828E-470AFE32C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49</xdr:col>
      <xdr:colOff>588508</xdr:colOff>
      <xdr:row>35</xdr:row>
      <xdr:rowOff>175190</xdr:rowOff>
    </xdr:from>
    <xdr:to>
      <xdr:col>60</xdr:col>
      <xdr:colOff>509932</xdr:colOff>
      <xdr:row>56</xdr:row>
      <xdr:rowOff>114074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28641316-F279-4571-9D52-36FFB77AA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49</xdr:col>
      <xdr:colOff>599847</xdr:colOff>
      <xdr:row>58</xdr:row>
      <xdr:rowOff>13418</xdr:rowOff>
    </xdr:from>
    <xdr:to>
      <xdr:col>60</xdr:col>
      <xdr:colOff>518436</xdr:colOff>
      <xdr:row>80</xdr:row>
      <xdr:rowOff>200062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60C71618-69B0-4032-A1D3-FFD1123D9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</xdr:col>
      <xdr:colOff>577203</xdr:colOff>
      <xdr:row>82</xdr:row>
      <xdr:rowOff>1780</xdr:rowOff>
    </xdr:from>
    <xdr:to>
      <xdr:col>60</xdr:col>
      <xdr:colOff>495792</xdr:colOff>
      <xdr:row>106</xdr:row>
      <xdr:rowOff>188424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xmlns="" id="{6172C820-56FB-4C72-BE0D-D61A10507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103765</xdr:colOff>
      <xdr:row>170</xdr:row>
      <xdr:rowOff>30786</xdr:rowOff>
    </xdr:from>
    <xdr:to>
      <xdr:col>15</xdr:col>
      <xdr:colOff>250032</xdr:colOff>
      <xdr:row>188</xdr:row>
      <xdr:rowOff>6804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xmlns="" id="{ED90B062-2BCB-45DA-848D-AA6B5688E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115663</xdr:colOff>
      <xdr:row>188</xdr:row>
      <xdr:rowOff>42520</xdr:rowOff>
    </xdr:from>
    <xdr:to>
      <xdr:col>15</xdr:col>
      <xdr:colOff>142874</xdr:colOff>
      <xdr:row>206</xdr:row>
      <xdr:rowOff>147805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xmlns="" id="{C4D340F7-F1F6-4173-909A-0C7E49E89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98651</xdr:colOff>
      <xdr:row>150</xdr:row>
      <xdr:rowOff>22112</xdr:rowOff>
    </xdr:from>
    <xdr:to>
      <xdr:col>15</xdr:col>
      <xdr:colOff>214312</xdr:colOff>
      <xdr:row>169</xdr:row>
      <xdr:rowOff>142875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xmlns="" id="{31EB3E53-2BFD-4F73-8ADC-8BB1879E5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100354</xdr:colOff>
      <xdr:row>123</xdr:row>
      <xdr:rowOff>103754</xdr:rowOff>
    </xdr:from>
    <xdr:to>
      <xdr:col>15</xdr:col>
      <xdr:colOff>226218</xdr:colOff>
      <xdr:row>149</xdr:row>
      <xdr:rowOff>154780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xmlns="" id="{C92596F1-791A-4CCE-AC82-3FF19445A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257856</xdr:colOff>
      <xdr:row>23</xdr:row>
      <xdr:rowOff>35718</xdr:rowOff>
    </xdr:from>
    <xdr:to>
      <xdr:col>47</xdr:col>
      <xdr:colOff>321469</xdr:colOff>
      <xdr:row>39</xdr:row>
      <xdr:rowOff>154780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xmlns="" id="{5288ABE1-3919-45B3-AF1F-7444501DF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278608</xdr:colOff>
      <xdr:row>39</xdr:row>
      <xdr:rowOff>207507</xdr:rowOff>
    </xdr:from>
    <xdr:to>
      <xdr:col>47</xdr:col>
      <xdr:colOff>321468</xdr:colOff>
      <xdr:row>57</xdr:row>
      <xdr:rowOff>23811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xmlns="" id="{2E11B1E8-913A-4341-A38A-EF7851299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658251</xdr:colOff>
      <xdr:row>3</xdr:row>
      <xdr:rowOff>47629</xdr:rowOff>
    </xdr:from>
    <xdr:to>
      <xdr:col>26</xdr:col>
      <xdr:colOff>562136</xdr:colOff>
      <xdr:row>22</xdr:row>
      <xdr:rowOff>113960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54789F87-99E3-4BA9-8595-3FE059300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647189</xdr:colOff>
      <xdr:row>22</xdr:row>
      <xdr:rowOff>172808</xdr:rowOff>
    </xdr:from>
    <xdr:to>
      <xdr:col>26</xdr:col>
      <xdr:colOff>572772</xdr:colOff>
      <xdr:row>42</xdr:row>
      <xdr:rowOff>86744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47CA2C2C-F209-4A2C-9BB7-C9C72871F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653152</xdr:colOff>
      <xdr:row>42</xdr:row>
      <xdr:rowOff>184716</xdr:rowOff>
    </xdr:from>
    <xdr:to>
      <xdr:col>26</xdr:col>
      <xdr:colOff>580581</xdr:colOff>
      <xdr:row>79</xdr:row>
      <xdr:rowOff>168388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D65E68E4-8E21-4D67-89C8-3D671363C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653150</xdr:colOff>
      <xdr:row>80</xdr:row>
      <xdr:rowOff>75860</xdr:rowOff>
    </xdr:from>
    <xdr:to>
      <xdr:col>26</xdr:col>
      <xdr:colOff>598714</xdr:colOff>
      <xdr:row>117</xdr:row>
      <xdr:rowOff>35717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xmlns="" id="{0E9BF705-8B45-42F4-9C0A-F00CF6CB0F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779463</xdr:colOff>
      <xdr:row>1</xdr:row>
      <xdr:rowOff>103981</xdr:rowOff>
    </xdr:from>
    <xdr:to>
      <xdr:col>30</xdr:col>
      <xdr:colOff>626533</xdr:colOff>
      <xdr:row>18</xdr:row>
      <xdr:rowOff>186266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7FB40821-E473-4E52-B2AA-A4ED5CA77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139964</xdr:colOff>
      <xdr:row>1</xdr:row>
      <xdr:rowOff>0</xdr:rowOff>
    </xdr:from>
    <xdr:to>
      <xdr:col>30</xdr:col>
      <xdr:colOff>488156</xdr:colOff>
      <xdr:row>19</xdr:row>
      <xdr:rowOff>96044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920C4B4-6C22-4041-9021-05ED3F127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107164</xdr:colOff>
      <xdr:row>46</xdr:row>
      <xdr:rowOff>116680</xdr:rowOff>
    </xdr:from>
    <xdr:to>
      <xdr:col>29</xdr:col>
      <xdr:colOff>154781</xdr:colOff>
      <xdr:row>65</xdr:row>
      <xdr:rowOff>202406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3587D826-9711-495C-A4F6-8351334B0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51940</xdr:rowOff>
    </xdr:from>
    <xdr:ext cx="1790105" cy="35631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SpPr txBox="1"/>
      </xdr:nvSpPr>
      <xdr:spPr>
        <a:xfrm>
          <a:off x="0" y="51940"/>
          <a:ext cx="1790105" cy="356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腾讯控股</a:t>
          </a:r>
          <a:r>
            <a:rPr lang="en-US" altLang="zh-CN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-</a:t>
          </a:r>
          <a:r>
            <a:rPr lang="zh-CN" altLang="en-US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资产负债假设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62024</xdr:rowOff>
    </xdr:from>
    <xdr:ext cx="1790105" cy="35631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SpPr txBox="1"/>
      </xdr:nvSpPr>
      <xdr:spPr>
        <a:xfrm>
          <a:off x="0" y="62024"/>
          <a:ext cx="1790105" cy="356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腾讯控股</a:t>
          </a:r>
          <a:r>
            <a:rPr lang="en-US" altLang="zh-CN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-</a:t>
          </a:r>
          <a:r>
            <a:rPr lang="zh-CN" altLang="en-US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资本开支假设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69760</xdr:rowOff>
    </xdr:from>
    <xdr:ext cx="1328441" cy="35631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C00-000003000000}"/>
            </a:ext>
          </a:extLst>
        </xdr:cNvPr>
        <xdr:cNvSpPr txBox="1"/>
      </xdr:nvSpPr>
      <xdr:spPr>
        <a:xfrm>
          <a:off x="0" y="69760"/>
          <a:ext cx="1328441" cy="356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200" b="0" i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腾讯控股</a:t>
          </a:r>
          <a:r>
            <a:rPr lang="en-US" altLang="zh-CN" sz="1200" b="0" i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-</a:t>
          </a:r>
          <a:r>
            <a:rPr lang="zh-CN" altLang="en-US" sz="1200" b="0" i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利润表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62698</xdr:rowOff>
    </xdr:from>
    <xdr:ext cx="1636217" cy="35631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D00-000005000000}"/>
            </a:ext>
          </a:extLst>
        </xdr:cNvPr>
        <xdr:cNvSpPr txBox="1"/>
      </xdr:nvSpPr>
      <xdr:spPr>
        <a:xfrm>
          <a:off x="0" y="62698"/>
          <a:ext cx="1636217" cy="356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腾讯控股</a:t>
          </a:r>
          <a:r>
            <a:rPr lang="en-US" altLang="zh-CN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-</a:t>
          </a:r>
          <a:r>
            <a:rPr lang="zh-CN" altLang="en-US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资产负债表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53172</xdr:rowOff>
    </xdr:from>
    <xdr:ext cx="1636217" cy="3563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SpPr txBox="1"/>
      </xdr:nvSpPr>
      <xdr:spPr>
        <a:xfrm>
          <a:off x="0" y="53172"/>
          <a:ext cx="1636217" cy="356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腾讯控股</a:t>
          </a:r>
          <a:r>
            <a:rPr lang="en-US" altLang="zh-CN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-</a:t>
          </a:r>
          <a:r>
            <a:rPr lang="zh-CN" altLang="en-US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现金流量表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123824</xdr:colOff>
      <xdr:row>66</xdr:row>
      <xdr:rowOff>19050</xdr:rowOff>
    </xdr:from>
    <xdr:to>
      <xdr:col>4</xdr:col>
      <xdr:colOff>519985</xdr:colOff>
      <xdr:row>107</xdr:row>
      <xdr:rowOff>57150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xmlns="" id="{56511D3C-A7EB-4E70-A472-A5228CAB5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844" y="4575810"/>
          <a:ext cx="2880281" cy="7536180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23</xdr:row>
      <xdr:rowOff>38099</xdr:rowOff>
    </xdr:from>
    <xdr:to>
      <xdr:col>15</xdr:col>
      <xdr:colOff>104775</xdr:colOff>
      <xdr:row>43</xdr:row>
      <xdr:rowOff>123825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xmlns="" id="{088B2483-A4A2-409E-855B-102F098E2E1B}"/>
            </a:ext>
          </a:extLst>
        </xdr:cNvPr>
        <xdr:cNvSpPr txBox="1"/>
      </xdr:nvSpPr>
      <xdr:spPr>
        <a:xfrm>
          <a:off x="6267450" y="3981449"/>
          <a:ext cx="4610100" cy="36861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计算了腾讯投资类资产的</a:t>
          </a:r>
          <a:r>
            <a:rPr lang="en-US" altLang="zh-CN" sz="1100"/>
            <a:t>NAV</a:t>
          </a:r>
          <a:r>
            <a:rPr lang="zh-CN" altLang="en-US" sz="1100"/>
            <a:t>，统计了腾讯持有的相关上市公司的份额所对应的市值，以此作为投资资产中上市公司部分的</a:t>
          </a:r>
          <a:r>
            <a:rPr lang="en-US" altLang="zh-CN" sz="1100"/>
            <a:t>NAV</a:t>
          </a:r>
          <a:r>
            <a:rPr lang="zh-CN" altLang="en-US" sz="1100"/>
            <a:t>。</a:t>
          </a:r>
          <a:endParaRPr lang="en-US" altLang="zh-CN" sz="1100"/>
        </a:p>
        <a:p>
          <a:r>
            <a:rPr lang="zh-CN" altLang="en-US" sz="1100"/>
            <a:t>非上市公司的</a:t>
          </a:r>
          <a:r>
            <a:rPr lang="en-US" altLang="zh-CN" sz="1100"/>
            <a:t>NAV</a:t>
          </a:r>
          <a:r>
            <a:rPr lang="zh-CN" altLang="en-US" sz="1100"/>
            <a:t>根据上市部分的溢价类比推算，基于保守估计给了</a:t>
          </a:r>
          <a:r>
            <a:rPr lang="en-US" altLang="zh-CN" sz="1100"/>
            <a:t>20%</a:t>
          </a:r>
          <a:r>
            <a:rPr lang="zh-CN" altLang="en-US" sz="1100"/>
            <a:t>的折算。</a:t>
          </a:r>
          <a:endParaRPr lang="en-US" altLang="zh-CN" sz="1100"/>
        </a:p>
        <a:p>
          <a:endParaRPr lang="en-US" altLang="zh-CN" sz="1100"/>
        </a:p>
        <a:p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根据天风证券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181229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的研报，复星国际富足板块（即投资部分）的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NAV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为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1145.47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亿，截至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2018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年末复星国际的收盘市值为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839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亿人民币。剔除健康和快乐业务，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NAV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估值折价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60%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en-US" altLang="zh-C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100"/>
        </a:p>
        <a:p>
          <a:r>
            <a:rPr lang="zh-CN" altLang="en-US" sz="1100"/>
            <a:t>伯克希尔哈撒韦早年按照</a:t>
          </a:r>
          <a:r>
            <a:rPr lang="en-US" altLang="zh-CN" sz="1100"/>
            <a:t>NAV</a:t>
          </a:r>
          <a:r>
            <a:rPr lang="zh-CN" altLang="en-US" sz="1100"/>
            <a:t>估值同样折价很多。但巴菲特表示股价达到</a:t>
          </a:r>
          <a:r>
            <a:rPr lang="en-US" altLang="zh-CN" sz="1100"/>
            <a:t>1.2</a:t>
          </a:r>
          <a:r>
            <a:rPr lang="zh-CN" altLang="en-US" sz="1100"/>
            <a:t>倍</a:t>
          </a:r>
          <a:r>
            <a:rPr lang="en-US" altLang="zh-CN" sz="1100"/>
            <a:t>PB</a:t>
          </a:r>
          <a:r>
            <a:rPr lang="zh-CN" altLang="en-US" sz="1100"/>
            <a:t>以下之后将进行回购，且历史上出现过三次大回购，加上投资业绩优秀，净资产逐年抬高，回购底线也逐步上升。</a:t>
          </a:r>
          <a:r>
            <a:rPr lang="en-US" altLang="zh-CN" sz="1100"/>
            <a:t>NAV</a:t>
          </a:r>
          <a:r>
            <a:rPr lang="zh-CN" altLang="en-US" sz="1100"/>
            <a:t>的估值也就出现了明显回升，最高超过</a:t>
          </a:r>
          <a:r>
            <a:rPr lang="en-US" altLang="zh-CN" sz="1100"/>
            <a:t>2</a:t>
          </a:r>
          <a:r>
            <a:rPr lang="zh-CN" altLang="en-US" sz="1100"/>
            <a:t>倍。</a:t>
          </a:r>
          <a:endParaRPr lang="en-US" altLang="zh-CN" sz="1100"/>
        </a:p>
        <a:p>
          <a:endParaRPr lang="en-US" altLang="zh-CN" sz="1100"/>
        </a:p>
        <a:p>
          <a:r>
            <a:rPr lang="zh-CN" altLang="en-US" sz="1100"/>
            <a:t>腾讯历史上有过</a:t>
          </a:r>
          <a:r>
            <a:rPr lang="en-US" altLang="zh-CN" sz="1100"/>
            <a:t>4</a:t>
          </a:r>
          <a:r>
            <a:rPr lang="zh-CN" altLang="en-US" sz="1100"/>
            <a:t>次回购，包括</a:t>
          </a:r>
          <a:r>
            <a:rPr lang="en-US" altLang="zh-CN" sz="1100"/>
            <a:t>18</a:t>
          </a:r>
          <a:r>
            <a:rPr lang="zh-CN" altLang="en-US" sz="1100"/>
            <a:t>年</a:t>
          </a:r>
          <a:r>
            <a:rPr lang="en-US" altLang="zh-CN" sz="1100"/>
            <a:t>9</a:t>
          </a:r>
          <a:r>
            <a:rPr lang="zh-CN" altLang="en-US" sz="1100"/>
            <a:t>月的，因此这部分与伯克希尔更像一些。腾讯的投资业绩不错，且投资的业务基本都是自身流量的延伸，对主业有一定的促进作用。</a:t>
          </a:r>
          <a:endParaRPr lang="en-US" altLang="zh-CN" sz="1100"/>
        </a:p>
        <a:p>
          <a:endParaRPr lang="en-US" altLang="zh-CN" sz="1100"/>
        </a:p>
        <a:p>
          <a:r>
            <a:rPr lang="zh-CN" altLang="en-US" sz="1100"/>
            <a:t>考虑到腾讯投资启动的年份还不长，因此给了</a:t>
          </a:r>
          <a:r>
            <a:rPr lang="en-US" altLang="zh-CN" sz="1100"/>
            <a:t>20%</a:t>
          </a:r>
          <a:r>
            <a:rPr lang="zh-CN" altLang="en-US" sz="1100"/>
            <a:t>的</a:t>
          </a:r>
          <a:r>
            <a:rPr lang="en-US" altLang="zh-CN" sz="1100"/>
            <a:t>NAV</a:t>
          </a:r>
          <a:r>
            <a:rPr lang="zh-CN" altLang="en-US" sz="1100"/>
            <a:t>折价去估算投资类资产的价值。</a:t>
          </a:r>
        </a:p>
      </xdr:txBody>
    </xdr:sp>
    <xdr:clientData/>
  </xdr:twoCellAnchor>
  <xdr:twoCellAnchor>
    <xdr:from>
      <xdr:col>1</xdr:col>
      <xdr:colOff>790575</xdr:colOff>
      <xdr:row>66</xdr:row>
      <xdr:rowOff>57150</xdr:rowOff>
    </xdr:from>
    <xdr:to>
      <xdr:col>1</xdr:col>
      <xdr:colOff>1381125</xdr:colOff>
      <xdr:row>67</xdr:row>
      <xdr:rowOff>38101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xmlns="" id="{0E5AEAD1-9614-4504-8D3C-985FCF6106A9}"/>
            </a:ext>
          </a:extLst>
        </xdr:cNvPr>
        <xdr:cNvSpPr txBox="1"/>
      </xdr:nvSpPr>
      <xdr:spPr>
        <a:xfrm>
          <a:off x="1331595" y="4613910"/>
          <a:ext cx="476250" cy="1562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200"/>
            <a:t>  NAV</a:t>
          </a:r>
          <a:endParaRPr lang="zh-CN" altLang="en-US" sz="12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74855</xdr:rowOff>
    </xdr:from>
    <xdr:ext cx="1784206" cy="35631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00000000-0008-0000-1000-000009000000}"/>
            </a:ext>
          </a:extLst>
        </xdr:cNvPr>
        <xdr:cNvSpPr txBox="1"/>
      </xdr:nvSpPr>
      <xdr:spPr>
        <a:xfrm>
          <a:off x="0" y="74855"/>
          <a:ext cx="1784206" cy="356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腾讯控股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-DCF</a:t>
          </a: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估值过程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69644</xdr:rowOff>
    </xdr:from>
    <xdr:ext cx="1784206" cy="35631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SpPr txBox="1"/>
      </xdr:nvSpPr>
      <xdr:spPr>
        <a:xfrm>
          <a:off x="0" y="69644"/>
          <a:ext cx="1784206" cy="356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腾讯控股</a:t>
          </a:r>
          <a:r>
            <a:rPr lang="en-US" altLang="zh-CN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-DCF</a:t>
          </a:r>
          <a:r>
            <a:rPr lang="zh-CN" altLang="en-US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估值结果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53622</xdr:rowOff>
    </xdr:from>
    <xdr:ext cx="1661096" cy="35631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200-000003000000}"/>
            </a:ext>
          </a:extLst>
        </xdr:cNvPr>
        <xdr:cNvSpPr txBox="1"/>
      </xdr:nvSpPr>
      <xdr:spPr>
        <a:xfrm>
          <a:off x="0" y="53622"/>
          <a:ext cx="1661096" cy="356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腾讯控股</a:t>
          </a:r>
          <a:r>
            <a:rPr lang="en-US" altLang="zh-CN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-PE</a:t>
          </a:r>
          <a:r>
            <a:rPr lang="zh-CN" altLang="en-US" sz="1200" b="0">
              <a:solidFill>
                <a:schemeClr val="bg1"/>
              </a:solidFill>
              <a:latin typeface="微软雅黑" pitchFamily="34" charset="-122"/>
              <a:ea typeface="微软雅黑" pitchFamily="34" charset="-122"/>
            </a:rPr>
            <a:t>估值结果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6032;&#28010;&#36130;&#36947;H\&#20844;&#21496;\&#28207;&#32929;\&#38134;&#22825;&#19979;\&#30005;&#21147;&#20844;&#21496;&#36130;&#21153;&#39044;&#27979;&#19982;&#20272;&#20540;&#27169;&#22411;-&#31572;&#266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Revenues"/>
      <sheetName val="PP&amp;E"/>
      <sheetName val="Financing"/>
      <sheetName val="Cals"/>
      <sheetName val="IS"/>
      <sheetName val="BS"/>
      <sheetName val="CFS"/>
      <sheetName val="Ratios"/>
      <sheetName val="DCF"/>
      <sheetName val="Comps"/>
      <sheetName val="1.1核心业务模型-安全边际"/>
      <sheetName val="1.核心业务模型-乐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9">
          <cell r="F19">
            <v>8.7999999999999995E-2</v>
          </cell>
        </row>
        <row r="38">
          <cell r="F38">
            <v>1.6E-2</v>
          </cell>
        </row>
      </sheetData>
      <sheetData sheetId="11"/>
      <sheetData sheetId="12" refreshError="1"/>
      <sheetData sheetId="13" refreshError="1"/>
    </sheetDataSet>
  </externalBook>
</externalLink>
</file>

<file path=xl/tables/table1.xml><?xml version="1.0" encoding="utf-8"?>
<table xmlns="http://schemas.openxmlformats.org/spreadsheetml/2006/main" id="1" name="表2" displayName="表2" ref="B24:G59" totalsRowShown="0" headerRowDxfId="5">
  <autoFilter ref="B24:G5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被投公司"/>
    <tableColumn id="2" name="18Q4市值" dataDxfId="4"/>
    <tableColumn id="3" name="最新市值" dataDxfId="3"/>
    <tableColumn id="4" name="腾讯份额" dataDxfId="2"/>
    <tableColumn id="5" name="18Q4_x000a_应占市值" dataDxfId="1"/>
    <tableColumn id="6" name="最新_x000a_应占市值" dataDxfId="0">
      <calculatedColumnFormula>D25*E25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4.xml"/><Relationship Id="rId4" Type="http://schemas.openxmlformats.org/officeDocument/2006/relationships/comments" Target="../comments7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F0"/>
    <pageSetUpPr fitToPage="1"/>
  </sheetPr>
  <dimension ref="B1:WVX34"/>
  <sheetViews>
    <sheetView showGridLines="0" showRowColHeaders="0" topLeftCell="B1" zoomScale="86" zoomScaleNormal="86" workbookViewId="0">
      <selection activeCell="JA21" sqref="JA21"/>
    </sheetView>
  </sheetViews>
  <sheetFormatPr defaultColWidth="0" defaultRowHeight="12.75" customHeight="1" zeroHeight="1"/>
  <cols>
    <col min="1" max="1" width="7.5" style="132" hidden="1"/>
    <col min="2" max="2" width="10.625" style="132" customWidth="1"/>
    <col min="3" max="3" width="1" style="132" customWidth="1"/>
    <col min="4" max="4" width="10.625" style="132" customWidth="1"/>
    <col min="5" max="13" width="11.625" style="132" customWidth="1"/>
    <col min="14" max="14" width="10.625" style="132" customWidth="1"/>
    <col min="15" max="15" width="1" style="132" customWidth="1"/>
    <col min="16" max="16" width="10.625" style="132" customWidth="1"/>
    <col min="17" max="257" width="7.5" style="132" hidden="1"/>
    <col min="258" max="258" width="10.625" style="132" customWidth="1"/>
    <col min="259" max="259" width="1" style="132" customWidth="1"/>
    <col min="260" max="260" width="10.625" style="132" customWidth="1"/>
    <col min="261" max="269" width="11.625" style="132" customWidth="1"/>
    <col min="270" max="270" width="10.625" style="132" customWidth="1"/>
    <col min="271" max="271" width="1" style="132" customWidth="1"/>
    <col min="272" max="272" width="10.625" style="132" customWidth="1"/>
    <col min="273" max="513" width="7.5" style="132" hidden="1"/>
    <col min="514" max="514" width="10.625" style="132" customWidth="1"/>
    <col min="515" max="515" width="1" style="132" customWidth="1"/>
    <col min="516" max="516" width="10.625" style="132" customWidth="1"/>
    <col min="517" max="525" width="11.625" style="132" customWidth="1"/>
    <col min="526" max="526" width="10.625" style="132" customWidth="1"/>
    <col min="527" max="527" width="1" style="132" customWidth="1"/>
    <col min="528" max="528" width="10.625" style="132" customWidth="1"/>
    <col min="529" max="769" width="7.5" style="132" hidden="1"/>
    <col min="770" max="770" width="10.625" style="132" customWidth="1"/>
    <col min="771" max="771" width="1" style="132" customWidth="1"/>
    <col min="772" max="772" width="10.625" style="132" customWidth="1"/>
    <col min="773" max="781" width="11.625" style="132" customWidth="1"/>
    <col min="782" max="782" width="10.625" style="132" customWidth="1"/>
    <col min="783" max="783" width="1" style="132" customWidth="1"/>
    <col min="784" max="784" width="10.625" style="132" customWidth="1"/>
    <col min="785" max="1025" width="7.5" style="132" hidden="1"/>
    <col min="1026" max="1026" width="10.625" style="132" customWidth="1"/>
    <col min="1027" max="1027" width="1" style="132" customWidth="1"/>
    <col min="1028" max="1028" width="10.625" style="132" customWidth="1"/>
    <col min="1029" max="1037" width="11.625" style="132" customWidth="1"/>
    <col min="1038" max="1038" width="10.625" style="132" customWidth="1"/>
    <col min="1039" max="1039" width="1" style="132" customWidth="1"/>
    <col min="1040" max="1040" width="10.625" style="132" customWidth="1"/>
    <col min="1041" max="1281" width="7.5" style="132" hidden="1"/>
    <col min="1282" max="1282" width="10.625" style="132" customWidth="1"/>
    <col min="1283" max="1283" width="1" style="132" customWidth="1"/>
    <col min="1284" max="1284" width="10.625" style="132" customWidth="1"/>
    <col min="1285" max="1293" width="11.625" style="132" customWidth="1"/>
    <col min="1294" max="1294" width="10.625" style="132" customWidth="1"/>
    <col min="1295" max="1295" width="1" style="132" customWidth="1"/>
    <col min="1296" max="1296" width="10.625" style="132" customWidth="1"/>
    <col min="1297" max="1537" width="7.5" style="132" hidden="1"/>
    <col min="1538" max="1538" width="10.625" style="132" customWidth="1"/>
    <col min="1539" max="1539" width="1" style="132" customWidth="1"/>
    <col min="1540" max="1540" width="10.625" style="132" customWidth="1"/>
    <col min="1541" max="1549" width="11.625" style="132" customWidth="1"/>
    <col min="1550" max="1550" width="10.625" style="132" customWidth="1"/>
    <col min="1551" max="1551" width="1" style="132" customWidth="1"/>
    <col min="1552" max="1552" width="10.625" style="132" customWidth="1"/>
    <col min="1553" max="1793" width="7.5" style="132" hidden="1"/>
    <col min="1794" max="1794" width="10.625" style="132" customWidth="1"/>
    <col min="1795" max="1795" width="1" style="132" customWidth="1"/>
    <col min="1796" max="1796" width="10.625" style="132" customWidth="1"/>
    <col min="1797" max="1805" width="11.625" style="132" customWidth="1"/>
    <col min="1806" max="1806" width="10.625" style="132" customWidth="1"/>
    <col min="1807" max="1807" width="1" style="132" customWidth="1"/>
    <col min="1808" max="1808" width="10.625" style="132" customWidth="1"/>
    <col min="1809" max="2049" width="7.5" style="132" hidden="1"/>
    <col min="2050" max="2050" width="10.625" style="132" customWidth="1"/>
    <col min="2051" max="2051" width="1" style="132" customWidth="1"/>
    <col min="2052" max="2052" width="10.625" style="132" customWidth="1"/>
    <col min="2053" max="2061" width="11.625" style="132" customWidth="1"/>
    <col min="2062" max="2062" width="10.625" style="132" customWidth="1"/>
    <col min="2063" max="2063" width="1" style="132" customWidth="1"/>
    <col min="2064" max="2064" width="10.625" style="132" customWidth="1"/>
    <col min="2065" max="2305" width="7.5" style="132" hidden="1"/>
    <col min="2306" max="2306" width="10.625" style="132" customWidth="1"/>
    <col min="2307" max="2307" width="1" style="132" customWidth="1"/>
    <col min="2308" max="2308" width="10.625" style="132" customWidth="1"/>
    <col min="2309" max="2317" width="11.625" style="132" customWidth="1"/>
    <col min="2318" max="2318" width="10.625" style="132" customWidth="1"/>
    <col min="2319" max="2319" width="1" style="132" customWidth="1"/>
    <col min="2320" max="2320" width="10.625" style="132" customWidth="1"/>
    <col min="2321" max="2561" width="7.5" style="132" hidden="1"/>
    <col min="2562" max="2562" width="10.625" style="132" customWidth="1"/>
    <col min="2563" max="2563" width="1" style="132" customWidth="1"/>
    <col min="2564" max="2564" width="10.625" style="132" customWidth="1"/>
    <col min="2565" max="2573" width="11.625" style="132" customWidth="1"/>
    <col min="2574" max="2574" width="10.625" style="132" customWidth="1"/>
    <col min="2575" max="2575" width="1" style="132" customWidth="1"/>
    <col min="2576" max="2576" width="10.625" style="132" customWidth="1"/>
    <col min="2577" max="2817" width="7.5" style="132" hidden="1"/>
    <col min="2818" max="2818" width="10.625" style="132" customWidth="1"/>
    <col min="2819" max="2819" width="1" style="132" customWidth="1"/>
    <col min="2820" max="2820" width="10.625" style="132" customWidth="1"/>
    <col min="2821" max="2829" width="11.625" style="132" customWidth="1"/>
    <col min="2830" max="2830" width="10.625" style="132" customWidth="1"/>
    <col min="2831" max="2831" width="1" style="132" customWidth="1"/>
    <col min="2832" max="2832" width="10.625" style="132" customWidth="1"/>
    <col min="2833" max="3073" width="7.5" style="132" hidden="1"/>
    <col min="3074" max="3074" width="10.625" style="132" customWidth="1"/>
    <col min="3075" max="3075" width="1" style="132" customWidth="1"/>
    <col min="3076" max="3076" width="10.625" style="132" customWidth="1"/>
    <col min="3077" max="3085" width="11.625" style="132" customWidth="1"/>
    <col min="3086" max="3086" width="10.625" style="132" customWidth="1"/>
    <col min="3087" max="3087" width="1" style="132" customWidth="1"/>
    <col min="3088" max="3088" width="10.625" style="132" customWidth="1"/>
    <col min="3089" max="3329" width="7.5" style="132" hidden="1"/>
    <col min="3330" max="3330" width="10.625" style="132" customWidth="1"/>
    <col min="3331" max="3331" width="1" style="132" customWidth="1"/>
    <col min="3332" max="3332" width="10.625" style="132" customWidth="1"/>
    <col min="3333" max="3341" width="11.625" style="132" customWidth="1"/>
    <col min="3342" max="3342" width="10.625" style="132" customWidth="1"/>
    <col min="3343" max="3343" width="1" style="132" customWidth="1"/>
    <col min="3344" max="3344" width="10.625" style="132" customWidth="1"/>
    <col min="3345" max="3585" width="7.5" style="132" hidden="1"/>
    <col min="3586" max="3586" width="10.625" style="132" customWidth="1"/>
    <col min="3587" max="3587" width="1" style="132" customWidth="1"/>
    <col min="3588" max="3588" width="10.625" style="132" customWidth="1"/>
    <col min="3589" max="3597" width="11.625" style="132" customWidth="1"/>
    <col min="3598" max="3598" width="10.625" style="132" customWidth="1"/>
    <col min="3599" max="3599" width="1" style="132" customWidth="1"/>
    <col min="3600" max="3600" width="10.625" style="132" customWidth="1"/>
    <col min="3601" max="3841" width="7.5" style="132" hidden="1"/>
    <col min="3842" max="3842" width="10.625" style="132" customWidth="1"/>
    <col min="3843" max="3843" width="1" style="132" customWidth="1"/>
    <col min="3844" max="3844" width="10.625" style="132" customWidth="1"/>
    <col min="3845" max="3853" width="11.625" style="132" customWidth="1"/>
    <col min="3854" max="3854" width="10.625" style="132" customWidth="1"/>
    <col min="3855" max="3855" width="1" style="132" customWidth="1"/>
    <col min="3856" max="3856" width="10.625" style="132" customWidth="1"/>
    <col min="3857" max="4097" width="7.5" style="132" hidden="1"/>
    <col min="4098" max="4098" width="10.625" style="132" customWidth="1"/>
    <col min="4099" max="4099" width="1" style="132" customWidth="1"/>
    <col min="4100" max="4100" width="10.625" style="132" customWidth="1"/>
    <col min="4101" max="4109" width="11.625" style="132" customWidth="1"/>
    <col min="4110" max="4110" width="10.625" style="132" customWidth="1"/>
    <col min="4111" max="4111" width="1" style="132" customWidth="1"/>
    <col min="4112" max="4112" width="10.625" style="132" customWidth="1"/>
    <col min="4113" max="4353" width="7.5" style="132" hidden="1"/>
    <col min="4354" max="4354" width="10.625" style="132" customWidth="1"/>
    <col min="4355" max="4355" width="1" style="132" customWidth="1"/>
    <col min="4356" max="4356" width="10.625" style="132" customWidth="1"/>
    <col min="4357" max="4365" width="11.625" style="132" customWidth="1"/>
    <col min="4366" max="4366" width="10.625" style="132" customWidth="1"/>
    <col min="4367" max="4367" width="1" style="132" customWidth="1"/>
    <col min="4368" max="4368" width="10.625" style="132" customWidth="1"/>
    <col min="4369" max="4609" width="7.5" style="132" hidden="1"/>
    <col min="4610" max="4610" width="10.625" style="132" customWidth="1"/>
    <col min="4611" max="4611" width="1" style="132" customWidth="1"/>
    <col min="4612" max="4612" width="10.625" style="132" customWidth="1"/>
    <col min="4613" max="4621" width="11.625" style="132" customWidth="1"/>
    <col min="4622" max="4622" width="10.625" style="132" customWidth="1"/>
    <col min="4623" max="4623" width="1" style="132" customWidth="1"/>
    <col min="4624" max="4624" width="10.625" style="132" customWidth="1"/>
    <col min="4625" max="4865" width="7.5" style="132" hidden="1"/>
    <col min="4866" max="4866" width="10.625" style="132" customWidth="1"/>
    <col min="4867" max="4867" width="1" style="132" customWidth="1"/>
    <col min="4868" max="4868" width="10.625" style="132" customWidth="1"/>
    <col min="4869" max="4877" width="11.625" style="132" customWidth="1"/>
    <col min="4878" max="4878" width="10.625" style="132" customWidth="1"/>
    <col min="4879" max="4879" width="1" style="132" customWidth="1"/>
    <col min="4880" max="4880" width="10.625" style="132" customWidth="1"/>
    <col min="4881" max="5121" width="7.5" style="132" hidden="1"/>
    <col min="5122" max="5122" width="10.625" style="132" customWidth="1"/>
    <col min="5123" max="5123" width="1" style="132" customWidth="1"/>
    <col min="5124" max="5124" width="10.625" style="132" customWidth="1"/>
    <col min="5125" max="5133" width="11.625" style="132" customWidth="1"/>
    <col min="5134" max="5134" width="10.625" style="132" customWidth="1"/>
    <col min="5135" max="5135" width="1" style="132" customWidth="1"/>
    <col min="5136" max="5136" width="10.625" style="132" customWidth="1"/>
    <col min="5137" max="5377" width="7.5" style="132" hidden="1"/>
    <col min="5378" max="5378" width="10.625" style="132" customWidth="1"/>
    <col min="5379" max="5379" width="1" style="132" customWidth="1"/>
    <col min="5380" max="5380" width="10.625" style="132" customWidth="1"/>
    <col min="5381" max="5389" width="11.625" style="132" customWidth="1"/>
    <col min="5390" max="5390" width="10.625" style="132" customWidth="1"/>
    <col min="5391" max="5391" width="1" style="132" customWidth="1"/>
    <col min="5392" max="5392" width="10.625" style="132" customWidth="1"/>
    <col min="5393" max="5633" width="7.5" style="132" hidden="1"/>
    <col min="5634" max="5634" width="10.625" style="132" customWidth="1"/>
    <col min="5635" max="5635" width="1" style="132" customWidth="1"/>
    <col min="5636" max="5636" width="10.625" style="132" customWidth="1"/>
    <col min="5637" max="5645" width="11.625" style="132" customWidth="1"/>
    <col min="5646" max="5646" width="10.625" style="132" customWidth="1"/>
    <col min="5647" max="5647" width="1" style="132" customWidth="1"/>
    <col min="5648" max="5648" width="10.625" style="132" customWidth="1"/>
    <col min="5649" max="5889" width="7.5" style="132" hidden="1"/>
    <col min="5890" max="5890" width="10.625" style="132" customWidth="1"/>
    <col min="5891" max="5891" width="1" style="132" customWidth="1"/>
    <col min="5892" max="5892" width="10.625" style="132" customWidth="1"/>
    <col min="5893" max="5901" width="11.625" style="132" customWidth="1"/>
    <col min="5902" max="5902" width="10.625" style="132" customWidth="1"/>
    <col min="5903" max="5903" width="1" style="132" customWidth="1"/>
    <col min="5904" max="5904" width="10.625" style="132" customWidth="1"/>
    <col min="5905" max="6145" width="7.5" style="132" hidden="1"/>
    <col min="6146" max="6146" width="10.625" style="132" customWidth="1"/>
    <col min="6147" max="6147" width="1" style="132" customWidth="1"/>
    <col min="6148" max="6148" width="10.625" style="132" customWidth="1"/>
    <col min="6149" max="6157" width="11.625" style="132" customWidth="1"/>
    <col min="6158" max="6158" width="10.625" style="132" customWidth="1"/>
    <col min="6159" max="6159" width="1" style="132" customWidth="1"/>
    <col min="6160" max="6160" width="10.625" style="132" customWidth="1"/>
    <col min="6161" max="6401" width="7.5" style="132" hidden="1"/>
    <col min="6402" max="6402" width="10.625" style="132" customWidth="1"/>
    <col min="6403" max="6403" width="1" style="132" customWidth="1"/>
    <col min="6404" max="6404" width="10.625" style="132" customWidth="1"/>
    <col min="6405" max="6413" width="11.625" style="132" customWidth="1"/>
    <col min="6414" max="6414" width="10.625" style="132" customWidth="1"/>
    <col min="6415" max="6415" width="1" style="132" customWidth="1"/>
    <col min="6416" max="6416" width="10.625" style="132" customWidth="1"/>
    <col min="6417" max="6657" width="7.5" style="132" hidden="1"/>
    <col min="6658" max="6658" width="10.625" style="132" customWidth="1"/>
    <col min="6659" max="6659" width="1" style="132" customWidth="1"/>
    <col min="6660" max="6660" width="10.625" style="132" customWidth="1"/>
    <col min="6661" max="6669" width="11.625" style="132" customWidth="1"/>
    <col min="6670" max="6670" width="10.625" style="132" customWidth="1"/>
    <col min="6671" max="6671" width="1" style="132" customWidth="1"/>
    <col min="6672" max="6672" width="10.625" style="132" customWidth="1"/>
    <col min="6673" max="6913" width="7.5" style="132" hidden="1"/>
    <col min="6914" max="6914" width="10.625" style="132" customWidth="1"/>
    <col min="6915" max="6915" width="1" style="132" customWidth="1"/>
    <col min="6916" max="6916" width="10.625" style="132" customWidth="1"/>
    <col min="6917" max="6925" width="11.625" style="132" customWidth="1"/>
    <col min="6926" max="6926" width="10.625" style="132" customWidth="1"/>
    <col min="6927" max="6927" width="1" style="132" customWidth="1"/>
    <col min="6928" max="6928" width="10.625" style="132" customWidth="1"/>
    <col min="6929" max="7169" width="7.5" style="132" hidden="1"/>
    <col min="7170" max="7170" width="10.625" style="132" customWidth="1"/>
    <col min="7171" max="7171" width="1" style="132" customWidth="1"/>
    <col min="7172" max="7172" width="10.625" style="132" customWidth="1"/>
    <col min="7173" max="7181" width="11.625" style="132" customWidth="1"/>
    <col min="7182" max="7182" width="10.625" style="132" customWidth="1"/>
    <col min="7183" max="7183" width="1" style="132" customWidth="1"/>
    <col min="7184" max="7184" width="10.625" style="132" customWidth="1"/>
    <col min="7185" max="7425" width="7.5" style="132" hidden="1"/>
    <col min="7426" max="7426" width="10.625" style="132" customWidth="1"/>
    <col min="7427" max="7427" width="1" style="132" customWidth="1"/>
    <col min="7428" max="7428" width="10.625" style="132" customWidth="1"/>
    <col min="7429" max="7437" width="11.625" style="132" customWidth="1"/>
    <col min="7438" max="7438" width="10.625" style="132" customWidth="1"/>
    <col min="7439" max="7439" width="1" style="132" customWidth="1"/>
    <col min="7440" max="7440" width="10.625" style="132" customWidth="1"/>
    <col min="7441" max="7681" width="7.5" style="132" hidden="1"/>
    <col min="7682" max="7682" width="10.625" style="132" customWidth="1"/>
    <col min="7683" max="7683" width="1" style="132" customWidth="1"/>
    <col min="7684" max="7684" width="10.625" style="132" customWidth="1"/>
    <col min="7685" max="7693" width="11.625" style="132" customWidth="1"/>
    <col min="7694" max="7694" width="10.625" style="132" customWidth="1"/>
    <col min="7695" max="7695" width="1" style="132" customWidth="1"/>
    <col min="7696" max="7696" width="10.625" style="132" customWidth="1"/>
    <col min="7697" max="7937" width="7.5" style="132" hidden="1"/>
    <col min="7938" max="7938" width="10.625" style="132" customWidth="1"/>
    <col min="7939" max="7939" width="1" style="132" customWidth="1"/>
    <col min="7940" max="7940" width="10.625" style="132" customWidth="1"/>
    <col min="7941" max="7949" width="11.625" style="132" customWidth="1"/>
    <col min="7950" max="7950" width="10.625" style="132" customWidth="1"/>
    <col min="7951" max="7951" width="1" style="132" customWidth="1"/>
    <col min="7952" max="7952" width="10.625" style="132" customWidth="1"/>
    <col min="7953" max="8193" width="7.5" style="132" hidden="1"/>
    <col min="8194" max="8194" width="10.625" style="132" customWidth="1"/>
    <col min="8195" max="8195" width="1" style="132" customWidth="1"/>
    <col min="8196" max="8196" width="10.625" style="132" customWidth="1"/>
    <col min="8197" max="8205" width="11.625" style="132" customWidth="1"/>
    <col min="8206" max="8206" width="10.625" style="132" customWidth="1"/>
    <col min="8207" max="8207" width="1" style="132" customWidth="1"/>
    <col min="8208" max="8208" width="10.625" style="132" customWidth="1"/>
    <col min="8209" max="8449" width="7.5" style="132" hidden="1"/>
    <col min="8450" max="8450" width="10.625" style="132" customWidth="1"/>
    <col min="8451" max="8451" width="1" style="132" customWidth="1"/>
    <col min="8452" max="8452" width="10.625" style="132" customWidth="1"/>
    <col min="8453" max="8461" width="11.625" style="132" customWidth="1"/>
    <col min="8462" max="8462" width="10.625" style="132" customWidth="1"/>
    <col min="8463" max="8463" width="1" style="132" customWidth="1"/>
    <col min="8464" max="8464" width="10.625" style="132" customWidth="1"/>
    <col min="8465" max="8705" width="7.5" style="132" hidden="1"/>
    <col min="8706" max="8706" width="10.625" style="132" customWidth="1"/>
    <col min="8707" max="8707" width="1" style="132" customWidth="1"/>
    <col min="8708" max="8708" width="10.625" style="132" customWidth="1"/>
    <col min="8709" max="8717" width="11.625" style="132" customWidth="1"/>
    <col min="8718" max="8718" width="10.625" style="132" customWidth="1"/>
    <col min="8719" max="8719" width="1" style="132" customWidth="1"/>
    <col min="8720" max="8720" width="10.625" style="132" customWidth="1"/>
    <col min="8721" max="8961" width="7.5" style="132" hidden="1"/>
    <col min="8962" max="8962" width="10.625" style="132" customWidth="1"/>
    <col min="8963" max="8963" width="1" style="132" customWidth="1"/>
    <col min="8964" max="8964" width="10.625" style="132" customWidth="1"/>
    <col min="8965" max="8973" width="11.625" style="132" customWidth="1"/>
    <col min="8974" max="8974" width="10.625" style="132" customWidth="1"/>
    <col min="8975" max="8975" width="1" style="132" customWidth="1"/>
    <col min="8976" max="8976" width="10.625" style="132" customWidth="1"/>
    <col min="8977" max="9217" width="7.5" style="132" hidden="1"/>
    <col min="9218" max="9218" width="10.625" style="132" customWidth="1"/>
    <col min="9219" max="9219" width="1" style="132" customWidth="1"/>
    <col min="9220" max="9220" width="10.625" style="132" customWidth="1"/>
    <col min="9221" max="9229" width="11.625" style="132" customWidth="1"/>
    <col min="9230" max="9230" width="10.625" style="132" customWidth="1"/>
    <col min="9231" max="9231" width="1" style="132" customWidth="1"/>
    <col min="9232" max="9232" width="10.625" style="132" customWidth="1"/>
    <col min="9233" max="9473" width="7.5" style="132" hidden="1"/>
    <col min="9474" max="9474" width="10.625" style="132" customWidth="1"/>
    <col min="9475" max="9475" width="1" style="132" customWidth="1"/>
    <col min="9476" max="9476" width="10.625" style="132" customWidth="1"/>
    <col min="9477" max="9485" width="11.625" style="132" customWidth="1"/>
    <col min="9486" max="9486" width="10.625" style="132" customWidth="1"/>
    <col min="9487" max="9487" width="1" style="132" customWidth="1"/>
    <col min="9488" max="9488" width="10.625" style="132" customWidth="1"/>
    <col min="9489" max="9729" width="7.5" style="132" hidden="1"/>
    <col min="9730" max="9730" width="10.625" style="132" customWidth="1"/>
    <col min="9731" max="9731" width="1" style="132" customWidth="1"/>
    <col min="9732" max="9732" width="10.625" style="132" customWidth="1"/>
    <col min="9733" max="9741" width="11.625" style="132" customWidth="1"/>
    <col min="9742" max="9742" width="10.625" style="132" customWidth="1"/>
    <col min="9743" max="9743" width="1" style="132" customWidth="1"/>
    <col min="9744" max="9744" width="10.625" style="132" customWidth="1"/>
    <col min="9745" max="9985" width="7.5" style="132" hidden="1"/>
    <col min="9986" max="9986" width="10.625" style="132" customWidth="1"/>
    <col min="9987" max="9987" width="1" style="132" customWidth="1"/>
    <col min="9988" max="9988" width="10.625" style="132" customWidth="1"/>
    <col min="9989" max="9997" width="11.625" style="132" customWidth="1"/>
    <col min="9998" max="9998" width="10.625" style="132" customWidth="1"/>
    <col min="9999" max="9999" width="1" style="132" customWidth="1"/>
    <col min="10000" max="10000" width="10.625" style="132" customWidth="1"/>
    <col min="10001" max="10241" width="7.5" style="132" hidden="1"/>
    <col min="10242" max="10242" width="10.625" style="132" customWidth="1"/>
    <col min="10243" max="10243" width="1" style="132" customWidth="1"/>
    <col min="10244" max="10244" width="10.625" style="132" customWidth="1"/>
    <col min="10245" max="10253" width="11.625" style="132" customWidth="1"/>
    <col min="10254" max="10254" width="10.625" style="132" customWidth="1"/>
    <col min="10255" max="10255" width="1" style="132" customWidth="1"/>
    <col min="10256" max="10256" width="10.625" style="132" customWidth="1"/>
    <col min="10257" max="10497" width="7.5" style="132" hidden="1"/>
    <col min="10498" max="10498" width="10.625" style="132" customWidth="1"/>
    <col min="10499" max="10499" width="1" style="132" customWidth="1"/>
    <col min="10500" max="10500" width="10.625" style="132" customWidth="1"/>
    <col min="10501" max="10509" width="11.625" style="132" customWidth="1"/>
    <col min="10510" max="10510" width="10.625" style="132" customWidth="1"/>
    <col min="10511" max="10511" width="1" style="132" customWidth="1"/>
    <col min="10512" max="10512" width="10.625" style="132" customWidth="1"/>
    <col min="10513" max="10753" width="7.5" style="132" hidden="1"/>
    <col min="10754" max="10754" width="10.625" style="132" customWidth="1"/>
    <col min="10755" max="10755" width="1" style="132" customWidth="1"/>
    <col min="10756" max="10756" width="10.625" style="132" customWidth="1"/>
    <col min="10757" max="10765" width="11.625" style="132" customWidth="1"/>
    <col min="10766" max="10766" width="10.625" style="132" customWidth="1"/>
    <col min="10767" max="10767" width="1" style="132" customWidth="1"/>
    <col min="10768" max="10768" width="10.625" style="132" customWidth="1"/>
    <col min="10769" max="11009" width="7.5" style="132" hidden="1"/>
    <col min="11010" max="11010" width="10.625" style="132" customWidth="1"/>
    <col min="11011" max="11011" width="1" style="132" customWidth="1"/>
    <col min="11012" max="11012" width="10.625" style="132" customWidth="1"/>
    <col min="11013" max="11021" width="11.625" style="132" customWidth="1"/>
    <col min="11022" max="11022" width="10.625" style="132" customWidth="1"/>
    <col min="11023" max="11023" width="1" style="132" customWidth="1"/>
    <col min="11024" max="11024" width="10.625" style="132" customWidth="1"/>
    <col min="11025" max="11265" width="7.5" style="132" hidden="1"/>
    <col min="11266" max="11266" width="10.625" style="132" customWidth="1"/>
    <col min="11267" max="11267" width="1" style="132" customWidth="1"/>
    <col min="11268" max="11268" width="10.625" style="132" customWidth="1"/>
    <col min="11269" max="11277" width="11.625" style="132" customWidth="1"/>
    <col min="11278" max="11278" width="10.625" style="132" customWidth="1"/>
    <col min="11279" max="11279" width="1" style="132" customWidth="1"/>
    <col min="11280" max="11280" width="10.625" style="132" customWidth="1"/>
    <col min="11281" max="11521" width="7.5" style="132" hidden="1"/>
    <col min="11522" max="11522" width="10.625" style="132" customWidth="1"/>
    <col min="11523" max="11523" width="1" style="132" customWidth="1"/>
    <col min="11524" max="11524" width="10.625" style="132" customWidth="1"/>
    <col min="11525" max="11533" width="11.625" style="132" customWidth="1"/>
    <col min="11534" max="11534" width="10.625" style="132" customWidth="1"/>
    <col min="11535" max="11535" width="1" style="132" customWidth="1"/>
    <col min="11536" max="11536" width="10.625" style="132" customWidth="1"/>
    <col min="11537" max="11777" width="7.5" style="132" hidden="1"/>
    <col min="11778" max="11778" width="10.625" style="132" customWidth="1"/>
    <col min="11779" max="11779" width="1" style="132" customWidth="1"/>
    <col min="11780" max="11780" width="10.625" style="132" customWidth="1"/>
    <col min="11781" max="11789" width="11.625" style="132" customWidth="1"/>
    <col min="11790" max="11790" width="10.625" style="132" customWidth="1"/>
    <col min="11791" max="11791" width="1" style="132" customWidth="1"/>
    <col min="11792" max="11792" width="10.625" style="132" customWidth="1"/>
    <col min="11793" max="12033" width="7.5" style="132" hidden="1"/>
    <col min="12034" max="12034" width="10.625" style="132" customWidth="1"/>
    <col min="12035" max="12035" width="1" style="132" customWidth="1"/>
    <col min="12036" max="12036" width="10.625" style="132" customWidth="1"/>
    <col min="12037" max="12045" width="11.625" style="132" customWidth="1"/>
    <col min="12046" max="12046" width="10.625" style="132" customWidth="1"/>
    <col min="12047" max="12047" width="1" style="132" customWidth="1"/>
    <col min="12048" max="12048" width="10.625" style="132" customWidth="1"/>
    <col min="12049" max="12289" width="7.5" style="132" hidden="1"/>
    <col min="12290" max="12290" width="10.625" style="132" customWidth="1"/>
    <col min="12291" max="12291" width="1" style="132" customWidth="1"/>
    <col min="12292" max="12292" width="10.625" style="132" customWidth="1"/>
    <col min="12293" max="12301" width="11.625" style="132" customWidth="1"/>
    <col min="12302" max="12302" width="10.625" style="132" customWidth="1"/>
    <col min="12303" max="12303" width="1" style="132" customWidth="1"/>
    <col min="12304" max="12304" width="10.625" style="132" customWidth="1"/>
    <col min="12305" max="12545" width="7.5" style="132" hidden="1"/>
    <col min="12546" max="12546" width="10.625" style="132" customWidth="1"/>
    <col min="12547" max="12547" width="1" style="132" customWidth="1"/>
    <col min="12548" max="12548" width="10.625" style="132" customWidth="1"/>
    <col min="12549" max="12557" width="11.625" style="132" customWidth="1"/>
    <col min="12558" max="12558" width="10.625" style="132" customWidth="1"/>
    <col min="12559" max="12559" width="1" style="132" customWidth="1"/>
    <col min="12560" max="12560" width="10.625" style="132" customWidth="1"/>
    <col min="12561" max="12801" width="7.5" style="132" hidden="1"/>
    <col min="12802" max="12802" width="10.625" style="132" customWidth="1"/>
    <col min="12803" max="12803" width="1" style="132" customWidth="1"/>
    <col min="12804" max="12804" width="10.625" style="132" customWidth="1"/>
    <col min="12805" max="12813" width="11.625" style="132" customWidth="1"/>
    <col min="12814" max="12814" width="10.625" style="132" customWidth="1"/>
    <col min="12815" max="12815" width="1" style="132" customWidth="1"/>
    <col min="12816" max="12816" width="10.625" style="132" customWidth="1"/>
    <col min="12817" max="13057" width="7.5" style="132" hidden="1"/>
    <col min="13058" max="13058" width="10.625" style="132" customWidth="1"/>
    <col min="13059" max="13059" width="1" style="132" customWidth="1"/>
    <col min="13060" max="13060" width="10.625" style="132" customWidth="1"/>
    <col min="13061" max="13069" width="11.625" style="132" customWidth="1"/>
    <col min="13070" max="13070" width="10.625" style="132" customWidth="1"/>
    <col min="13071" max="13071" width="1" style="132" customWidth="1"/>
    <col min="13072" max="13072" width="10.625" style="132" customWidth="1"/>
    <col min="13073" max="13313" width="7.5" style="132" hidden="1"/>
    <col min="13314" max="13314" width="10.625" style="132" customWidth="1"/>
    <col min="13315" max="13315" width="1" style="132" customWidth="1"/>
    <col min="13316" max="13316" width="10.625" style="132" customWidth="1"/>
    <col min="13317" max="13325" width="11.625" style="132" customWidth="1"/>
    <col min="13326" max="13326" width="10.625" style="132" customWidth="1"/>
    <col min="13327" max="13327" width="1" style="132" customWidth="1"/>
    <col min="13328" max="13328" width="10.625" style="132" customWidth="1"/>
    <col min="13329" max="13569" width="7.5" style="132" hidden="1"/>
    <col min="13570" max="13570" width="10.625" style="132" customWidth="1"/>
    <col min="13571" max="13571" width="1" style="132" customWidth="1"/>
    <col min="13572" max="13572" width="10.625" style="132" customWidth="1"/>
    <col min="13573" max="13581" width="11.625" style="132" customWidth="1"/>
    <col min="13582" max="13582" width="10.625" style="132" customWidth="1"/>
    <col min="13583" max="13583" width="1" style="132" customWidth="1"/>
    <col min="13584" max="13584" width="10.625" style="132" customWidth="1"/>
    <col min="13585" max="13825" width="7.5" style="132" hidden="1"/>
    <col min="13826" max="13826" width="10.625" style="132" customWidth="1"/>
    <col min="13827" max="13827" width="1" style="132" customWidth="1"/>
    <col min="13828" max="13828" width="10.625" style="132" customWidth="1"/>
    <col min="13829" max="13837" width="11.625" style="132" customWidth="1"/>
    <col min="13838" max="13838" width="10.625" style="132" customWidth="1"/>
    <col min="13839" max="13839" width="1" style="132" customWidth="1"/>
    <col min="13840" max="13840" width="10.625" style="132" customWidth="1"/>
    <col min="13841" max="14081" width="7.5" style="132" hidden="1"/>
    <col min="14082" max="14082" width="10.625" style="132" customWidth="1"/>
    <col min="14083" max="14083" width="1" style="132" customWidth="1"/>
    <col min="14084" max="14084" width="10.625" style="132" customWidth="1"/>
    <col min="14085" max="14093" width="11.625" style="132" customWidth="1"/>
    <col min="14094" max="14094" width="10.625" style="132" customWidth="1"/>
    <col min="14095" max="14095" width="1" style="132" customWidth="1"/>
    <col min="14096" max="14096" width="10.625" style="132" customWidth="1"/>
    <col min="14097" max="14337" width="7.5" style="132" hidden="1"/>
    <col min="14338" max="14338" width="10.625" style="132" customWidth="1"/>
    <col min="14339" max="14339" width="1" style="132" customWidth="1"/>
    <col min="14340" max="14340" width="10.625" style="132" customWidth="1"/>
    <col min="14341" max="14349" width="11.625" style="132" customWidth="1"/>
    <col min="14350" max="14350" width="10.625" style="132" customWidth="1"/>
    <col min="14351" max="14351" width="1" style="132" customWidth="1"/>
    <col min="14352" max="14352" width="10.625" style="132" customWidth="1"/>
    <col min="14353" max="14593" width="7.5" style="132" hidden="1"/>
    <col min="14594" max="14594" width="10.625" style="132" customWidth="1"/>
    <col min="14595" max="14595" width="1" style="132" customWidth="1"/>
    <col min="14596" max="14596" width="10.625" style="132" customWidth="1"/>
    <col min="14597" max="14605" width="11.625" style="132" customWidth="1"/>
    <col min="14606" max="14606" width="10.625" style="132" customWidth="1"/>
    <col min="14607" max="14607" width="1" style="132" customWidth="1"/>
    <col min="14608" max="14608" width="10.625" style="132" customWidth="1"/>
    <col min="14609" max="14849" width="7.5" style="132" hidden="1"/>
    <col min="14850" max="14850" width="10.625" style="132" customWidth="1"/>
    <col min="14851" max="14851" width="1" style="132" customWidth="1"/>
    <col min="14852" max="14852" width="10.625" style="132" customWidth="1"/>
    <col min="14853" max="14861" width="11.625" style="132" customWidth="1"/>
    <col min="14862" max="14862" width="10.625" style="132" customWidth="1"/>
    <col min="14863" max="14863" width="1" style="132" customWidth="1"/>
    <col min="14864" max="14864" width="10.625" style="132" customWidth="1"/>
    <col min="14865" max="15105" width="7.5" style="132" hidden="1"/>
    <col min="15106" max="15106" width="10.625" style="132" customWidth="1"/>
    <col min="15107" max="15107" width="1" style="132" customWidth="1"/>
    <col min="15108" max="15108" width="10.625" style="132" customWidth="1"/>
    <col min="15109" max="15117" width="11.625" style="132" customWidth="1"/>
    <col min="15118" max="15118" width="10.625" style="132" customWidth="1"/>
    <col min="15119" max="15119" width="1" style="132" customWidth="1"/>
    <col min="15120" max="15120" width="10.625" style="132" customWidth="1"/>
    <col min="15121" max="15361" width="7.5" style="132" hidden="1"/>
    <col min="15362" max="15362" width="10.625" style="132" customWidth="1"/>
    <col min="15363" max="15363" width="1" style="132" customWidth="1"/>
    <col min="15364" max="15364" width="10.625" style="132" customWidth="1"/>
    <col min="15365" max="15373" width="11.625" style="132" customWidth="1"/>
    <col min="15374" max="15374" width="10.625" style="132" customWidth="1"/>
    <col min="15375" max="15375" width="1" style="132" customWidth="1"/>
    <col min="15376" max="15376" width="10.625" style="132" customWidth="1"/>
    <col min="15377" max="15617" width="7.5" style="132" hidden="1"/>
    <col min="15618" max="15618" width="10.625" style="132" customWidth="1"/>
    <col min="15619" max="15619" width="1" style="132" customWidth="1"/>
    <col min="15620" max="15620" width="10.625" style="132" customWidth="1"/>
    <col min="15621" max="15629" width="11.625" style="132" customWidth="1"/>
    <col min="15630" max="15630" width="10.625" style="132" customWidth="1"/>
    <col min="15631" max="15631" width="1" style="132" customWidth="1"/>
    <col min="15632" max="15632" width="10.625" style="132" customWidth="1"/>
    <col min="15633" max="15873" width="7.5" style="132" hidden="1"/>
    <col min="15874" max="15874" width="10.625" style="132" customWidth="1"/>
    <col min="15875" max="15875" width="1" style="132" customWidth="1"/>
    <col min="15876" max="15876" width="10.625" style="132" customWidth="1"/>
    <col min="15877" max="15885" width="11.625" style="132" customWidth="1"/>
    <col min="15886" max="15886" width="10.625" style="132" customWidth="1"/>
    <col min="15887" max="15887" width="1" style="132" customWidth="1"/>
    <col min="15888" max="15888" width="10.625" style="132" customWidth="1"/>
    <col min="15889" max="16129" width="7.5" style="132" hidden="1"/>
    <col min="16130" max="16130" width="10.625" style="132" customWidth="1"/>
    <col min="16131" max="16131" width="1" style="132" customWidth="1"/>
    <col min="16132" max="16132" width="10.625" style="132" customWidth="1"/>
    <col min="16133" max="16141" width="11.625" style="132" customWidth="1"/>
    <col min="16142" max="16142" width="10.625" style="132" customWidth="1"/>
    <col min="16143" max="16143" width="1" style="132" customWidth="1"/>
    <col min="16144" max="16144" width="10.625" style="132" customWidth="1"/>
    <col min="16145" max="16384" width="7.5" style="132" hidden="1"/>
  </cols>
  <sheetData>
    <row r="1" spans="2:16">
      <c r="B1" s="131"/>
    </row>
    <row r="2" spans="2:16">
      <c r="B2" s="47"/>
      <c r="C2" s="47"/>
      <c r="D2" s="47"/>
    </row>
    <row r="3" spans="2:16"/>
    <row r="4" spans="2:16" ht="5.0999999999999996" customHeight="1"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</row>
    <row r="5" spans="2:16"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</row>
    <row r="6" spans="2:16" ht="12.75" customHeight="1"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</row>
    <row r="7" spans="2:16" ht="12.75" customHeight="1"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</row>
    <row r="8" spans="2:16" ht="12.75" customHeight="1"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2:16" ht="9" customHeight="1">
      <c r="B9" s="133"/>
      <c r="C9" s="133"/>
      <c r="D9" s="133"/>
      <c r="E9" s="134"/>
      <c r="F9" s="134"/>
      <c r="G9" s="134"/>
      <c r="H9" s="134"/>
      <c r="I9" s="134"/>
      <c r="J9" s="134"/>
      <c r="K9" s="134"/>
      <c r="L9" s="134"/>
      <c r="M9" s="134"/>
      <c r="N9" s="133"/>
      <c r="O9" s="133"/>
    </row>
    <row r="10" spans="2:16" ht="24" customHeight="1">
      <c r="B10" s="133"/>
      <c r="C10" s="133"/>
      <c r="D10" s="133"/>
      <c r="E10" s="134"/>
      <c r="F10" s="135"/>
      <c r="G10" s="136"/>
      <c r="H10" s="136"/>
      <c r="I10" s="136"/>
      <c r="J10" s="136"/>
      <c r="K10" s="136"/>
      <c r="L10" s="136"/>
      <c r="M10" s="134"/>
      <c r="N10" s="133"/>
      <c r="O10" s="133"/>
    </row>
    <row r="11" spans="2:16" ht="24" customHeight="1">
      <c r="B11" s="133"/>
      <c r="C11" s="133"/>
      <c r="D11" s="133"/>
      <c r="E11" s="137"/>
      <c r="F11" s="136"/>
      <c r="G11" s="136"/>
      <c r="H11" s="136"/>
      <c r="I11" s="136"/>
      <c r="J11" s="136"/>
      <c r="K11" s="136"/>
      <c r="L11" s="136"/>
      <c r="M11" s="137"/>
      <c r="N11" s="133"/>
      <c r="O11" s="133"/>
    </row>
    <row r="12" spans="2:16" ht="0.95" customHeight="1">
      <c r="B12" s="138"/>
      <c r="C12" s="133"/>
      <c r="D12" s="138"/>
      <c r="E12" s="138"/>
      <c r="F12" s="139"/>
      <c r="G12" s="139"/>
      <c r="H12" s="140"/>
      <c r="I12" s="140"/>
      <c r="J12" s="140"/>
      <c r="K12" s="141"/>
      <c r="L12" s="138"/>
      <c r="M12" s="138"/>
      <c r="N12" s="138"/>
      <c r="O12" s="133"/>
      <c r="P12" s="142"/>
    </row>
    <row r="13" spans="2:16" ht="24" customHeight="1">
      <c r="B13" s="133"/>
      <c r="C13" s="133"/>
      <c r="D13" s="133"/>
      <c r="E13" s="137"/>
      <c r="F13" s="143"/>
      <c r="G13" s="143"/>
      <c r="H13" s="143"/>
      <c r="I13" s="143"/>
      <c r="J13" s="143"/>
      <c r="K13" s="143"/>
      <c r="L13" s="143"/>
      <c r="M13" s="137"/>
      <c r="N13" s="133"/>
      <c r="O13" s="133"/>
    </row>
    <row r="14" spans="2:16" ht="24" customHeight="1">
      <c r="B14" s="133"/>
      <c r="C14" s="133"/>
      <c r="D14" s="133"/>
      <c r="E14" s="137"/>
      <c r="F14" s="143"/>
      <c r="G14" s="143"/>
      <c r="H14" s="143"/>
      <c r="I14" s="143"/>
      <c r="J14" s="143"/>
      <c r="K14" s="143"/>
      <c r="L14" s="143"/>
      <c r="M14" s="137"/>
      <c r="N14" s="133"/>
      <c r="O14" s="133"/>
    </row>
    <row r="15" spans="2:16"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</row>
    <row r="16" spans="2:16"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20"/>
      <c r="O16" s="133"/>
    </row>
    <row r="17" spans="2:15"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20"/>
      <c r="O17" s="133"/>
    </row>
    <row r="18" spans="2:15"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20"/>
      <c r="O18" s="133"/>
    </row>
    <row r="19" spans="2:15" ht="13.5">
      <c r="B19" s="133"/>
      <c r="C19" s="133"/>
      <c r="D19" s="144"/>
      <c r="E19" s="145"/>
      <c r="F19" s="144"/>
      <c r="G19" s="144"/>
      <c r="H19" s="144"/>
      <c r="I19" s="144"/>
      <c r="J19" s="229"/>
      <c r="K19" s="229"/>
      <c r="L19" s="229"/>
      <c r="M19" s="229"/>
      <c r="N19" s="146"/>
      <c r="O19" s="133"/>
    </row>
    <row r="20" spans="2:15" ht="13.5">
      <c r="B20" s="133"/>
      <c r="C20" s="133"/>
      <c r="D20" s="144"/>
      <c r="E20" s="144"/>
      <c r="F20" s="144"/>
      <c r="G20" s="144"/>
      <c r="H20" s="144"/>
      <c r="I20" s="144"/>
      <c r="J20" s="229"/>
      <c r="K20" s="229"/>
      <c r="L20" s="229"/>
      <c r="M20" s="229"/>
      <c r="N20" s="144"/>
      <c r="O20" s="133"/>
    </row>
    <row r="21" spans="2:15" ht="13.5">
      <c r="B21" s="133"/>
      <c r="C21" s="133"/>
      <c r="D21" s="144"/>
      <c r="E21" s="147"/>
      <c r="F21" s="144"/>
      <c r="G21" s="148"/>
      <c r="H21" s="144"/>
      <c r="I21" s="146"/>
      <c r="J21" s="229"/>
      <c r="K21" s="229"/>
      <c r="L21" s="229"/>
      <c r="M21" s="229"/>
      <c r="N21" s="144"/>
      <c r="O21" s="133"/>
    </row>
    <row r="22" spans="2:15" ht="13.5">
      <c r="B22" s="133"/>
      <c r="C22" s="133"/>
      <c r="D22" s="144"/>
      <c r="E22" s="147"/>
      <c r="F22" s="144"/>
      <c r="G22" s="149"/>
      <c r="H22" s="144"/>
      <c r="I22" s="146"/>
      <c r="J22" s="229"/>
      <c r="K22" s="229"/>
      <c r="L22" s="229"/>
      <c r="M22" s="229"/>
      <c r="N22" s="144"/>
      <c r="O22" s="133"/>
    </row>
    <row r="23" spans="2:15" ht="13.5">
      <c r="B23" s="133"/>
      <c r="C23" s="133"/>
      <c r="D23" s="144"/>
      <c r="E23" s="147"/>
      <c r="F23" s="144"/>
      <c r="G23" s="149"/>
      <c r="H23" s="144"/>
      <c r="I23" s="146"/>
      <c r="J23" s="229"/>
      <c r="K23" s="229"/>
      <c r="L23" s="229"/>
      <c r="M23" s="229"/>
      <c r="N23" s="144"/>
      <c r="O23" s="133"/>
    </row>
    <row r="24" spans="2:15" ht="13.5">
      <c r="B24" s="133"/>
      <c r="C24" s="133"/>
      <c r="D24" s="144"/>
      <c r="E24" s="149"/>
      <c r="F24" s="146"/>
      <c r="G24" s="149"/>
      <c r="H24" s="144"/>
      <c r="I24" s="146"/>
      <c r="J24" s="229"/>
      <c r="K24" s="229"/>
      <c r="L24" s="229"/>
      <c r="M24" s="229"/>
      <c r="N24" s="144"/>
      <c r="O24" s="133"/>
    </row>
    <row r="25" spans="2:15" ht="13.5">
      <c r="B25" s="133"/>
      <c r="C25" s="133"/>
      <c r="D25" s="144"/>
      <c r="E25" s="149"/>
      <c r="F25" s="150"/>
      <c r="G25" s="149"/>
      <c r="H25" s="144"/>
      <c r="I25" s="144"/>
      <c r="J25" s="144"/>
      <c r="K25" s="144"/>
      <c r="L25" s="144"/>
      <c r="M25" s="146"/>
      <c r="N25" s="144"/>
      <c r="O25" s="133"/>
    </row>
    <row r="26" spans="2:15" ht="12.75" customHeight="1">
      <c r="B26" s="133"/>
      <c r="C26" s="133"/>
      <c r="D26" s="144"/>
      <c r="E26" s="151"/>
      <c r="F26" s="150"/>
      <c r="G26" s="152"/>
      <c r="H26" s="144"/>
      <c r="I26" s="146"/>
      <c r="J26" s="150"/>
      <c r="K26" s="146"/>
      <c r="L26" s="146"/>
      <c r="M26" s="144"/>
      <c r="N26" s="144"/>
      <c r="O26" s="133"/>
    </row>
    <row r="27" spans="2:15"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</row>
    <row r="28" spans="2:15"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</row>
    <row r="29" spans="2:15" ht="5.0999999999999996" customHeight="1">
      <c r="N29" s="153"/>
    </row>
    <row r="30" spans="2:15"/>
    <row r="31" spans="2:15"/>
    <row r="32" spans="2:15"/>
    <row r="33"/>
    <row r="34" hidden="1"/>
  </sheetData>
  <phoneticPr fontId="7" type="noConversion"/>
  <pageMargins left="0.75" right="0.75" top="1" bottom="1" header="0.5" footer="0.5"/>
  <pageSetup paperSize="9" scale="73" orientation="portrait" horizontalDpi="180" verticalDpi="18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00B0F0"/>
  </sheetPr>
  <dimension ref="B1:M27"/>
  <sheetViews>
    <sheetView showGridLines="0" zoomScale="85" zoomScaleNormal="85" workbookViewId="0">
      <pane ySplit="3" topLeftCell="A4" activePane="bottomLeft" state="frozen"/>
      <selection pane="bottomLeft" activeCell="M11" sqref="M11"/>
    </sheetView>
  </sheetViews>
  <sheetFormatPr defaultRowHeight="13.5"/>
  <cols>
    <col min="1" max="1" width="4.125" customWidth="1"/>
    <col min="2" max="2" width="1" customWidth="1"/>
    <col min="4" max="4" width="14.125" customWidth="1"/>
    <col min="10" max="10" width="34.125" customWidth="1"/>
    <col min="11" max="11" width="1" customWidth="1"/>
  </cols>
  <sheetData>
    <row r="1" spans="2:13" s="19" customFormat="1" ht="12" customHeight="1"/>
    <row r="2" spans="2:13" s="20" customFormat="1" ht="12" customHeight="1">
      <c r="C2" s="21"/>
      <c r="D2" s="22"/>
      <c r="F2" s="23"/>
      <c r="H2" s="22"/>
      <c r="I2" s="22"/>
    </row>
    <row r="3" spans="2:13" s="20" customFormat="1" ht="12" customHeight="1">
      <c r="C3" s="21"/>
      <c r="D3" s="22"/>
      <c r="H3" s="22"/>
      <c r="I3" s="22"/>
      <c r="J3" s="45"/>
      <c r="K3" s="22"/>
      <c r="L3" s="22"/>
    </row>
    <row r="4" spans="2:13" s="10" customFormat="1" ht="23.1" customHeight="1">
      <c r="C4" s="17"/>
      <c r="D4" s="15"/>
      <c r="H4" s="15"/>
      <c r="I4" s="15"/>
      <c r="J4"/>
    </row>
    <row r="5" spans="2:13" s="10" customFormat="1" ht="6" customHeight="1">
      <c r="B5" s="20"/>
      <c r="C5" s="21"/>
      <c r="D5" s="22"/>
      <c r="E5" s="20"/>
      <c r="F5" s="20"/>
      <c r="G5" s="20"/>
      <c r="H5" s="22"/>
      <c r="I5" s="22"/>
      <c r="J5" s="22"/>
      <c r="K5" s="20"/>
    </row>
    <row r="6" spans="2:13" ht="24.95" customHeight="1">
      <c r="B6" s="25"/>
      <c r="C6" s="670" t="s">
        <v>99</v>
      </c>
      <c r="D6" s="671"/>
      <c r="E6" s="671"/>
      <c r="F6" s="671"/>
      <c r="G6" s="671"/>
      <c r="H6" s="671"/>
      <c r="I6" s="671"/>
      <c r="J6" s="672"/>
      <c r="K6" s="28"/>
      <c r="L6" s="26"/>
      <c r="M6" s="26"/>
    </row>
    <row r="7" spans="2:13" ht="24.95" customHeight="1">
      <c r="B7" s="25"/>
      <c r="C7" s="685" t="s">
        <v>100</v>
      </c>
      <c r="D7" s="683"/>
      <c r="E7" s="683"/>
      <c r="F7" s="683"/>
      <c r="G7" s="683"/>
      <c r="H7" s="683"/>
      <c r="I7" s="683"/>
      <c r="J7" s="684"/>
      <c r="K7" s="28"/>
      <c r="L7" s="26"/>
      <c r="M7" s="26"/>
    </row>
    <row r="8" spans="2:13" ht="24.95" customHeight="1">
      <c r="B8" s="25"/>
      <c r="C8" s="673"/>
      <c r="D8" s="674"/>
      <c r="E8" s="674"/>
      <c r="F8" s="674"/>
      <c r="G8" s="674"/>
      <c r="H8" s="674"/>
      <c r="I8" s="674"/>
      <c r="J8" s="675"/>
      <c r="K8" s="28"/>
      <c r="L8" s="26"/>
      <c r="M8" s="26"/>
    </row>
    <row r="9" spans="2:13" ht="24.95" customHeight="1">
      <c r="B9" s="25"/>
      <c r="C9" s="676" t="s">
        <v>95</v>
      </c>
      <c r="D9" s="677"/>
      <c r="E9" s="677"/>
      <c r="F9" s="677"/>
      <c r="G9" s="677"/>
      <c r="H9" s="677"/>
      <c r="I9" s="677"/>
      <c r="J9" s="678"/>
      <c r="K9" s="28"/>
      <c r="L9" s="26"/>
      <c r="M9" s="26"/>
    </row>
    <row r="10" spans="2:13" ht="24.95" customHeight="1">
      <c r="B10" s="25"/>
      <c r="C10" s="29">
        <v>1</v>
      </c>
      <c r="D10" s="30" t="s">
        <v>18</v>
      </c>
      <c r="E10" s="679" t="s">
        <v>19</v>
      </c>
      <c r="F10" s="680"/>
      <c r="G10" s="680"/>
      <c r="H10" s="680"/>
      <c r="I10" s="680"/>
      <c r="J10" s="681"/>
      <c r="K10" s="28"/>
      <c r="L10" s="26"/>
      <c r="M10" s="26"/>
    </row>
    <row r="11" spans="2:13" ht="24.95" customHeight="1">
      <c r="B11" s="25"/>
      <c r="C11" s="31">
        <v>1</v>
      </c>
      <c r="D11" s="30" t="s">
        <v>18</v>
      </c>
      <c r="E11" s="32" t="s">
        <v>33</v>
      </c>
      <c r="F11" s="33"/>
      <c r="G11" s="34"/>
      <c r="H11" s="34"/>
      <c r="I11" s="34"/>
      <c r="J11" s="35"/>
      <c r="K11" s="28"/>
      <c r="L11" s="26"/>
      <c r="M11" s="26"/>
    </row>
    <row r="12" spans="2:13" ht="24.95" customHeight="1">
      <c r="B12" s="25"/>
      <c r="C12" s="31"/>
      <c r="D12" s="30" t="s">
        <v>20</v>
      </c>
      <c r="E12" s="32" t="s">
        <v>21</v>
      </c>
      <c r="F12" s="33"/>
      <c r="G12" s="34"/>
      <c r="H12" s="34"/>
      <c r="I12" s="34"/>
      <c r="J12" s="35"/>
      <c r="K12" s="28"/>
      <c r="L12" s="26"/>
      <c r="M12" s="26"/>
    </row>
    <row r="13" spans="2:13" ht="24.95" customHeight="1">
      <c r="B13" s="25"/>
      <c r="C13" s="673"/>
      <c r="D13" s="674"/>
      <c r="E13" s="674"/>
      <c r="F13" s="674"/>
      <c r="G13" s="674"/>
      <c r="H13" s="674"/>
      <c r="I13" s="674"/>
      <c r="J13" s="675"/>
      <c r="K13" s="28"/>
      <c r="L13" s="26"/>
      <c r="M13" s="26"/>
    </row>
    <row r="14" spans="2:13" ht="24.95" customHeight="1">
      <c r="B14" s="25"/>
      <c r="C14" s="692" t="s">
        <v>96</v>
      </c>
      <c r="D14" s="693"/>
      <c r="E14" s="693"/>
      <c r="F14" s="693"/>
      <c r="G14" s="693"/>
      <c r="H14" s="693"/>
      <c r="I14" s="693"/>
      <c r="J14" s="694"/>
      <c r="K14" s="28"/>
      <c r="L14" s="26"/>
      <c r="M14" s="26"/>
    </row>
    <row r="15" spans="2:13" ht="24.95" customHeight="1">
      <c r="B15" s="25"/>
      <c r="C15" s="167" t="s">
        <v>30</v>
      </c>
      <c r="D15" s="39" t="s">
        <v>36</v>
      </c>
      <c r="E15" s="165" t="s">
        <v>102</v>
      </c>
      <c r="F15" s="686"/>
      <c r="G15" s="687"/>
      <c r="H15" s="687"/>
      <c r="I15" s="687"/>
      <c r="J15" s="687"/>
      <c r="K15" s="28"/>
      <c r="L15" s="26"/>
      <c r="M15" s="26"/>
    </row>
    <row r="16" spans="2:13" ht="24.95" customHeight="1">
      <c r="B16" s="25"/>
      <c r="C16" s="164" t="s">
        <v>31</v>
      </c>
      <c r="D16" s="39" t="s">
        <v>36</v>
      </c>
      <c r="E16" s="166" t="s">
        <v>71</v>
      </c>
      <c r="F16" s="688"/>
      <c r="G16" s="689"/>
      <c r="H16" s="689"/>
      <c r="I16" s="689"/>
      <c r="J16" s="689"/>
      <c r="K16" s="28"/>
      <c r="L16" s="26"/>
      <c r="M16" s="26"/>
    </row>
    <row r="17" spans="2:13" ht="24.95" customHeight="1">
      <c r="B17" s="25"/>
      <c r="C17" s="36" t="s">
        <v>32</v>
      </c>
      <c r="D17" s="39" t="s">
        <v>36</v>
      </c>
      <c r="E17" s="37" t="s">
        <v>70</v>
      </c>
      <c r="F17" s="690"/>
      <c r="G17" s="691"/>
      <c r="H17" s="691"/>
      <c r="I17" s="691"/>
      <c r="J17" s="691"/>
      <c r="K17" s="28"/>
      <c r="L17" s="26"/>
      <c r="M17" s="26"/>
    </row>
    <row r="18" spans="2:13" ht="24.95" customHeight="1">
      <c r="B18" s="25"/>
      <c r="C18" s="673"/>
      <c r="D18" s="674"/>
      <c r="E18" s="674"/>
      <c r="F18" s="674"/>
      <c r="G18" s="674"/>
      <c r="H18" s="674"/>
      <c r="I18" s="674"/>
      <c r="J18" s="675"/>
      <c r="K18" s="28"/>
      <c r="L18" s="26"/>
      <c r="M18" s="26"/>
    </row>
    <row r="19" spans="2:13" ht="24.95" customHeight="1">
      <c r="B19" s="25"/>
      <c r="C19" s="38" t="s">
        <v>97</v>
      </c>
      <c r="D19" s="33"/>
      <c r="E19" s="34"/>
      <c r="F19" s="34"/>
      <c r="G19" s="34"/>
      <c r="H19" s="34"/>
      <c r="I19" s="34"/>
      <c r="J19" s="35"/>
      <c r="K19" s="28"/>
      <c r="L19" s="26"/>
      <c r="M19" s="26"/>
    </row>
    <row r="20" spans="2:13" ht="24.95" customHeight="1">
      <c r="B20" s="25"/>
      <c r="C20" s="682" t="s">
        <v>78</v>
      </c>
      <c r="D20" s="683"/>
      <c r="E20" s="683"/>
      <c r="F20" s="683"/>
      <c r="G20" s="683"/>
      <c r="H20" s="683"/>
      <c r="I20" s="683"/>
      <c r="J20" s="684"/>
      <c r="K20" s="28"/>
      <c r="L20" s="26"/>
      <c r="M20" s="26"/>
    </row>
    <row r="21" spans="2:13" ht="24.95" customHeight="1">
      <c r="B21" s="25"/>
      <c r="C21" s="682" t="s">
        <v>79</v>
      </c>
      <c r="D21" s="683"/>
      <c r="E21" s="683"/>
      <c r="F21" s="683"/>
      <c r="G21" s="683"/>
      <c r="H21" s="683"/>
      <c r="I21" s="683"/>
      <c r="J21" s="684"/>
      <c r="K21" s="28"/>
      <c r="L21" s="26"/>
      <c r="M21" s="26"/>
    </row>
    <row r="22" spans="2:13" ht="24.95" customHeight="1">
      <c r="B22" s="25"/>
      <c r="C22" s="682" t="s">
        <v>34</v>
      </c>
      <c r="D22" s="683"/>
      <c r="E22" s="683"/>
      <c r="F22" s="683"/>
      <c r="G22" s="683"/>
      <c r="H22" s="683"/>
      <c r="I22" s="683"/>
      <c r="J22" s="684"/>
      <c r="K22" s="28"/>
      <c r="L22" s="26"/>
      <c r="M22" s="26"/>
    </row>
    <row r="23" spans="2:13" ht="24.95" customHeight="1">
      <c r="B23" s="25"/>
      <c r="C23" s="682" t="s">
        <v>98</v>
      </c>
      <c r="D23" s="683"/>
      <c r="E23" s="683"/>
      <c r="F23" s="683"/>
      <c r="G23" s="683"/>
      <c r="H23" s="683"/>
      <c r="I23" s="683"/>
      <c r="J23" s="684"/>
      <c r="K23" s="28"/>
      <c r="L23" s="26"/>
      <c r="M23" s="26"/>
    </row>
    <row r="24" spans="2:13" ht="24.95" customHeight="1">
      <c r="B24" s="25"/>
      <c r="C24" s="682" t="s">
        <v>35</v>
      </c>
      <c r="D24" s="683"/>
      <c r="E24" s="683"/>
      <c r="F24" s="683"/>
      <c r="G24" s="683"/>
      <c r="H24" s="683"/>
      <c r="I24" s="683"/>
      <c r="J24" s="684"/>
      <c r="K24" s="28"/>
      <c r="L24" s="26"/>
      <c r="M24" s="26"/>
    </row>
    <row r="25" spans="2:13" ht="24.95" customHeight="1">
      <c r="B25" s="25"/>
      <c r="C25" s="682" t="s">
        <v>80</v>
      </c>
      <c r="D25" s="683"/>
      <c r="E25" s="683"/>
      <c r="F25" s="683"/>
      <c r="G25" s="683"/>
      <c r="H25" s="683"/>
      <c r="I25" s="683"/>
      <c r="J25" s="684"/>
      <c r="K25" s="28"/>
      <c r="L25" s="26"/>
      <c r="M25" s="26"/>
    </row>
    <row r="26" spans="2:13" ht="6" customHeight="1">
      <c r="B26" s="25"/>
      <c r="C26" s="27"/>
      <c r="D26" s="27"/>
      <c r="E26" s="27"/>
      <c r="F26" s="27"/>
      <c r="G26" s="27"/>
      <c r="H26" s="27"/>
      <c r="I26" s="27"/>
      <c r="J26" s="28"/>
      <c r="K26" s="28"/>
      <c r="L26" s="26"/>
      <c r="M26" s="26"/>
    </row>
    <row r="27" spans="2:13">
      <c r="K27" s="26"/>
      <c r="L27" s="26"/>
      <c r="M27" s="26"/>
    </row>
  </sheetData>
  <mergeCells count="15">
    <mergeCell ref="C6:J6"/>
    <mergeCell ref="C8:J8"/>
    <mergeCell ref="C9:J9"/>
    <mergeCell ref="E10:J10"/>
    <mergeCell ref="C25:J25"/>
    <mergeCell ref="C7:J7"/>
    <mergeCell ref="F15:J17"/>
    <mergeCell ref="C18:J18"/>
    <mergeCell ref="C20:J20"/>
    <mergeCell ref="C21:J21"/>
    <mergeCell ref="C22:J22"/>
    <mergeCell ref="C24:J24"/>
    <mergeCell ref="C13:J13"/>
    <mergeCell ref="C14:J14"/>
    <mergeCell ref="C23:J23"/>
  </mergeCells>
  <phoneticPr fontId="18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BN238"/>
  <sheetViews>
    <sheetView showGridLines="0" zoomScale="80" zoomScaleNormal="80" workbookViewId="0">
      <pane xSplit="2" ySplit="2" topLeftCell="W36" activePane="bottomRight" state="frozen"/>
      <selection activeCell="E103" activeCellId="1" sqref="N81 E103"/>
      <selection pane="topRight" activeCell="E103" activeCellId="1" sqref="N81 E103"/>
      <selection pane="bottomLeft" activeCell="E103" activeCellId="1" sqref="N81 E103"/>
      <selection pane="bottomRight" activeCell="AD46" sqref="AD46"/>
    </sheetView>
  </sheetViews>
  <sheetFormatPr defaultColWidth="9" defaultRowHeight="16.5" outlineLevelRow="1" outlineLevelCol="1"/>
  <cols>
    <col min="1" max="1" width="4.25" style="450" customWidth="1"/>
    <col min="2" max="2" width="27.875" style="256" customWidth="1"/>
    <col min="3" max="4" width="9" style="256" hidden="1" customWidth="1" outlineLevel="1"/>
    <col min="5" max="5" width="9" style="256" customWidth="1" collapsed="1"/>
    <col min="6" max="7" width="9" style="256" customWidth="1"/>
    <col min="8" max="11" width="9" style="256" customWidth="1" outlineLevel="1"/>
    <col min="12" max="12" width="9" style="462" customWidth="1"/>
    <col min="13" max="20" width="9" style="256" hidden="1" customWidth="1" outlineLevel="1"/>
    <col min="21" max="21" width="9" style="256" collapsed="1"/>
    <col min="22" max="32" width="9" style="256"/>
    <col min="33" max="48" width="9" style="256" customWidth="1" outlineLevel="1"/>
    <col min="49" max="49" width="9" style="450" customWidth="1"/>
    <col min="50" max="56" width="9" style="256" customWidth="1"/>
    <col min="57" max="57" width="8.625" style="256" customWidth="1"/>
    <col min="58" max="58" width="6.875" style="256" customWidth="1"/>
    <col min="59" max="59" width="7.375" style="256" customWidth="1"/>
    <col min="60" max="60" width="6.5" style="256" customWidth="1"/>
    <col min="61" max="61" width="6.625" style="256" customWidth="1"/>
    <col min="62" max="65" width="7" style="256" customWidth="1"/>
    <col min="66" max="16384" width="9" style="256"/>
  </cols>
  <sheetData>
    <row r="1" spans="1:66">
      <c r="A1" s="583" t="s">
        <v>274</v>
      </c>
    </row>
    <row r="2" spans="1:66">
      <c r="C2" s="256">
        <v>2015</v>
      </c>
      <c r="D2" s="256">
        <v>2016</v>
      </c>
      <c r="E2" s="256">
        <v>2017</v>
      </c>
      <c r="F2" s="256">
        <v>2018</v>
      </c>
      <c r="G2" s="257" t="s">
        <v>1061</v>
      </c>
      <c r="H2" s="257" t="s">
        <v>128</v>
      </c>
      <c r="I2" s="257" t="s">
        <v>151</v>
      </c>
      <c r="J2" s="257" t="s">
        <v>152</v>
      </c>
      <c r="K2" s="257" t="s">
        <v>1062</v>
      </c>
      <c r="M2" s="257" t="s">
        <v>275</v>
      </c>
      <c r="N2" s="257" t="s">
        <v>276</v>
      </c>
      <c r="O2" s="257" t="s">
        <v>277</v>
      </c>
      <c r="P2" s="257" t="s">
        <v>278</v>
      </c>
      <c r="Q2" s="257" t="s">
        <v>279</v>
      </c>
      <c r="R2" s="257" t="s">
        <v>280</v>
      </c>
      <c r="S2" s="257" t="s">
        <v>281</v>
      </c>
      <c r="T2" s="257" t="s">
        <v>282</v>
      </c>
      <c r="U2" s="257" t="s">
        <v>283</v>
      </c>
      <c r="V2" s="257" t="s">
        <v>284</v>
      </c>
      <c r="W2" s="257" t="s">
        <v>285</v>
      </c>
      <c r="X2" s="257" t="s">
        <v>286</v>
      </c>
      <c r="Y2" s="257" t="s">
        <v>287</v>
      </c>
      <c r="Z2" s="257" t="s">
        <v>288</v>
      </c>
      <c r="AA2" s="257" t="s">
        <v>289</v>
      </c>
      <c r="AB2" s="257" t="s">
        <v>290</v>
      </c>
      <c r="AC2" s="257" t="s">
        <v>1063</v>
      </c>
      <c r="AD2" s="257" t="s">
        <v>1064</v>
      </c>
      <c r="AE2" s="257" t="s">
        <v>1065</v>
      </c>
      <c r="AF2" s="257" t="s">
        <v>1066</v>
      </c>
      <c r="AG2" s="257" t="s">
        <v>1067</v>
      </c>
      <c r="AH2" s="257" t="s">
        <v>1068</v>
      </c>
      <c r="AI2" s="257" t="s">
        <v>1069</v>
      </c>
      <c r="AJ2" s="257" t="s">
        <v>1070</v>
      </c>
      <c r="AK2" s="257" t="s">
        <v>1071</v>
      </c>
      <c r="AL2" s="257" t="s">
        <v>1072</v>
      </c>
      <c r="AM2" s="257" t="s">
        <v>1073</v>
      </c>
      <c r="AN2" s="257" t="s">
        <v>1074</v>
      </c>
      <c r="AO2" s="257" t="s">
        <v>1075</v>
      </c>
      <c r="AP2" s="257" t="s">
        <v>1076</v>
      </c>
      <c r="AQ2" s="257" t="s">
        <v>1077</v>
      </c>
      <c r="AR2" s="257" t="s">
        <v>1078</v>
      </c>
      <c r="AS2" s="257" t="s">
        <v>1079</v>
      </c>
      <c r="AT2" s="257" t="s">
        <v>1080</v>
      </c>
      <c r="AU2" s="257" t="s">
        <v>1081</v>
      </c>
      <c r="AV2" s="257" t="s">
        <v>1082</v>
      </c>
      <c r="BI2" s="257"/>
      <c r="BJ2" s="257"/>
      <c r="BK2" s="257"/>
      <c r="BL2" s="257"/>
      <c r="BM2" s="257"/>
    </row>
    <row r="3" spans="1:66">
      <c r="B3" s="557" t="s">
        <v>1008</v>
      </c>
      <c r="C3" s="557"/>
      <c r="D3" s="557"/>
      <c r="E3" s="557"/>
      <c r="F3" s="557"/>
      <c r="G3" s="557"/>
      <c r="H3" s="557"/>
      <c r="I3" s="557"/>
      <c r="J3" s="557"/>
      <c r="K3" s="632"/>
      <c r="L3" s="605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  <c r="AN3" s="447"/>
      <c r="AO3" s="447"/>
      <c r="AP3" s="447"/>
      <c r="AQ3" s="447"/>
      <c r="AR3" s="447"/>
      <c r="AS3" s="622"/>
      <c r="AT3" s="622"/>
      <c r="AU3" s="622"/>
      <c r="AV3" s="622"/>
      <c r="BF3" s="259"/>
      <c r="BG3" s="259"/>
      <c r="BH3" s="259"/>
      <c r="BI3" s="259"/>
      <c r="BJ3" s="259"/>
      <c r="BK3" s="259"/>
      <c r="BL3" s="259"/>
      <c r="BM3" s="259"/>
      <c r="BN3" s="259"/>
    </row>
    <row r="4" spans="1:66">
      <c r="A4" s="583"/>
      <c r="B4" s="450" t="s">
        <v>307</v>
      </c>
      <c r="C4" s="448">
        <f>P4</f>
        <v>8.5310000000000006</v>
      </c>
      <c r="D4" s="448">
        <f>T4</f>
        <v>8.6850000000000005</v>
      </c>
      <c r="E4" s="448">
        <f>X4</f>
        <v>7.8339999999999996</v>
      </c>
      <c r="F4" s="448">
        <f>AB4</f>
        <v>8.0709999999999997</v>
      </c>
      <c r="G4" s="448">
        <f>AF4</f>
        <v>8.1032840000000004</v>
      </c>
      <c r="H4" s="448">
        <f>AJ4</f>
        <v>8.1194905679999998</v>
      </c>
      <c r="I4" s="448">
        <f>AN4</f>
        <v>8.1357295491360002</v>
      </c>
      <c r="J4" s="448">
        <f>AR4</f>
        <v>8.1520010082342722</v>
      </c>
      <c r="K4" s="448">
        <f>AV4</f>
        <v>8.1683050102507408</v>
      </c>
      <c r="M4" s="448">
        <v>8.3179999999999996</v>
      </c>
      <c r="N4" s="448">
        <v>8.4339999999999993</v>
      </c>
      <c r="O4" s="448">
        <v>8.5969999999999995</v>
      </c>
      <c r="P4" s="448">
        <v>8.5310000000000006</v>
      </c>
      <c r="Q4" s="448">
        <v>8.7710000000000008</v>
      </c>
      <c r="R4" s="448">
        <v>8.99</v>
      </c>
      <c r="S4" s="448">
        <v>8.7669999999999995</v>
      </c>
      <c r="T4" s="448">
        <v>8.6850000000000005</v>
      </c>
      <c r="U4" s="448">
        <v>8.6059999999999999</v>
      </c>
      <c r="V4" s="448">
        <v>8.0549999999999997</v>
      </c>
      <c r="W4" s="448">
        <v>8.4320000000000004</v>
      </c>
      <c r="X4" s="448">
        <v>7.8339999999999996</v>
      </c>
      <c r="Y4" s="448">
        <v>8.0549999999999997</v>
      </c>
      <c r="Z4" s="448">
        <v>8.032</v>
      </c>
      <c r="AA4" s="448">
        <v>8.0259999999999998</v>
      </c>
      <c r="AB4" s="448">
        <v>8.0709999999999997</v>
      </c>
      <c r="AC4" s="448">
        <f t="shared" ref="AC4:AQ10" si="0">Y4*(1+AC12)</f>
        <v>8.1355500000000003</v>
      </c>
      <c r="AD4" s="448">
        <f t="shared" si="0"/>
        <v>8.0962560000000003</v>
      </c>
      <c r="AE4" s="448">
        <f t="shared" si="0"/>
        <v>8.0741560000000003</v>
      </c>
      <c r="AF4" s="448">
        <f t="shared" si="0"/>
        <v>8.1032840000000004</v>
      </c>
      <c r="AG4" s="448">
        <f t="shared" si="0"/>
        <v>8.1518211000000012</v>
      </c>
      <c r="AH4" s="448">
        <f t="shared" si="0"/>
        <v>8.1124485120000003</v>
      </c>
      <c r="AI4" s="448">
        <f t="shared" si="0"/>
        <v>8.0903043120000007</v>
      </c>
      <c r="AJ4" s="448">
        <f t="shared" si="0"/>
        <v>8.1194905679999998</v>
      </c>
      <c r="AK4" s="448">
        <f t="shared" si="0"/>
        <v>8.1681247422000016</v>
      </c>
      <c r="AL4" s="448">
        <f t="shared" si="0"/>
        <v>8.1286734090239996</v>
      </c>
      <c r="AM4" s="448">
        <f t="shared" si="0"/>
        <v>8.1064849206240002</v>
      </c>
      <c r="AN4" s="448">
        <f t="shared" si="0"/>
        <v>8.1357295491360002</v>
      </c>
      <c r="AO4" s="448">
        <f t="shared" si="0"/>
        <v>8.1844609916844018</v>
      </c>
      <c r="AP4" s="448">
        <f t="shared" si="0"/>
        <v>8.1449307558420472</v>
      </c>
      <c r="AQ4" s="448">
        <f t="shared" si="0"/>
        <v>8.1226978904652487</v>
      </c>
      <c r="AR4" s="448">
        <f>AN4*(1+AR12)</f>
        <v>8.1520010082342722</v>
      </c>
      <c r="AS4" s="448">
        <f t="shared" ref="AS4:AV4" si="1">AO4*(1+AS12)</f>
        <v>8.2008299136677714</v>
      </c>
      <c r="AT4" s="448">
        <f t="shared" si="1"/>
        <v>8.1612206173537309</v>
      </c>
      <c r="AU4" s="448">
        <f t="shared" si="1"/>
        <v>8.1389432862461799</v>
      </c>
      <c r="AV4" s="448">
        <f t="shared" si="1"/>
        <v>8.1683050102507408</v>
      </c>
      <c r="BH4" s="261"/>
      <c r="BI4" s="261"/>
      <c r="BJ4" s="261"/>
      <c r="BK4" s="261"/>
      <c r="BL4" s="261"/>
      <c r="BM4" s="261"/>
      <c r="BN4" s="259"/>
    </row>
    <row r="5" spans="1:66">
      <c r="A5" s="583"/>
      <c r="B5" s="450" t="s">
        <v>308</v>
      </c>
      <c r="C5" s="448">
        <f t="shared" ref="C5:C10" si="2">P5</f>
        <v>6.415</v>
      </c>
      <c r="D5" s="448">
        <f t="shared" ref="D5:D10" si="3">T5</f>
        <v>6.5250000000000004</v>
      </c>
      <c r="E5" s="448">
        <f t="shared" ref="E5:E10" si="4">X5</f>
        <v>6.83</v>
      </c>
      <c r="F5" s="448">
        <f t="shared" ref="F5:F10" si="5">AB5</f>
        <v>6.9980000000000002</v>
      </c>
      <c r="G5" s="448">
        <f t="shared" ref="G5:G10" si="6">AF5</f>
        <v>7.0245924000000004</v>
      </c>
      <c r="H5" s="448">
        <f t="shared" ref="H5:H10" si="7">AJ5</f>
        <v>7.0379391255600003</v>
      </c>
      <c r="I5" s="448">
        <f t="shared" ref="I5:I10" si="8">AN5</f>
        <v>7.0513112098985644</v>
      </c>
      <c r="J5" s="448">
        <f t="shared" ref="J5:J10" si="9">AR5</f>
        <v>7.0647087011973717</v>
      </c>
      <c r="K5" s="448">
        <f t="shared" ref="K5:K10" si="10">AV5</f>
        <v>7.0781316477296468</v>
      </c>
      <c r="M5" s="448">
        <v>6.032</v>
      </c>
      <c r="N5" s="448">
        <v>6.27</v>
      </c>
      <c r="O5" s="448">
        <v>6.391</v>
      </c>
      <c r="P5" s="448">
        <v>6.415</v>
      </c>
      <c r="Q5" s="448">
        <v>6.58</v>
      </c>
      <c r="R5" s="448">
        <v>6.665</v>
      </c>
      <c r="S5" s="448">
        <v>6.4720000000000004</v>
      </c>
      <c r="T5" s="448">
        <v>6.5250000000000004</v>
      </c>
      <c r="U5" s="448">
        <v>6.83</v>
      </c>
      <c r="V5" s="448">
        <v>6.9409999999999998</v>
      </c>
      <c r="W5" s="448">
        <v>6.5289999999999999</v>
      </c>
      <c r="X5" s="448">
        <v>6.83</v>
      </c>
      <c r="Y5" s="448">
        <v>6.9409999999999998</v>
      </c>
      <c r="Z5" s="448">
        <v>7.0860000000000003</v>
      </c>
      <c r="AA5" s="448">
        <v>6.9790000000000001</v>
      </c>
      <c r="AB5" s="448">
        <v>6.9980000000000002</v>
      </c>
      <c r="AC5" s="448">
        <f t="shared" si="0"/>
        <v>7.0069395000000005</v>
      </c>
      <c r="AD5" s="448">
        <f t="shared" si="0"/>
        <v>7.1398536000000004</v>
      </c>
      <c r="AE5" s="448">
        <f t="shared" si="0"/>
        <v>7.0187803000000004</v>
      </c>
      <c r="AF5" s="448">
        <f t="shared" si="0"/>
        <v>7.0245924000000004</v>
      </c>
      <c r="AG5" s="448">
        <f t="shared" si="0"/>
        <v>7.0202526850500009</v>
      </c>
      <c r="AH5" s="448">
        <f t="shared" si="0"/>
        <v>7.1534193218400004</v>
      </c>
      <c r="AI5" s="448">
        <f t="shared" si="0"/>
        <v>7.0321159825700006</v>
      </c>
      <c r="AJ5" s="448">
        <f t="shared" si="0"/>
        <v>7.0379391255600003</v>
      </c>
      <c r="AK5" s="448">
        <f t="shared" si="0"/>
        <v>7.0335911651515959</v>
      </c>
      <c r="AL5" s="448">
        <f t="shared" si="0"/>
        <v>7.1670108185514962</v>
      </c>
      <c r="AM5" s="448">
        <f t="shared" si="0"/>
        <v>7.0454770029368836</v>
      </c>
      <c r="AN5" s="448">
        <f t="shared" si="0"/>
        <v>7.0513112098985644</v>
      </c>
      <c r="AO5" s="448">
        <f t="shared" si="0"/>
        <v>7.0469549883653837</v>
      </c>
      <c r="AP5" s="448">
        <f t="shared" si="0"/>
        <v>7.1806281391067444</v>
      </c>
      <c r="AQ5" s="448">
        <f t="shared" si="0"/>
        <v>7.0588634092424636</v>
      </c>
      <c r="AR5" s="448">
        <f>AN5*(1+AR13)</f>
        <v>7.0647087011973717</v>
      </c>
      <c r="AS5" s="448">
        <f t="shared" ref="AS5:AV5" si="11">AO5*(1+AS13)</f>
        <v>7.0603442028432779</v>
      </c>
      <c r="AT5" s="448">
        <f t="shared" si="11"/>
        <v>7.1942713325710477</v>
      </c>
      <c r="AU5" s="448">
        <f t="shared" si="11"/>
        <v>7.0722752497200245</v>
      </c>
      <c r="AV5" s="448">
        <f t="shared" si="11"/>
        <v>7.0781316477296468</v>
      </c>
      <c r="BH5" s="261"/>
      <c r="BI5" s="261"/>
      <c r="BJ5" s="261"/>
      <c r="BK5" s="261"/>
      <c r="BL5" s="261"/>
      <c r="BM5" s="261"/>
      <c r="BN5" s="259"/>
    </row>
    <row r="6" spans="1:66">
      <c r="A6" s="583"/>
      <c r="B6" s="450" t="s">
        <v>309</v>
      </c>
      <c r="C6" s="448">
        <f t="shared" si="2"/>
        <v>6.97</v>
      </c>
      <c r="D6" s="448">
        <f t="shared" si="3"/>
        <v>8.8930000000000007</v>
      </c>
      <c r="E6" s="448">
        <f t="shared" si="4"/>
        <v>9.8859999999999992</v>
      </c>
      <c r="F6" s="448">
        <f t="shared" si="5"/>
        <v>10.976000000000001</v>
      </c>
      <c r="G6" s="448">
        <f t="shared" si="6"/>
        <v>11.085760000000001</v>
      </c>
      <c r="H6" s="448">
        <f t="shared" si="7"/>
        <v>11.174446080000001</v>
      </c>
      <c r="I6" s="448">
        <f t="shared" si="8"/>
        <v>11.263841648640001</v>
      </c>
      <c r="J6" s="448">
        <f t="shared" si="9"/>
        <v>11.342688540180481</v>
      </c>
      <c r="K6" s="448">
        <f t="shared" si="10"/>
        <v>11.410744671421563</v>
      </c>
      <c r="M6" s="448">
        <v>5.4939999999999998</v>
      </c>
      <c r="N6" s="448">
        <v>6</v>
      </c>
      <c r="O6" s="448">
        <v>6.4950000000000001</v>
      </c>
      <c r="P6" s="448">
        <v>6.97</v>
      </c>
      <c r="Q6" s="448">
        <v>7.6239999999999997</v>
      </c>
      <c r="R6" s="448">
        <v>8.0570000000000004</v>
      </c>
      <c r="S6" s="448">
        <v>8.4610000000000003</v>
      </c>
      <c r="T6" s="448">
        <v>8.8930000000000007</v>
      </c>
      <c r="U6" s="448">
        <v>9.8859999999999992</v>
      </c>
      <c r="V6" s="448">
        <v>10.4</v>
      </c>
      <c r="W6" s="448">
        <v>9.8000000000000007</v>
      </c>
      <c r="X6" s="448">
        <v>9.8859999999999992</v>
      </c>
      <c r="Y6" s="448">
        <v>10.4</v>
      </c>
      <c r="Z6" s="448">
        <v>10.577</v>
      </c>
      <c r="AA6" s="448">
        <v>10.824999999999999</v>
      </c>
      <c r="AB6" s="448">
        <v>10.976000000000001</v>
      </c>
      <c r="AC6" s="448">
        <f t="shared" si="0"/>
        <v>11.024000000000001</v>
      </c>
      <c r="AD6" s="448">
        <f t="shared" si="0"/>
        <v>11.052964999999999</v>
      </c>
      <c r="AE6" s="448">
        <f t="shared" si="0"/>
        <v>11.06315</v>
      </c>
      <c r="AF6" s="448">
        <f t="shared" si="0"/>
        <v>11.085760000000001</v>
      </c>
      <c r="AG6" s="448">
        <f t="shared" si="0"/>
        <v>11.112192</v>
      </c>
      <c r="AH6" s="448">
        <f t="shared" si="0"/>
        <v>11.141388719999998</v>
      </c>
      <c r="AI6" s="448">
        <f t="shared" si="0"/>
        <v>11.1516552</v>
      </c>
      <c r="AJ6" s="448">
        <f t="shared" si="0"/>
        <v>11.174446080000001</v>
      </c>
      <c r="AK6" s="448">
        <f t="shared" si="0"/>
        <v>11.201089536</v>
      </c>
      <c r="AL6" s="448">
        <f t="shared" si="0"/>
        <v>11.230519829759999</v>
      </c>
      <c r="AM6" s="448">
        <f t="shared" si="0"/>
        <v>11.2408684416</v>
      </c>
      <c r="AN6" s="448">
        <f t="shared" si="0"/>
        <v>11.263841648640001</v>
      </c>
      <c r="AO6" s="448">
        <f t="shared" si="0"/>
        <v>11.279497162751998</v>
      </c>
      <c r="AP6" s="448">
        <f t="shared" si="0"/>
        <v>11.309133468568318</v>
      </c>
      <c r="AQ6" s="448">
        <f t="shared" si="0"/>
        <v>11.319554520691199</v>
      </c>
      <c r="AR6" s="448">
        <f>AN6*(1+AR14)</f>
        <v>11.342688540180481</v>
      </c>
      <c r="AS6" s="448">
        <f t="shared" ref="AS6:AV6" si="12">AO6*(1+AS14)</f>
        <v>11.347174145728509</v>
      </c>
      <c r="AT6" s="448">
        <f t="shared" si="12"/>
        <v>11.376988269379728</v>
      </c>
      <c r="AU6" s="448">
        <f t="shared" si="12"/>
        <v>11.387471847815346</v>
      </c>
      <c r="AV6" s="448">
        <f t="shared" si="12"/>
        <v>11.410744671421563</v>
      </c>
      <c r="BF6" s="262"/>
      <c r="BG6" s="262"/>
      <c r="BH6" s="260"/>
      <c r="BI6" s="260"/>
      <c r="BJ6" s="260"/>
      <c r="BK6" s="261"/>
      <c r="BL6" s="260"/>
      <c r="BM6" s="260"/>
      <c r="BN6" s="259"/>
    </row>
    <row r="7" spans="1:66">
      <c r="A7" s="583"/>
      <c r="B7" s="450" t="s">
        <v>310</v>
      </c>
      <c r="C7" s="448">
        <f t="shared" si="2"/>
        <v>6.4009999999999998</v>
      </c>
      <c r="D7" s="448">
        <f t="shared" si="3"/>
        <v>6.38</v>
      </c>
      <c r="E7" s="448">
        <f t="shared" si="4"/>
        <v>5.633</v>
      </c>
      <c r="F7" s="448">
        <f t="shared" si="5"/>
        <v>0</v>
      </c>
      <c r="G7" s="448">
        <f t="shared" si="6"/>
        <v>0</v>
      </c>
      <c r="H7" s="448">
        <f t="shared" si="7"/>
        <v>0</v>
      </c>
      <c r="I7" s="448">
        <f t="shared" si="8"/>
        <v>0</v>
      </c>
      <c r="J7" s="448">
        <f t="shared" si="9"/>
        <v>0</v>
      </c>
      <c r="K7" s="448">
        <f t="shared" si="10"/>
        <v>0</v>
      </c>
      <c r="M7" s="448">
        <v>6.6790000000000003</v>
      </c>
      <c r="N7" s="448">
        <v>6.5919999999999996</v>
      </c>
      <c r="O7" s="448">
        <v>6.5309999999999997</v>
      </c>
      <c r="P7" s="448">
        <v>6.4009999999999998</v>
      </c>
      <c r="Q7" s="448">
        <v>6.4790000000000001</v>
      </c>
      <c r="R7" s="448">
        <v>6.5149999999999997</v>
      </c>
      <c r="S7" s="448">
        <v>6.319</v>
      </c>
      <c r="T7" s="448">
        <v>6.38</v>
      </c>
      <c r="U7" s="448">
        <v>5.633</v>
      </c>
      <c r="V7" s="448">
        <v>5.6230000000000002</v>
      </c>
      <c r="W7" s="448">
        <v>5.6840000000000002</v>
      </c>
      <c r="X7" s="448">
        <v>5.633</v>
      </c>
      <c r="Y7" s="448">
        <v>5.6230000000000002</v>
      </c>
      <c r="Z7" s="448">
        <v>5.4829999999999997</v>
      </c>
      <c r="AA7" s="448"/>
      <c r="AB7" s="448"/>
      <c r="AC7" s="448"/>
      <c r="AD7" s="448"/>
      <c r="AE7" s="448"/>
      <c r="AF7" s="448"/>
      <c r="AG7" s="448"/>
      <c r="AH7" s="448"/>
      <c r="AI7" s="448"/>
      <c r="AJ7" s="448"/>
      <c r="AK7" s="448"/>
      <c r="AL7" s="448"/>
      <c r="AM7" s="448"/>
      <c r="AN7" s="448"/>
      <c r="AO7" s="448"/>
      <c r="AP7" s="448"/>
      <c r="AQ7" s="448"/>
      <c r="AR7" s="448"/>
      <c r="AS7" s="448"/>
      <c r="AT7" s="448"/>
      <c r="AU7" s="448"/>
      <c r="AV7" s="448"/>
      <c r="BH7" s="261"/>
      <c r="BI7" s="261"/>
      <c r="BJ7" s="261"/>
      <c r="BK7" s="261"/>
      <c r="BL7" s="261"/>
      <c r="BM7" s="261"/>
      <c r="BN7" s="259"/>
    </row>
    <row r="8" spans="1:66">
      <c r="A8" s="583"/>
      <c r="B8" s="450" t="s">
        <v>311</v>
      </c>
      <c r="C8" s="448">
        <f t="shared" si="2"/>
        <v>5.7290000000000001</v>
      </c>
      <c r="D8" s="448">
        <f t="shared" si="3"/>
        <v>5.952</v>
      </c>
      <c r="E8" s="448">
        <f t="shared" si="4"/>
        <v>5.54</v>
      </c>
      <c r="F8" s="448">
        <f t="shared" si="5"/>
        <v>5.3239999999999998</v>
      </c>
      <c r="G8" s="448">
        <f t="shared" si="6"/>
        <v>5.2707600000000001</v>
      </c>
      <c r="H8" s="448">
        <f t="shared" si="7"/>
        <v>5.2180524000000004</v>
      </c>
      <c r="I8" s="448">
        <f t="shared" si="8"/>
        <v>5.1658718760000006</v>
      </c>
      <c r="J8" s="448">
        <f t="shared" si="9"/>
        <v>5.1142131572400009</v>
      </c>
      <c r="K8" s="448">
        <f t="shared" si="10"/>
        <v>5.0630710256676013</v>
      </c>
      <c r="M8" s="448">
        <v>5.6760000000000002</v>
      </c>
      <c r="N8" s="448">
        <v>5.7350000000000003</v>
      </c>
      <c r="O8" s="448">
        <v>5.7679999999999998</v>
      </c>
      <c r="P8" s="448">
        <v>5.7290000000000001</v>
      </c>
      <c r="Q8" s="448">
        <v>5.8780000000000001</v>
      </c>
      <c r="R8" s="448">
        <v>5.9580000000000002</v>
      </c>
      <c r="S8" s="448">
        <v>5.8360000000000003</v>
      </c>
      <c r="T8" s="448">
        <v>5.952</v>
      </c>
      <c r="U8" s="448">
        <v>5.54</v>
      </c>
      <c r="V8" s="448">
        <v>5.55</v>
      </c>
      <c r="W8" s="448">
        <v>5.5179999999999998</v>
      </c>
      <c r="X8" s="448">
        <v>5.54</v>
      </c>
      <c r="Y8" s="448">
        <v>5.5</v>
      </c>
      <c r="Z8" s="448">
        <v>5.4269999999999996</v>
      </c>
      <c r="AA8" s="448">
        <v>5.3109999999999999</v>
      </c>
      <c r="AB8" s="448">
        <v>5.3239999999999998</v>
      </c>
      <c r="AC8" s="448">
        <f t="shared" si="0"/>
        <v>5.4450000000000003</v>
      </c>
      <c r="AD8" s="448">
        <f t="shared" si="0"/>
        <v>5.3727299999999998</v>
      </c>
      <c r="AE8" s="448">
        <f t="shared" si="0"/>
        <v>5.2578899999999997</v>
      </c>
      <c r="AF8" s="448">
        <f t="shared" si="0"/>
        <v>5.2707600000000001</v>
      </c>
      <c r="AG8" s="448">
        <f t="shared" si="0"/>
        <v>5.3905500000000002</v>
      </c>
      <c r="AH8" s="448">
        <f t="shared" si="0"/>
        <v>5.3190026999999995</v>
      </c>
      <c r="AI8" s="448">
        <f t="shared" si="0"/>
        <v>5.2053110999999994</v>
      </c>
      <c r="AJ8" s="448">
        <f t="shared" si="0"/>
        <v>5.2180524000000004</v>
      </c>
      <c r="AK8" s="448">
        <f t="shared" si="0"/>
        <v>5.3366445000000002</v>
      </c>
      <c r="AL8" s="448">
        <f t="shared" si="0"/>
        <v>5.2658126729999992</v>
      </c>
      <c r="AM8" s="448">
        <f t="shared" si="0"/>
        <v>5.1532579889999992</v>
      </c>
      <c r="AN8" s="448">
        <f t="shared" si="0"/>
        <v>5.1658718760000006</v>
      </c>
      <c r="AO8" s="448">
        <f t="shared" si="0"/>
        <v>5.2832780550000003</v>
      </c>
      <c r="AP8" s="448">
        <f t="shared" si="0"/>
        <v>5.2131545462699993</v>
      </c>
      <c r="AQ8" s="448">
        <f t="shared" si="0"/>
        <v>5.1017254091099993</v>
      </c>
      <c r="AR8" s="448">
        <f>AN8*(1+AR16)</f>
        <v>5.1142131572400009</v>
      </c>
      <c r="AS8" s="448">
        <f t="shared" ref="AS8:AV8" si="13">AO8*(1+AS16)</f>
        <v>5.2304452744500001</v>
      </c>
      <c r="AT8" s="448">
        <f t="shared" si="13"/>
        <v>5.1610230008072993</v>
      </c>
      <c r="AU8" s="448">
        <f t="shared" si="13"/>
        <v>5.0507081550188992</v>
      </c>
      <c r="AV8" s="448">
        <f t="shared" si="13"/>
        <v>5.0630710256676013</v>
      </c>
      <c r="BH8" s="261"/>
      <c r="BI8" s="261"/>
      <c r="BJ8" s="261"/>
      <c r="BK8" s="261"/>
      <c r="BL8" s="261"/>
      <c r="BM8" s="261"/>
      <c r="BN8" s="259"/>
    </row>
    <row r="9" spans="1:66">
      <c r="A9" s="583"/>
      <c r="B9" s="450" t="s">
        <v>312</v>
      </c>
      <c r="C9" s="448">
        <f t="shared" si="2"/>
        <v>0</v>
      </c>
      <c r="D9" s="448">
        <f t="shared" si="3"/>
        <v>0</v>
      </c>
      <c r="E9" s="448">
        <f t="shared" si="4"/>
        <v>5.8768333333333338</v>
      </c>
      <c r="F9" s="448">
        <f t="shared" si="5"/>
        <v>5.4489999999999998</v>
      </c>
      <c r="G9" s="448">
        <f t="shared" si="6"/>
        <v>5.5579799999999997</v>
      </c>
      <c r="H9" s="448">
        <f t="shared" si="7"/>
        <v>5.8358790000000003</v>
      </c>
      <c r="I9" s="448">
        <f t="shared" si="8"/>
        <v>5.9525965800000007</v>
      </c>
      <c r="J9" s="448">
        <f t="shared" si="9"/>
        <v>6.0716485116000012</v>
      </c>
      <c r="K9" s="448">
        <f t="shared" si="10"/>
        <v>6.3752309371800013</v>
      </c>
      <c r="M9" s="448"/>
      <c r="N9" s="448"/>
      <c r="O9" s="448"/>
      <c r="P9" s="448"/>
      <c r="Q9" s="448"/>
      <c r="R9" s="448"/>
      <c r="S9" s="448"/>
      <c r="T9" s="448"/>
      <c r="U9" s="448"/>
      <c r="V9" s="448">
        <v>5.5026999999999999</v>
      </c>
      <c r="W9" s="448">
        <v>5.5535666666666668</v>
      </c>
      <c r="X9" s="448">
        <v>5.8768333333333338</v>
      </c>
      <c r="Y9" s="448">
        <v>6.0147333333333339</v>
      </c>
      <c r="Z9" s="448">
        <v>5.9961666666666664</v>
      </c>
      <c r="AA9" s="448">
        <f t="shared" ref="AA9:AJ10" ca="1" si="14">W9*(1+AA17)</f>
        <v>6.0515949130023037</v>
      </c>
      <c r="AB9" s="448">
        <v>5.4489999999999998</v>
      </c>
      <c r="AC9" s="448">
        <f t="shared" si="14"/>
        <v>5.7139966666666666</v>
      </c>
      <c r="AD9" s="448">
        <f t="shared" si="14"/>
        <v>6.0561283333333336</v>
      </c>
      <c r="AE9" s="448">
        <f t="shared" ca="1" si="14"/>
        <v>6.1726268112623499</v>
      </c>
      <c r="AF9" s="448">
        <f t="shared" si="14"/>
        <v>5.5579799999999997</v>
      </c>
      <c r="AG9" s="448">
        <f t="shared" si="14"/>
        <v>5.8282765999999997</v>
      </c>
      <c r="AH9" s="448">
        <f t="shared" si="14"/>
        <v>6.1772509000000007</v>
      </c>
      <c r="AI9" s="448">
        <f t="shared" ca="1" si="14"/>
        <v>6.2034899453186609</v>
      </c>
      <c r="AJ9" s="448">
        <f t="shared" si="14"/>
        <v>5.8358790000000003</v>
      </c>
      <c r="AK9" s="448">
        <f t="shared" si="0"/>
        <v>5.9448421319999998</v>
      </c>
      <c r="AL9" s="448">
        <f t="shared" si="0"/>
        <v>6.2390234090000005</v>
      </c>
      <c r="AM9" s="448">
        <f t="shared" ca="1" si="0"/>
        <v>6.2655248447718472</v>
      </c>
      <c r="AN9" s="448">
        <f t="shared" si="0"/>
        <v>5.9525965800000007</v>
      </c>
      <c r="AO9" s="448">
        <f t="shared" si="0"/>
        <v>6.0637389746399997</v>
      </c>
      <c r="AP9" s="448">
        <f t="shared" si="0"/>
        <v>6.2702185260450003</v>
      </c>
      <c r="AQ9" s="448">
        <f t="shared" ca="1" si="0"/>
        <v>6.2968524689957057</v>
      </c>
      <c r="AR9" s="448">
        <f>AN9*(1+AR17)</f>
        <v>6.0716485116000012</v>
      </c>
      <c r="AS9" s="448">
        <f t="shared" ref="AS9:AV9" si="15">AO9*(1+AS17)</f>
        <v>6.1850137541327994</v>
      </c>
      <c r="AT9" s="448">
        <f t="shared" si="15"/>
        <v>6.3015696186752246</v>
      </c>
      <c r="AU9" s="448">
        <f t="shared" ca="1" si="15"/>
        <v>6.3283367313406833</v>
      </c>
      <c r="AV9" s="448">
        <f t="shared" si="15"/>
        <v>6.3752309371800013</v>
      </c>
      <c r="BH9" s="263"/>
      <c r="BI9" s="263"/>
      <c r="BJ9" s="263"/>
      <c r="BK9" s="263"/>
      <c r="BL9" s="263"/>
      <c r="BM9" s="263"/>
      <c r="BN9" s="259"/>
    </row>
    <row r="10" spans="1:66">
      <c r="B10" s="450" t="s">
        <v>314</v>
      </c>
      <c r="C10" s="448">
        <f t="shared" si="2"/>
        <v>0.94599999999999995</v>
      </c>
      <c r="D10" s="448">
        <f t="shared" si="3"/>
        <v>1.1020000000000001</v>
      </c>
      <c r="E10" s="448">
        <f t="shared" si="4"/>
        <v>1.3460000000000001</v>
      </c>
      <c r="F10" s="448">
        <f t="shared" si="5"/>
        <v>1.603</v>
      </c>
      <c r="G10" s="448">
        <f t="shared" si="6"/>
        <v>1.8915399999999998</v>
      </c>
      <c r="H10" s="448">
        <f t="shared" si="7"/>
        <v>2.1941863999999995</v>
      </c>
      <c r="I10" s="448">
        <f t="shared" si="8"/>
        <v>2.5013724959999997</v>
      </c>
      <c r="J10" s="448">
        <f t="shared" si="9"/>
        <v>2.8015371955199999</v>
      </c>
      <c r="K10" s="448">
        <f t="shared" si="10"/>
        <v>3.081690915072</v>
      </c>
      <c r="M10" s="448">
        <v>0.81699999999999995</v>
      </c>
      <c r="N10" s="448">
        <v>1.0840000000000001</v>
      </c>
      <c r="O10" s="448">
        <v>0.88500000000000001</v>
      </c>
      <c r="P10" s="448">
        <v>0.94599999999999995</v>
      </c>
      <c r="Q10" s="448">
        <v>1.0840000000000001</v>
      </c>
      <c r="R10" s="448">
        <v>1.0509999999999999</v>
      </c>
      <c r="S10" s="448">
        <v>1.05</v>
      </c>
      <c r="T10" s="448">
        <v>1.1020000000000001</v>
      </c>
      <c r="U10" s="448">
        <v>1.19</v>
      </c>
      <c r="V10" s="448">
        <v>1.181</v>
      </c>
      <c r="W10" s="448">
        <v>1.2529999999999999</v>
      </c>
      <c r="X10" s="448">
        <v>1.3460000000000001</v>
      </c>
      <c r="Y10" s="448">
        <v>1.4710000000000001</v>
      </c>
      <c r="Z10" s="448">
        <v>1.5389999999999999</v>
      </c>
      <c r="AA10" s="449">
        <v>1.5409999999999999</v>
      </c>
      <c r="AB10" s="448">
        <v>1.603</v>
      </c>
      <c r="AC10" s="448">
        <f t="shared" si="14"/>
        <v>1.7357800000000001</v>
      </c>
      <c r="AD10" s="448">
        <f t="shared" si="14"/>
        <v>1.8160199999999997</v>
      </c>
      <c r="AE10" s="448">
        <f t="shared" si="14"/>
        <v>1.8183799999999999</v>
      </c>
      <c r="AF10" s="448">
        <f t="shared" si="14"/>
        <v>1.8915399999999998</v>
      </c>
      <c r="AG10" s="448">
        <f t="shared" si="14"/>
        <v>2.0135047999999998</v>
      </c>
      <c r="AH10" s="448">
        <f t="shared" si="14"/>
        <v>2.1065831999999998</v>
      </c>
      <c r="AI10" s="448">
        <f t="shared" si="14"/>
        <v>2.1093207999999999</v>
      </c>
      <c r="AJ10" s="448">
        <f t="shared" si="14"/>
        <v>2.1941863999999995</v>
      </c>
      <c r="AK10" s="448">
        <f t="shared" si="0"/>
        <v>2.295395472</v>
      </c>
      <c r="AL10" s="448">
        <f t="shared" si="0"/>
        <v>2.4015048480000001</v>
      </c>
      <c r="AM10" s="448">
        <f t="shared" si="0"/>
        <v>2.4046257120000001</v>
      </c>
      <c r="AN10" s="448">
        <f t="shared" si="0"/>
        <v>2.5013724959999997</v>
      </c>
      <c r="AO10" s="448">
        <f t="shared" si="0"/>
        <v>2.5708429286400003</v>
      </c>
      <c r="AP10" s="448">
        <f t="shared" si="0"/>
        <v>2.6896854297600004</v>
      </c>
      <c r="AQ10" s="448">
        <f t="shared" si="0"/>
        <v>2.6931807974400002</v>
      </c>
      <c r="AR10" s="448">
        <f>AN10*(1+AR18)</f>
        <v>2.8015371955199999</v>
      </c>
      <c r="AS10" s="448">
        <f t="shared" ref="AS10:AV10" si="16">AO10*(1+AS18)</f>
        <v>2.8279272215040008</v>
      </c>
      <c r="AT10" s="448">
        <f t="shared" si="16"/>
        <v>2.9586539727360006</v>
      </c>
      <c r="AU10" s="448">
        <f t="shared" si="16"/>
        <v>2.9624988771840006</v>
      </c>
      <c r="AV10" s="448">
        <f t="shared" si="16"/>
        <v>3.081690915072</v>
      </c>
    </row>
    <row r="11" spans="1:66">
      <c r="B11" s="558" t="s">
        <v>315</v>
      </c>
      <c r="C11" s="558"/>
      <c r="D11" s="558"/>
      <c r="E11" s="558"/>
      <c r="F11" s="558"/>
      <c r="G11" s="558"/>
      <c r="H11" s="558"/>
      <c r="I11" s="558"/>
      <c r="J11" s="558"/>
      <c r="K11" s="558"/>
      <c r="L11" s="590"/>
      <c r="M11" s="450"/>
      <c r="N11" s="451"/>
      <c r="O11" s="451"/>
      <c r="P11" s="451"/>
      <c r="Q11" s="451"/>
      <c r="R11" s="451"/>
      <c r="S11" s="451"/>
      <c r="T11" s="451"/>
      <c r="U11" s="451"/>
      <c r="V11" s="451"/>
      <c r="W11" s="451"/>
      <c r="X11" s="451"/>
      <c r="Y11" s="451"/>
      <c r="Z11" s="451"/>
      <c r="AA11" s="451"/>
      <c r="AB11" s="620"/>
      <c r="AC11" s="451"/>
      <c r="AD11" s="451"/>
      <c r="AE11" s="451"/>
      <c r="AF11" s="451"/>
      <c r="AG11" s="451"/>
      <c r="AH11" s="451"/>
      <c r="AI11" s="451"/>
      <c r="AJ11" s="451"/>
      <c r="AK11" s="450"/>
      <c r="AL11" s="450"/>
      <c r="AM11" s="450"/>
      <c r="AN11" s="450"/>
      <c r="AO11" s="450"/>
      <c r="AP11" s="450"/>
      <c r="AQ11" s="450"/>
      <c r="AR11" s="450"/>
      <c r="AS11" s="450"/>
      <c r="AT11" s="450"/>
      <c r="AU11" s="450"/>
      <c r="AV11" s="450"/>
    </row>
    <row r="12" spans="1:66">
      <c r="B12" s="559" t="s">
        <v>1009</v>
      </c>
      <c r="C12" s="559"/>
      <c r="D12" s="452">
        <f>D4/C4-1</f>
        <v>1.8051811042081756E-2</v>
      </c>
      <c r="E12" s="452">
        <f t="shared" ref="E12:K12" si="17">E4/D4-1</f>
        <v>-9.7985031663788247E-2</v>
      </c>
      <c r="F12" s="452">
        <f t="shared" si="17"/>
        <v>3.0252744447281099E-2</v>
      </c>
      <c r="G12" s="452">
        <f t="shared" si="17"/>
        <v>4.0000000000000036E-3</v>
      </c>
      <c r="H12" s="452">
        <f t="shared" si="17"/>
        <v>2.0000000000000018E-3</v>
      </c>
      <c r="I12" s="452">
        <f t="shared" si="17"/>
        <v>2.0000000000000018E-3</v>
      </c>
      <c r="J12" s="452">
        <f t="shared" si="17"/>
        <v>2.0000000000000018E-3</v>
      </c>
      <c r="K12" s="452">
        <f t="shared" si="17"/>
        <v>2.0000000000000018E-3</v>
      </c>
      <c r="L12" s="591"/>
      <c r="M12" s="450"/>
      <c r="N12" s="450"/>
      <c r="O12" s="450"/>
      <c r="P12" s="450"/>
      <c r="Q12" s="452">
        <f t="shared" ref="Q12:AB16" si="18">Q4/M4-1</f>
        <v>5.446020678047625E-2</v>
      </c>
      <c r="R12" s="452">
        <f t="shared" si="18"/>
        <v>6.5923642399810412E-2</v>
      </c>
      <c r="S12" s="452">
        <f t="shared" si="18"/>
        <v>1.9774339886006631E-2</v>
      </c>
      <c r="T12" s="452">
        <f t="shared" si="18"/>
        <v>1.8051811042081756E-2</v>
      </c>
      <c r="U12" s="452">
        <f t="shared" si="18"/>
        <v>-1.8811994071371685E-2</v>
      </c>
      <c r="V12" s="452">
        <f t="shared" si="18"/>
        <v>-0.10400444938820919</v>
      </c>
      <c r="W12" s="452">
        <f t="shared" si="18"/>
        <v>-3.8211474848865001E-2</v>
      </c>
      <c r="X12" s="452">
        <f t="shared" si="18"/>
        <v>-9.7985031663788247E-2</v>
      </c>
      <c r="Y12" s="452">
        <f t="shared" si="18"/>
        <v>-6.4025098768301203E-2</v>
      </c>
      <c r="Z12" s="452">
        <f t="shared" si="18"/>
        <v>-2.8553693358162047E-3</v>
      </c>
      <c r="AA12" s="452">
        <f t="shared" si="18"/>
        <v>-4.814990512333972E-2</v>
      </c>
      <c r="AB12" s="452">
        <f t="shared" si="18"/>
        <v>3.0252744447281099E-2</v>
      </c>
      <c r="AC12" s="453">
        <v>0.01</v>
      </c>
      <c r="AD12" s="453">
        <f t="shared" ref="AD12:AG12" si="19">AC12-0.002</f>
        <v>8.0000000000000002E-3</v>
      </c>
      <c r="AE12" s="453">
        <f t="shared" si="19"/>
        <v>6.0000000000000001E-3</v>
      </c>
      <c r="AF12" s="453">
        <f t="shared" si="19"/>
        <v>4.0000000000000001E-3</v>
      </c>
      <c r="AG12" s="453">
        <f t="shared" si="19"/>
        <v>2E-3</v>
      </c>
      <c r="AH12" s="453">
        <f>AG12</f>
        <v>2E-3</v>
      </c>
      <c r="AI12" s="453">
        <f t="shared" ref="AI12:AV12" si="20">AH12</f>
        <v>2E-3</v>
      </c>
      <c r="AJ12" s="453">
        <f t="shared" si="20"/>
        <v>2E-3</v>
      </c>
      <c r="AK12" s="453">
        <f t="shared" si="20"/>
        <v>2E-3</v>
      </c>
      <c r="AL12" s="453">
        <f t="shared" si="20"/>
        <v>2E-3</v>
      </c>
      <c r="AM12" s="453">
        <f t="shared" si="20"/>
        <v>2E-3</v>
      </c>
      <c r="AN12" s="453">
        <f t="shared" si="20"/>
        <v>2E-3</v>
      </c>
      <c r="AO12" s="453">
        <f t="shared" si="20"/>
        <v>2E-3</v>
      </c>
      <c r="AP12" s="453">
        <f t="shared" si="20"/>
        <v>2E-3</v>
      </c>
      <c r="AQ12" s="453">
        <f t="shared" si="20"/>
        <v>2E-3</v>
      </c>
      <c r="AR12" s="453">
        <f t="shared" si="20"/>
        <v>2E-3</v>
      </c>
      <c r="AS12" s="453">
        <f t="shared" si="20"/>
        <v>2E-3</v>
      </c>
      <c r="AT12" s="453">
        <f t="shared" si="20"/>
        <v>2E-3</v>
      </c>
      <c r="AU12" s="453">
        <f t="shared" si="20"/>
        <v>2E-3</v>
      </c>
      <c r="AV12" s="453">
        <f t="shared" si="20"/>
        <v>2E-3</v>
      </c>
    </row>
    <row r="13" spans="1:66">
      <c r="A13" s="558"/>
      <c r="B13" s="559" t="s">
        <v>1010</v>
      </c>
      <c r="C13" s="559"/>
      <c r="D13" s="452">
        <f t="shared" ref="D13:K13" si="21">D5/C5-1</f>
        <v>1.7147310989867437E-2</v>
      </c>
      <c r="E13" s="452">
        <f t="shared" si="21"/>
        <v>4.6743295019157083E-2</v>
      </c>
      <c r="F13" s="452">
        <f t="shared" si="21"/>
        <v>2.4597364568081925E-2</v>
      </c>
      <c r="G13" s="452">
        <f t="shared" si="21"/>
        <v>3.8000000000000256E-3</v>
      </c>
      <c r="H13" s="452">
        <f t="shared" si="21"/>
        <v>1.9000000000000128E-3</v>
      </c>
      <c r="I13" s="452">
        <f t="shared" si="21"/>
        <v>1.9000000000000128E-3</v>
      </c>
      <c r="J13" s="452">
        <f t="shared" si="21"/>
        <v>1.9000000000000128E-3</v>
      </c>
      <c r="K13" s="452">
        <f t="shared" si="21"/>
        <v>1.9000000000000128E-3</v>
      </c>
      <c r="L13" s="591"/>
      <c r="M13" s="450"/>
      <c r="N13" s="450"/>
      <c r="O13" s="450"/>
      <c r="P13" s="450"/>
      <c r="Q13" s="452">
        <f t="shared" si="18"/>
        <v>9.0848806366047752E-2</v>
      </c>
      <c r="R13" s="452">
        <f t="shared" si="18"/>
        <v>6.2998405103668276E-2</v>
      </c>
      <c r="S13" s="452">
        <f t="shared" si="18"/>
        <v>1.2674072915036749E-2</v>
      </c>
      <c r="T13" s="452">
        <f t="shared" si="18"/>
        <v>1.7147310989867437E-2</v>
      </c>
      <c r="U13" s="452">
        <f t="shared" si="18"/>
        <v>3.7993920972644313E-2</v>
      </c>
      <c r="V13" s="452">
        <f t="shared" si="18"/>
        <v>4.141035258814707E-2</v>
      </c>
      <c r="W13" s="452">
        <f t="shared" si="18"/>
        <v>8.807169344870136E-3</v>
      </c>
      <c r="X13" s="452">
        <f t="shared" si="18"/>
        <v>4.6743295019157083E-2</v>
      </c>
      <c r="Y13" s="452">
        <f t="shared" si="18"/>
        <v>1.6251830161054137E-2</v>
      </c>
      <c r="Z13" s="452">
        <f t="shared" si="18"/>
        <v>2.0890361619363196E-2</v>
      </c>
      <c r="AA13" s="452">
        <f t="shared" si="18"/>
        <v>6.8923265431153347E-2</v>
      </c>
      <c r="AB13" s="452">
        <f t="shared" si="18"/>
        <v>2.4597364568081925E-2</v>
      </c>
      <c r="AC13" s="453">
        <f>AC12*0.95</f>
        <v>9.4999999999999998E-3</v>
      </c>
      <c r="AD13" s="453">
        <f t="shared" ref="AD13:AV13" si="22">AD12*0.95</f>
        <v>7.6E-3</v>
      </c>
      <c r="AE13" s="453">
        <f t="shared" si="22"/>
        <v>5.7000000000000002E-3</v>
      </c>
      <c r="AF13" s="453">
        <f t="shared" si="22"/>
        <v>3.8E-3</v>
      </c>
      <c r="AG13" s="453">
        <f t="shared" si="22"/>
        <v>1.9E-3</v>
      </c>
      <c r="AH13" s="453">
        <f t="shared" si="22"/>
        <v>1.9E-3</v>
      </c>
      <c r="AI13" s="453">
        <f t="shared" si="22"/>
        <v>1.9E-3</v>
      </c>
      <c r="AJ13" s="453">
        <f t="shared" si="22"/>
        <v>1.9E-3</v>
      </c>
      <c r="AK13" s="453">
        <f t="shared" si="22"/>
        <v>1.9E-3</v>
      </c>
      <c r="AL13" s="453">
        <f t="shared" si="22"/>
        <v>1.9E-3</v>
      </c>
      <c r="AM13" s="453">
        <f t="shared" si="22"/>
        <v>1.9E-3</v>
      </c>
      <c r="AN13" s="453">
        <f t="shared" si="22"/>
        <v>1.9E-3</v>
      </c>
      <c r="AO13" s="453">
        <f t="shared" si="22"/>
        <v>1.9E-3</v>
      </c>
      <c r="AP13" s="453">
        <f t="shared" si="22"/>
        <v>1.9E-3</v>
      </c>
      <c r="AQ13" s="453">
        <f t="shared" si="22"/>
        <v>1.9E-3</v>
      </c>
      <c r="AR13" s="453">
        <f t="shared" si="22"/>
        <v>1.9E-3</v>
      </c>
      <c r="AS13" s="453">
        <f t="shared" si="22"/>
        <v>1.9E-3</v>
      </c>
      <c r="AT13" s="453">
        <f t="shared" si="22"/>
        <v>1.9E-3</v>
      </c>
      <c r="AU13" s="453">
        <f t="shared" si="22"/>
        <v>1.9E-3</v>
      </c>
      <c r="AV13" s="453">
        <f t="shared" si="22"/>
        <v>1.9E-3</v>
      </c>
    </row>
    <row r="14" spans="1:66">
      <c r="A14" s="558"/>
      <c r="B14" s="559" t="s">
        <v>1011</v>
      </c>
      <c r="C14" s="559"/>
      <c r="D14" s="452">
        <f t="shared" ref="D14:K14" si="23">D6/C6-1</f>
        <v>0.27589670014347223</v>
      </c>
      <c r="E14" s="452">
        <f t="shared" si="23"/>
        <v>0.11166085685370497</v>
      </c>
      <c r="F14" s="452">
        <f t="shared" si="23"/>
        <v>0.11025692899049178</v>
      </c>
      <c r="G14" s="452">
        <f t="shared" si="23"/>
        <v>1.0000000000000009E-2</v>
      </c>
      <c r="H14" s="452">
        <f t="shared" si="23"/>
        <v>8.0000000000000071E-3</v>
      </c>
      <c r="I14" s="452">
        <f t="shared" si="23"/>
        <v>8.0000000000000071E-3</v>
      </c>
      <c r="J14" s="452">
        <f t="shared" si="23"/>
        <v>6.9999999999998952E-3</v>
      </c>
      <c r="K14" s="452">
        <f t="shared" si="23"/>
        <v>6.0000000000000053E-3</v>
      </c>
      <c r="L14" s="591"/>
      <c r="M14" s="450"/>
      <c r="N14" s="450"/>
      <c r="O14" s="450"/>
      <c r="P14" s="450"/>
      <c r="Q14" s="452">
        <f t="shared" si="18"/>
        <v>0.38769566800145605</v>
      </c>
      <c r="R14" s="452">
        <f t="shared" si="18"/>
        <v>0.34283333333333332</v>
      </c>
      <c r="S14" s="452">
        <f t="shared" si="18"/>
        <v>0.30269438029253282</v>
      </c>
      <c r="T14" s="452">
        <f t="shared" si="18"/>
        <v>0.27589670014347223</v>
      </c>
      <c r="U14" s="452">
        <f t="shared" si="18"/>
        <v>0.29669464847848892</v>
      </c>
      <c r="V14" s="452">
        <f t="shared" si="18"/>
        <v>0.29080302842248984</v>
      </c>
      <c r="W14" s="452">
        <f t="shared" si="18"/>
        <v>0.15825552535161336</v>
      </c>
      <c r="X14" s="452">
        <f t="shared" si="18"/>
        <v>0.11166085685370497</v>
      </c>
      <c r="Y14" s="452">
        <f t="shared" si="18"/>
        <v>5.1992716973497943E-2</v>
      </c>
      <c r="Z14" s="452">
        <f t="shared" si="18"/>
        <v>1.7019230769230731E-2</v>
      </c>
      <c r="AA14" s="452">
        <f t="shared" si="18"/>
        <v>0.10459183673469363</v>
      </c>
      <c r="AB14" s="452">
        <f t="shared" si="18"/>
        <v>0.11025692899049178</v>
      </c>
      <c r="AC14" s="453">
        <v>0.06</v>
      </c>
      <c r="AD14" s="453">
        <v>4.4999999999999998E-2</v>
      </c>
      <c r="AE14" s="453">
        <v>2.1999999999999999E-2</v>
      </c>
      <c r="AF14" s="453">
        <v>0.01</v>
      </c>
      <c r="AG14" s="453">
        <v>8.0000000000000002E-3</v>
      </c>
      <c r="AH14" s="453">
        <v>8.0000000000000002E-3</v>
      </c>
      <c r="AI14" s="453">
        <v>8.0000000000000002E-3</v>
      </c>
      <c r="AJ14" s="453">
        <v>8.0000000000000002E-3</v>
      </c>
      <c r="AK14" s="453">
        <v>8.0000000000000002E-3</v>
      </c>
      <c r="AL14" s="453">
        <v>8.0000000000000002E-3</v>
      </c>
      <c r="AM14" s="453">
        <v>8.0000000000000002E-3</v>
      </c>
      <c r="AN14" s="453">
        <v>8.0000000000000002E-3</v>
      </c>
      <c r="AO14" s="453">
        <v>7.0000000000000001E-3</v>
      </c>
      <c r="AP14" s="453">
        <v>7.0000000000000001E-3</v>
      </c>
      <c r="AQ14" s="453">
        <v>7.0000000000000001E-3</v>
      </c>
      <c r="AR14" s="453">
        <v>7.0000000000000001E-3</v>
      </c>
      <c r="AS14" s="453">
        <v>6.0000000000000001E-3</v>
      </c>
      <c r="AT14" s="453">
        <v>6.0000000000000001E-3</v>
      </c>
      <c r="AU14" s="453">
        <v>6.0000000000000001E-3</v>
      </c>
      <c r="AV14" s="453">
        <v>6.0000000000000001E-3</v>
      </c>
    </row>
    <row r="15" spans="1:66">
      <c r="A15" s="558"/>
      <c r="B15" s="559" t="s">
        <v>1012</v>
      </c>
      <c r="C15" s="559"/>
      <c r="D15" s="452">
        <f t="shared" ref="D15:E15" si="24">D7/C7-1</f>
        <v>-3.2807373847836274E-3</v>
      </c>
      <c r="E15" s="452">
        <f t="shared" si="24"/>
        <v>-0.11708463949843262</v>
      </c>
      <c r="F15" s="452"/>
      <c r="G15" s="452"/>
      <c r="H15" s="452"/>
      <c r="I15" s="452"/>
      <c r="J15" s="452"/>
      <c r="K15" s="452"/>
      <c r="L15" s="591"/>
      <c r="M15" s="450"/>
      <c r="N15" s="450"/>
      <c r="O15" s="450"/>
      <c r="P15" s="450"/>
      <c r="Q15" s="452">
        <f t="shared" si="18"/>
        <v>-2.9944602485401983E-2</v>
      </c>
      <c r="R15" s="452">
        <f t="shared" si="18"/>
        <v>-1.1680825242718407E-2</v>
      </c>
      <c r="S15" s="452">
        <f t="shared" si="18"/>
        <v>-3.2460572653498665E-2</v>
      </c>
      <c r="T15" s="452">
        <f t="shared" si="18"/>
        <v>-3.2807373847836274E-3</v>
      </c>
      <c r="U15" s="452">
        <f t="shared" si="18"/>
        <v>-0.13057570612748881</v>
      </c>
      <c r="V15" s="452">
        <f t="shared" si="18"/>
        <v>-0.13691481197237132</v>
      </c>
      <c r="W15" s="452">
        <f t="shared" si="18"/>
        <v>-0.10049058395315713</v>
      </c>
      <c r="X15" s="452">
        <f t="shared" si="18"/>
        <v>-0.11708463949843262</v>
      </c>
      <c r="Y15" s="452">
        <f t="shared" si="18"/>
        <v>-1.7752529735487466E-3</v>
      </c>
      <c r="Z15" s="452">
        <f t="shared" si="18"/>
        <v>-2.4897741419171338E-2</v>
      </c>
      <c r="AA15" s="452"/>
      <c r="AB15" s="454"/>
      <c r="AC15" s="454"/>
      <c r="AD15" s="454"/>
      <c r="AE15" s="454"/>
      <c r="AF15" s="454"/>
      <c r="AG15" s="454"/>
      <c r="AH15" s="454"/>
      <c r="AI15" s="454"/>
      <c r="AJ15" s="454"/>
      <c r="AK15" s="454"/>
      <c r="AL15" s="454"/>
      <c r="AM15" s="454"/>
      <c r="AN15" s="454"/>
      <c r="AO15" s="454"/>
      <c r="AP15" s="454"/>
      <c r="AQ15" s="454"/>
      <c r="AR15" s="454"/>
      <c r="AS15" s="454"/>
      <c r="AT15" s="454"/>
      <c r="AU15" s="454"/>
      <c r="AV15" s="454"/>
    </row>
    <row r="16" spans="1:66">
      <c r="A16" s="558"/>
      <c r="B16" s="559" t="s">
        <v>1013</v>
      </c>
      <c r="C16" s="559"/>
      <c r="D16" s="452">
        <f t="shared" ref="D16:K16" si="25">D8/C8-1</f>
        <v>3.8924768720544511E-2</v>
      </c>
      <c r="E16" s="452">
        <f t="shared" si="25"/>
        <v>-6.9220430107526876E-2</v>
      </c>
      <c r="F16" s="452">
        <f t="shared" si="25"/>
        <v>-3.8989169675090252E-2</v>
      </c>
      <c r="G16" s="452">
        <f t="shared" si="25"/>
        <v>-9.9999999999998979E-3</v>
      </c>
      <c r="H16" s="452">
        <f t="shared" si="25"/>
        <v>-9.9999999999998979E-3</v>
      </c>
      <c r="I16" s="452">
        <f t="shared" si="25"/>
        <v>-9.9999999999998979E-3</v>
      </c>
      <c r="J16" s="452">
        <f t="shared" si="25"/>
        <v>-9.9999999999998979E-3</v>
      </c>
      <c r="K16" s="452">
        <f t="shared" si="25"/>
        <v>-9.9999999999998979E-3</v>
      </c>
      <c r="L16" s="591"/>
      <c r="M16" s="450"/>
      <c r="N16" s="450"/>
      <c r="O16" s="450"/>
      <c r="P16" s="450"/>
      <c r="Q16" s="452">
        <f t="shared" si="18"/>
        <v>3.5588442565186673E-2</v>
      </c>
      <c r="R16" s="452">
        <f t="shared" si="18"/>
        <v>3.8884045335658257E-2</v>
      </c>
      <c r="S16" s="452">
        <f t="shared" si="18"/>
        <v>1.1789181692094308E-2</v>
      </c>
      <c r="T16" s="452">
        <f t="shared" si="18"/>
        <v>3.8924768720544511E-2</v>
      </c>
      <c r="U16" s="452">
        <f t="shared" si="18"/>
        <v>-5.750255188839748E-2</v>
      </c>
      <c r="V16" s="452">
        <f t="shared" si="18"/>
        <v>-6.8479355488418991E-2</v>
      </c>
      <c r="W16" s="452">
        <f t="shared" si="18"/>
        <v>-5.4489376285126845E-2</v>
      </c>
      <c r="X16" s="452">
        <f t="shared" si="18"/>
        <v>-6.9220430107526876E-2</v>
      </c>
      <c r="Y16" s="452">
        <f t="shared" si="18"/>
        <v>-7.2202166064981865E-3</v>
      </c>
      <c r="Z16" s="452">
        <f t="shared" si="18"/>
        <v>-2.2162162162162158E-2</v>
      </c>
      <c r="AA16" s="452">
        <f t="shared" si="18"/>
        <v>-3.7513591881116359E-2</v>
      </c>
      <c r="AB16" s="452">
        <f t="shared" si="18"/>
        <v>-3.8989169675090252E-2</v>
      </c>
      <c r="AC16" s="453">
        <v>-0.01</v>
      </c>
      <c r="AD16" s="453">
        <v>-0.01</v>
      </c>
      <c r="AE16" s="453">
        <v>-0.01</v>
      </c>
      <c r="AF16" s="453">
        <v>-0.01</v>
      </c>
      <c r="AG16" s="453">
        <v>-0.01</v>
      </c>
      <c r="AH16" s="453">
        <v>-0.01</v>
      </c>
      <c r="AI16" s="453">
        <v>-0.01</v>
      </c>
      <c r="AJ16" s="453">
        <v>-0.01</v>
      </c>
      <c r="AK16" s="453">
        <v>-0.01</v>
      </c>
      <c r="AL16" s="453">
        <v>-0.01</v>
      </c>
      <c r="AM16" s="453">
        <v>-0.01</v>
      </c>
      <c r="AN16" s="453">
        <v>-0.01</v>
      </c>
      <c r="AO16" s="453">
        <v>-0.01</v>
      </c>
      <c r="AP16" s="453">
        <v>-0.01</v>
      </c>
      <c r="AQ16" s="453">
        <v>-0.01</v>
      </c>
      <c r="AR16" s="453">
        <v>-0.01</v>
      </c>
      <c r="AS16" s="453">
        <v>-0.01</v>
      </c>
      <c r="AT16" s="453">
        <v>-0.01</v>
      </c>
      <c r="AU16" s="453">
        <v>-0.01</v>
      </c>
      <c r="AV16" s="453">
        <v>-0.01</v>
      </c>
    </row>
    <row r="17" spans="1:49">
      <c r="A17" s="558"/>
      <c r="B17" s="559" t="s">
        <v>1014</v>
      </c>
      <c r="C17" s="559"/>
      <c r="D17" s="452"/>
      <c r="E17" s="452"/>
      <c r="F17" s="452">
        <f t="shared" ref="F17:K17" si="26">F9/E9-1</f>
        <v>-7.2799977312044573E-2</v>
      </c>
      <c r="G17" s="452">
        <f t="shared" si="26"/>
        <v>2.0000000000000018E-2</v>
      </c>
      <c r="H17" s="452">
        <f t="shared" si="26"/>
        <v>5.0000000000000044E-2</v>
      </c>
      <c r="I17" s="452">
        <f t="shared" si="26"/>
        <v>2.0000000000000018E-2</v>
      </c>
      <c r="J17" s="452">
        <f t="shared" si="26"/>
        <v>2.0000000000000018E-2</v>
      </c>
      <c r="K17" s="452">
        <f t="shared" si="26"/>
        <v>5.0000000000000044E-2</v>
      </c>
      <c r="L17" s="591"/>
      <c r="M17" s="450"/>
      <c r="N17" s="450"/>
      <c r="O17" s="450"/>
      <c r="P17" s="450"/>
      <c r="Q17" s="452"/>
      <c r="R17" s="452"/>
      <c r="S17" s="452"/>
      <c r="T17" s="452"/>
      <c r="U17" s="452"/>
      <c r="V17" s="452"/>
      <c r="W17" s="452"/>
      <c r="X17" s="452"/>
      <c r="Y17" s="452"/>
      <c r="Z17" s="452">
        <f>Z9/V9-1</f>
        <v>8.9677188773995775E-2</v>
      </c>
      <c r="AA17" s="452">
        <f t="shared" ref="AA17:AB17" ca="1" si="27">AA9/W9-1</f>
        <v>8.9677188773995775E-2</v>
      </c>
      <c r="AB17" s="452">
        <f t="shared" si="27"/>
        <v>-7.2799977312044573E-2</v>
      </c>
      <c r="AC17" s="453">
        <v>-0.05</v>
      </c>
      <c r="AD17" s="453">
        <v>0.01</v>
      </c>
      <c r="AE17" s="453">
        <v>0.02</v>
      </c>
      <c r="AF17" s="453">
        <v>0.02</v>
      </c>
      <c r="AG17" s="453">
        <v>0.02</v>
      </c>
      <c r="AH17" s="453">
        <v>0.02</v>
      </c>
      <c r="AI17" s="453">
        <v>5.0000000000000001E-3</v>
      </c>
      <c r="AJ17" s="453">
        <v>0.05</v>
      </c>
      <c r="AK17" s="453">
        <v>0.02</v>
      </c>
      <c r="AL17" s="453">
        <v>0.01</v>
      </c>
      <c r="AM17" s="453">
        <v>0.01</v>
      </c>
      <c r="AN17" s="453">
        <v>0.02</v>
      </c>
      <c r="AO17" s="453">
        <v>0.02</v>
      </c>
      <c r="AP17" s="453">
        <v>5.0000000000000001E-3</v>
      </c>
      <c r="AQ17" s="453">
        <v>5.0000000000000001E-3</v>
      </c>
      <c r="AR17" s="453">
        <v>0.02</v>
      </c>
      <c r="AS17" s="453">
        <v>0.02</v>
      </c>
      <c r="AT17" s="453">
        <v>5.0000000000000001E-3</v>
      </c>
      <c r="AU17" s="453">
        <v>5.0000000000000001E-3</v>
      </c>
      <c r="AV17" s="453">
        <v>0.05</v>
      </c>
    </row>
    <row r="18" spans="1:49">
      <c r="A18" s="558"/>
      <c r="B18" s="560" t="s">
        <v>1015</v>
      </c>
      <c r="C18" s="560"/>
      <c r="D18" s="456">
        <f>D10/C10-1</f>
        <v>0.16490486257928128</v>
      </c>
      <c r="E18" s="456">
        <f t="shared" ref="E18:K18" si="28">E10/D10-1</f>
        <v>0.22141560798548099</v>
      </c>
      <c r="F18" s="456">
        <f t="shared" si="28"/>
        <v>0.19093610698365526</v>
      </c>
      <c r="G18" s="456">
        <f t="shared" si="28"/>
        <v>0.17999999999999994</v>
      </c>
      <c r="H18" s="456">
        <f t="shared" si="28"/>
        <v>0.15999999999999992</v>
      </c>
      <c r="I18" s="456">
        <f t="shared" si="28"/>
        <v>0.14000000000000012</v>
      </c>
      <c r="J18" s="456">
        <f t="shared" si="28"/>
        <v>0.12000000000000011</v>
      </c>
      <c r="K18" s="456">
        <f t="shared" si="28"/>
        <v>0.10000000000000009</v>
      </c>
      <c r="L18" s="591"/>
      <c r="M18" s="455"/>
      <c r="N18" s="455"/>
      <c r="O18" s="455"/>
      <c r="P18" s="455"/>
      <c r="Q18" s="456">
        <f t="shared" ref="Q18:Y18" si="29">Q10/M10-1</f>
        <v>0.32680538555691574</v>
      </c>
      <c r="R18" s="456">
        <f t="shared" si="29"/>
        <v>-3.0442804428044368E-2</v>
      </c>
      <c r="S18" s="456">
        <f t="shared" si="29"/>
        <v>0.18644067796610164</v>
      </c>
      <c r="T18" s="456">
        <f t="shared" si="29"/>
        <v>0.16490486257928128</v>
      </c>
      <c r="U18" s="456">
        <f t="shared" si="29"/>
        <v>9.7785977859778495E-2</v>
      </c>
      <c r="V18" s="456">
        <f t="shared" si="29"/>
        <v>0.12369172216936253</v>
      </c>
      <c r="W18" s="456">
        <f t="shared" si="29"/>
        <v>0.19333333333333313</v>
      </c>
      <c r="X18" s="456">
        <f t="shared" si="29"/>
        <v>0.22141560798548099</v>
      </c>
      <c r="Y18" s="456">
        <f t="shared" si="29"/>
        <v>0.23613445378151265</v>
      </c>
      <c r="Z18" s="456">
        <f>Z10/V10-1</f>
        <v>0.30313293818797615</v>
      </c>
      <c r="AA18" s="456">
        <f>AA10/W10-1</f>
        <v>0.22984836392657626</v>
      </c>
      <c r="AB18" s="456">
        <f>AB10/X10-1</f>
        <v>0.19093610698365526</v>
      </c>
      <c r="AC18" s="457">
        <v>0.18</v>
      </c>
      <c r="AD18" s="457">
        <v>0.18</v>
      </c>
      <c r="AE18" s="457">
        <v>0.18</v>
      </c>
      <c r="AF18" s="457">
        <v>0.18</v>
      </c>
      <c r="AG18" s="457">
        <v>0.16</v>
      </c>
      <c r="AH18" s="457">
        <v>0.16</v>
      </c>
      <c r="AI18" s="457">
        <v>0.16</v>
      </c>
      <c r="AJ18" s="457">
        <v>0.16</v>
      </c>
      <c r="AK18" s="457">
        <v>0.14000000000000001</v>
      </c>
      <c r="AL18" s="457">
        <v>0.14000000000000001</v>
      </c>
      <c r="AM18" s="457">
        <v>0.14000000000000001</v>
      </c>
      <c r="AN18" s="457">
        <v>0.14000000000000001</v>
      </c>
      <c r="AO18" s="457">
        <v>0.12</v>
      </c>
      <c r="AP18" s="457">
        <v>0.12</v>
      </c>
      <c r="AQ18" s="457">
        <v>0.12</v>
      </c>
      <c r="AR18" s="457">
        <v>0.12</v>
      </c>
      <c r="AS18" s="457">
        <v>0.1</v>
      </c>
      <c r="AT18" s="457">
        <v>0.1</v>
      </c>
      <c r="AU18" s="457">
        <v>0.1</v>
      </c>
      <c r="AV18" s="457">
        <v>0.1</v>
      </c>
    </row>
    <row r="20" spans="1:49">
      <c r="B20" s="557" t="s">
        <v>316</v>
      </c>
      <c r="C20" s="557"/>
      <c r="D20" s="557"/>
      <c r="E20" s="557"/>
      <c r="F20" s="557"/>
      <c r="G20" s="557"/>
      <c r="H20" s="557"/>
      <c r="I20" s="557"/>
      <c r="J20" s="557"/>
      <c r="K20" s="557"/>
      <c r="L20" s="605"/>
      <c r="M20" s="447"/>
      <c r="N20" s="447"/>
      <c r="O20" s="447"/>
      <c r="P20" s="447"/>
      <c r="Q20" s="447"/>
      <c r="R20" s="447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622"/>
      <c r="AT20" s="622"/>
      <c r="AU20" s="622"/>
      <c r="AV20" s="622"/>
    </row>
    <row r="21" spans="1:49" s="258" customFormat="1">
      <c r="A21" s="460"/>
      <c r="B21" s="561" t="s">
        <v>391</v>
      </c>
      <c r="C21" s="588">
        <f>SUM(M21:P21)</f>
        <v>1028.6300000000001</v>
      </c>
      <c r="D21" s="588">
        <f>SUM(Q21:T21)</f>
        <v>1519.3799999999997</v>
      </c>
      <c r="E21" s="588">
        <f>SUM(U21:X21)</f>
        <v>2377.6000000000004</v>
      </c>
      <c r="F21" s="588">
        <f>SUM(Y21:AB21)</f>
        <v>3126.94</v>
      </c>
      <c r="G21" s="588">
        <f ca="1">SUM(AC21:AF21)</f>
        <v>3879.9360647926833</v>
      </c>
      <c r="H21" s="588">
        <f ca="1">SUM(AG21:AJ21)</f>
        <v>4729.6756226241196</v>
      </c>
      <c r="I21" s="588">
        <f ca="1">SUM(AK21:AN21)</f>
        <v>5625.3207134707627</v>
      </c>
      <c r="J21" s="588">
        <f ca="1">SUM(AO21:AR21)</f>
        <v>6628.7271188970508</v>
      </c>
      <c r="K21" s="588">
        <f ca="1">SUM(AS21:AV21)</f>
        <v>7759.2079023160068</v>
      </c>
      <c r="L21" s="592"/>
      <c r="M21" s="512">
        <f t="shared" ref="M21:AR21" si="30">M137+M109+M34</f>
        <v>223.98999999999998</v>
      </c>
      <c r="N21" s="512">
        <f t="shared" si="30"/>
        <v>234.28999999999996</v>
      </c>
      <c r="O21" s="512">
        <f t="shared" si="30"/>
        <v>265.94000000000005</v>
      </c>
      <c r="P21" s="512">
        <f t="shared" si="30"/>
        <v>304.40999999999997</v>
      </c>
      <c r="Q21" s="512">
        <f t="shared" si="30"/>
        <v>319.95</v>
      </c>
      <c r="R21" s="512">
        <f t="shared" si="30"/>
        <v>356.90999999999997</v>
      </c>
      <c r="S21" s="512">
        <f t="shared" si="30"/>
        <v>403.88</v>
      </c>
      <c r="T21" s="512">
        <f t="shared" si="30"/>
        <v>438.64</v>
      </c>
      <c r="U21" s="512">
        <f t="shared" si="30"/>
        <v>495.52000000000004</v>
      </c>
      <c r="V21" s="512">
        <f t="shared" si="30"/>
        <v>566.06000000000006</v>
      </c>
      <c r="W21" s="512">
        <f t="shared" si="30"/>
        <v>652.1</v>
      </c>
      <c r="X21" s="512">
        <f t="shared" si="30"/>
        <v>663.92000000000007</v>
      </c>
      <c r="Y21" s="512">
        <f t="shared" si="30"/>
        <v>735.28</v>
      </c>
      <c r="Z21" s="512">
        <f t="shared" si="30"/>
        <v>736.75</v>
      </c>
      <c r="AA21" s="512">
        <f t="shared" si="30"/>
        <v>805.95</v>
      </c>
      <c r="AB21" s="512">
        <v>848.96</v>
      </c>
      <c r="AC21" s="512">
        <f t="shared" ca="1" si="30"/>
        <v>866.95054752939825</v>
      </c>
      <c r="AD21" s="512">
        <f t="shared" ca="1" si="30"/>
        <v>931.13493825603939</v>
      </c>
      <c r="AE21" s="512">
        <f t="shared" ca="1" si="30"/>
        <v>1011.996052153918</v>
      </c>
      <c r="AF21" s="512">
        <f t="shared" ca="1" si="30"/>
        <v>1069.8545268533276</v>
      </c>
      <c r="AG21" s="512">
        <f t="shared" ca="1" si="30"/>
        <v>1069.6204709313815</v>
      </c>
      <c r="AH21" s="512">
        <f t="shared" ca="1" si="30"/>
        <v>1140.2442705110932</v>
      </c>
      <c r="AI21" s="512">
        <f t="shared" ca="1" si="30"/>
        <v>1229.2233895913735</v>
      </c>
      <c r="AJ21" s="512">
        <f t="shared" ca="1" si="30"/>
        <v>1290.5874915902714</v>
      </c>
      <c r="AK21" s="512">
        <f t="shared" ca="1" si="30"/>
        <v>1273.8823359791029</v>
      </c>
      <c r="AL21" s="512">
        <f t="shared" ca="1" si="30"/>
        <v>1353.7362031783755</v>
      </c>
      <c r="AM21" s="512">
        <f t="shared" ca="1" si="30"/>
        <v>1461.3432824521258</v>
      </c>
      <c r="AN21" s="512">
        <f t="shared" ca="1" si="30"/>
        <v>1536.358891861159</v>
      </c>
      <c r="AO21" s="512">
        <f t="shared" ca="1" si="30"/>
        <v>1501.9884222380015</v>
      </c>
      <c r="AP21" s="512">
        <f t="shared" ca="1" si="30"/>
        <v>1593.5263568883972</v>
      </c>
      <c r="AQ21" s="512">
        <f t="shared" ca="1" si="30"/>
        <v>1720.887988576505</v>
      </c>
      <c r="AR21" s="512">
        <f t="shared" ca="1" si="30"/>
        <v>1812.3243511941466</v>
      </c>
      <c r="AS21" s="512">
        <f t="shared" ref="AS21:AV21" ca="1" si="31">AS137+AS109+AS34</f>
        <v>1756.9092486924042</v>
      </c>
      <c r="AT21" s="512">
        <f t="shared" ca="1" si="31"/>
        <v>1862.5282084604073</v>
      </c>
      <c r="AU21" s="512">
        <f t="shared" ca="1" si="31"/>
        <v>2012.2862232546984</v>
      </c>
      <c r="AV21" s="512">
        <f t="shared" ca="1" si="31"/>
        <v>2127.4842219084967</v>
      </c>
      <c r="AW21" s="460"/>
    </row>
    <row r="22" spans="1:49">
      <c r="B22" s="559" t="s">
        <v>908</v>
      </c>
      <c r="C22" s="559"/>
      <c r="D22" s="452">
        <f>D21/C21-1</f>
        <v>0.47709088787999532</v>
      </c>
      <c r="E22" s="452">
        <f t="shared" ref="E22:K22" si="32">E21/D21-1</f>
        <v>0.56484881991338631</v>
      </c>
      <c r="F22" s="452">
        <f t="shared" si="32"/>
        <v>0.31516655450874809</v>
      </c>
      <c r="G22" s="452">
        <f t="shared" ca="1" si="32"/>
        <v>0.2408092463535223</v>
      </c>
      <c r="H22" s="452">
        <f t="shared" ca="1" si="32"/>
        <v>0.21900864953475474</v>
      </c>
      <c r="I22" s="452">
        <f t="shared" ca="1" si="32"/>
        <v>0.18936712838452996</v>
      </c>
      <c r="J22" s="452">
        <f t="shared" ca="1" si="32"/>
        <v>0.17837319088731518</v>
      </c>
      <c r="K22" s="452">
        <f t="shared" ca="1" si="32"/>
        <v>0.17054266424638342</v>
      </c>
      <c r="L22" s="591"/>
      <c r="M22" s="450"/>
      <c r="N22" s="450"/>
      <c r="O22" s="450"/>
      <c r="P22" s="450"/>
      <c r="Q22" s="452">
        <f>Q21/M21-1</f>
        <v>0.42841198267779812</v>
      </c>
      <c r="R22" s="452">
        <f t="shared" ref="R22:AR22" si="33">R21/N21-1</f>
        <v>0.5233684749669214</v>
      </c>
      <c r="S22" s="452">
        <f t="shared" si="33"/>
        <v>0.51868842596074272</v>
      </c>
      <c r="T22" s="452">
        <f t="shared" si="33"/>
        <v>0.44095134851023299</v>
      </c>
      <c r="U22" s="452">
        <f t="shared" si="33"/>
        <v>0.548741990936084</v>
      </c>
      <c r="V22" s="452">
        <f t="shared" si="33"/>
        <v>0.58600207335182564</v>
      </c>
      <c r="W22" s="452">
        <f t="shared" si="33"/>
        <v>0.61458849163117768</v>
      </c>
      <c r="X22" s="452">
        <f t="shared" si="33"/>
        <v>0.51358745212474943</v>
      </c>
      <c r="Y22" s="452">
        <f t="shared" si="33"/>
        <v>0.48385534388117524</v>
      </c>
      <c r="Z22" s="452">
        <f t="shared" si="33"/>
        <v>0.30154047274140527</v>
      </c>
      <c r="AA22" s="452">
        <f t="shared" si="33"/>
        <v>0.23593007207483518</v>
      </c>
      <c r="AB22" s="452">
        <f t="shared" si="33"/>
        <v>0.2787082781057959</v>
      </c>
      <c r="AC22" s="452">
        <f t="shared" ca="1" si="33"/>
        <v>0.17907538288733305</v>
      </c>
      <c r="AD22" s="452">
        <f t="shared" ca="1" si="33"/>
        <v>0.26384111062916782</v>
      </c>
      <c r="AE22" s="452">
        <f t="shared" ca="1" si="33"/>
        <v>0.25565612277922689</v>
      </c>
      <c r="AF22" s="452">
        <f t="shared" ca="1" si="33"/>
        <v>0.26019426928633571</v>
      </c>
      <c r="AG22" s="452">
        <f t="shared" ca="1" si="33"/>
        <v>0.2337733380289615</v>
      </c>
      <c r="AH22" s="452">
        <f t="shared" ca="1" si="33"/>
        <v>0.2245746815673173</v>
      </c>
      <c r="AI22" s="452">
        <f t="shared" ca="1" si="33"/>
        <v>0.21465235657304382</v>
      </c>
      <c r="AJ22" s="452">
        <f t="shared" ca="1" si="33"/>
        <v>0.20632054096753416</v>
      </c>
      <c r="AK22" s="452">
        <f t="shared" ca="1" si="33"/>
        <v>0.19096667518887189</v>
      </c>
      <c r="AL22" s="452">
        <f t="shared" ca="1" si="33"/>
        <v>0.18723350617810031</v>
      </c>
      <c r="AM22" s="452">
        <f t="shared" ca="1" si="33"/>
        <v>0.18883458842897149</v>
      </c>
      <c r="AN22" s="452">
        <f t="shared" ca="1" si="33"/>
        <v>0.19043373802425934</v>
      </c>
      <c r="AO22" s="452">
        <f t="shared" ca="1" si="33"/>
        <v>0.17906370142386563</v>
      </c>
      <c r="AP22" s="452">
        <f t="shared" ca="1" si="33"/>
        <v>0.17713211270189078</v>
      </c>
      <c r="AQ22" s="452">
        <f t="shared" ca="1" si="33"/>
        <v>0.17760693824716167</v>
      </c>
      <c r="AR22" s="452">
        <f t="shared" ca="1" si="33"/>
        <v>0.17962304302393872</v>
      </c>
      <c r="AS22" s="452">
        <f t="shared" ref="AS22" ca="1" si="34">AS21/AO21-1</f>
        <v>0.16972223133022823</v>
      </c>
      <c r="AT22" s="452">
        <f t="shared" ref="AT22" ca="1" si="35">AT21/AP21-1</f>
        <v>0.16880916365718424</v>
      </c>
      <c r="AU22" s="452">
        <f t="shared" ref="AU22" ca="1" si="36">AU21/AQ21-1</f>
        <v>0.1693301578095352</v>
      </c>
      <c r="AV22" s="452">
        <f t="shared" ref="AV22" ca="1" si="37">AV21/AR21-1</f>
        <v>0.1738981603964489</v>
      </c>
    </row>
    <row r="23" spans="1:49">
      <c r="B23" s="559" t="s">
        <v>1004</v>
      </c>
      <c r="C23" s="559"/>
      <c r="D23" s="559"/>
      <c r="E23" s="559"/>
      <c r="F23" s="559"/>
      <c r="G23" s="559"/>
      <c r="H23" s="559"/>
      <c r="I23" s="559"/>
      <c r="J23" s="559"/>
      <c r="K23" s="559"/>
      <c r="L23" s="591"/>
      <c r="M23" s="450"/>
      <c r="N23" s="452">
        <f>N21/M21-1</f>
        <v>4.5984195723023369E-2</v>
      </c>
      <c r="O23" s="452">
        <f t="shared" ref="O23:AR23" si="38">O21/N21-1</f>
        <v>0.13508899227453197</v>
      </c>
      <c r="P23" s="452">
        <f t="shared" si="38"/>
        <v>0.14465668947882948</v>
      </c>
      <c r="Q23" s="452">
        <f t="shared" si="38"/>
        <v>5.1049571301862606E-2</v>
      </c>
      <c r="R23" s="452">
        <f t="shared" si="38"/>
        <v>0.1155180496952648</v>
      </c>
      <c r="S23" s="452">
        <f t="shared" si="38"/>
        <v>0.13160180437645352</v>
      </c>
      <c r="T23" s="452">
        <f t="shared" si="38"/>
        <v>8.6065167871645087E-2</v>
      </c>
      <c r="U23" s="452">
        <f t="shared" si="38"/>
        <v>0.12967353638519064</v>
      </c>
      <c r="V23" s="452">
        <f t="shared" si="38"/>
        <v>0.14235550532773655</v>
      </c>
      <c r="W23" s="452">
        <f t="shared" si="38"/>
        <v>0.15199802141115781</v>
      </c>
      <c r="X23" s="452">
        <f t="shared" si="38"/>
        <v>1.8126054286152549E-2</v>
      </c>
      <c r="Y23" s="452">
        <f t="shared" si="38"/>
        <v>0.10748282925653685</v>
      </c>
      <c r="Z23" s="452">
        <f t="shared" si="38"/>
        <v>1.9992383853770779E-3</v>
      </c>
      <c r="AA23" s="452">
        <f t="shared" si="38"/>
        <v>9.3926026467594292E-2</v>
      </c>
      <c r="AB23" s="452">
        <f t="shared" si="38"/>
        <v>5.3365593399094191E-2</v>
      </c>
      <c r="AC23" s="452">
        <f t="shared" ca="1" si="38"/>
        <v>2.1191278186720508E-2</v>
      </c>
      <c r="AD23" s="452">
        <f t="shared" ca="1" si="38"/>
        <v>7.4034661964919701E-2</v>
      </c>
      <c r="AE23" s="452">
        <f t="shared" ca="1" si="38"/>
        <v>8.6841456136665496E-2</v>
      </c>
      <c r="AF23" s="452">
        <f t="shared" ca="1" si="38"/>
        <v>5.7172628861806851E-2</v>
      </c>
      <c r="AG23" s="452">
        <f t="shared" ca="1" si="38"/>
        <v>-2.1877359591537804E-4</v>
      </c>
      <c r="AH23" s="452">
        <f t="shared" ca="1" si="38"/>
        <v>6.6026970779846206E-2</v>
      </c>
      <c r="AI23" s="452">
        <f t="shared" ca="1" si="38"/>
        <v>7.8035138067737986E-2</v>
      </c>
      <c r="AJ23" s="452">
        <f t="shared" ca="1" si="38"/>
        <v>4.9921033490338163E-2</v>
      </c>
      <c r="AK23" s="452">
        <f t="shared" ca="1" si="38"/>
        <v>-1.2943838151247111E-2</v>
      </c>
      <c r="AL23" s="452">
        <f t="shared" ca="1" si="38"/>
        <v>6.2685434081238833E-2</v>
      </c>
      <c r="AM23" s="452">
        <f t="shared" ca="1" si="38"/>
        <v>7.9488957317610742E-2</v>
      </c>
      <c r="AN23" s="452">
        <f t="shared" ca="1" si="38"/>
        <v>5.1333324831902338E-2</v>
      </c>
      <c r="AO23" s="452">
        <f t="shared" ca="1" si="38"/>
        <v>-2.237138067494171E-2</v>
      </c>
      <c r="AP23" s="452">
        <f t="shared" ca="1" si="38"/>
        <v>6.0944500833103543E-2</v>
      </c>
      <c r="AQ23" s="452">
        <f t="shared" ca="1" si="38"/>
        <v>7.992439606508972E-2</v>
      </c>
      <c r="AR23" s="452">
        <f t="shared" ca="1" si="38"/>
        <v>5.3133244711224048E-2</v>
      </c>
      <c r="AS23" s="452">
        <f t="shared" ref="AS23" ca="1" si="39">AS21/AR21-1</f>
        <v>-3.0576812845465096E-2</v>
      </c>
      <c r="AT23" s="452">
        <f t="shared" ref="AT23" ca="1" si="40">AT21/AS21-1</f>
        <v>6.011634342901373E-2</v>
      </c>
      <c r="AU23" s="452">
        <f t="shared" ref="AU23" ca="1" si="41">AU21/AT21-1</f>
        <v>8.040577002486482E-2</v>
      </c>
      <c r="AV23" s="452">
        <f t="shared" ref="AV23" ca="1" si="42">AV21/AU21-1</f>
        <v>5.7247322633594111E-2</v>
      </c>
    </row>
    <row r="24" spans="1:49">
      <c r="B24" s="450"/>
      <c r="C24" s="450"/>
      <c r="D24" s="450"/>
      <c r="E24" s="450"/>
      <c r="F24" s="450"/>
      <c r="G24" s="450"/>
      <c r="H24" s="450"/>
      <c r="I24" s="450"/>
      <c r="J24" s="450"/>
      <c r="K24" s="450"/>
      <c r="M24" s="450"/>
      <c r="N24" s="450"/>
      <c r="O24" s="450"/>
      <c r="P24" s="450"/>
      <c r="Q24" s="450"/>
      <c r="R24" s="450"/>
      <c r="S24" s="450"/>
      <c r="T24" s="450"/>
      <c r="U24" s="450"/>
      <c r="V24" s="450"/>
      <c r="W24" s="450"/>
      <c r="X24" s="450"/>
      <c r="Y24" s="450"/>
      <c r="Z24" s="450"/>
      <c r="AA24" s="450"/>
      <c r="AB24" s="450"/>
      <c r="AC24" s="450"/>
      <c r="AD24" s="450"/>
      <c r="AE24" s="450"/>
      <c r="AF24" s="450"/>
      <c r="AG24" s="450"/>
      <c r="AH24" s="450"/>
      <c r="AI24" s="450"/>
      <c r="AJ24" s="450"/>
      <c r="AK24" s="450"/>
      <c r="AL24" s="450"/>
      <c r="AM24" s="450"/>
      <c r="AN24" s="450"/>
      <c r="AO24" s="450"/>
      <c r="AP24" s="450"/>
      <c r="AQ24" s="450"/>
      <c r="AR24" s="450"/>
      <c r="AS24" s="450"/>
      <c r="AT24" s="450"/>
      <c r="AU24" s="450"/>
      <c r="AV24" s="450"/>
    </row>
    <row r="25" spans="1:49">
      <c r="B25" s="450" t="s">
        <v>1024</v>
      </c>
      <c r="C25" s="588">
        <f>SUM(M25:P25)</f>
        <v>806.69</v>
      </c>
      <c r="D25" s="588">
        <f>SUM(Q25:T25)</f>
        <v>1078.0999999999999</v>
      </c>
      <c r="E25" s="588">
        <f>SUM(U25:X25)</f>
        <v>1539.8300000000002</v>
      </c>
      <c r="F25" s="588">
        <f>SUM(Y25:AB25)</f>
        <v>1766.46</v>
      </c>
      <c r="G25" s="588">
        <f ca="1">SUM(AC25:AF25)</f>
        <v>1958.4991844415872</v>
      </c>
      <c r="H25" s="588">
        <f ca="1">SUM(AG25:AJ25)</f>
        <v>2201.8068233234799</v>
      </c>
      <c r="I25" s="588">
        <f ca="1">SUM(AK25:AN25)</f>
        <v>2484.3047791177</v>
      </c>
      <c r="J25" s="588">
        <f ca="1">SUM(AO25:AR25)</f>
        <v>2787.9511011544191</v>
      </c>
      <c r="K25" s="588">
        <f ca="1">SUM(AS25:AV25)</f>
        <v>3093.9793666349997</v>
      </c>
      <c r="M25" s="468">
        <f>M34</f>
        <v>186.26</v>
      </c>
      <c r="N25" s="468">
        <f t="shared" ref="N25:AR25" si="43">N34</f>
        <v>184.27999999999997</v>
      </c>
      <c r="O25" s="468">
        <f t="shared" si="43"/>
        <v>205.47000000000003</v>
      </c>
      <c r="P25" s="468">
        <f t="shared" si="43"/>
        <v>230.68</v>
      </c>
      <c r="Q25" s="468">
        <f t="shared" si="43"/>
        <v>249.64</v>
      </c>
      <c r="R25" s="468">
        <f t="shared" si="43"/>
        <v>256.8</v>
      </c>
      <c r="S25" s="468">
        <f t="shared" si="43"/>
        <v>279.75</v>
      </c>
      <c r="T25" s="468">
        <f t="shared" si="43"/>
        <v>291.90999999999997</v>
      </c>
      <c r="U25" s="468">
        <f t="shared" si="43"/>
        <v>351.08000000000004</v>
      </c>
      <c r="V25" s="468">
        <f t="shared" si="43"/>
        <v>368.04</v>
      </c>
      <c r="W25" s="468">
        <f t="shared" si="43"/>
        <v>421.24</v>
      </c>
      <c r="X25" s="468">
        <f t="shared" si="43"/>
        <v>399.47</v>
      </c>
      <c r="Y25" s="468">
        <f t="shared" si="43"/>
        <v>468.77</v>
      </c>
      <c r="Z25" s="468">
        <f t="shared" si="43"/>
        <v>420.69</v>
      </c>
      <c r="AA25" s="468">
        <f t="shared" si="43"/>
        <v>440.49</v>
      </c>
      <c r="AB25" s="468">
        <f t="shared" si="43"/>
        <v>436.51</v>
      </c>
      <c r="AC25" s="468">
        <f t="shared" ca="1" si="43"/>
        <v>474.1806561151086</v>
      </c>
      <c r="AD25" s="468">
        <f t="shared" ca="1" si="43"/>
        <v>481.59598236438967</v>
      </c>
      <c r="AE25" s="468">
        <f t="shared" ca="1" si="43"/>
        <v>499.50242714359695</v>
      </c>
      <c r="AF25" s="468">
        <f t="shared" ca="1" si="43"/>
        <v>503.22011881849198</v>
      </c>
      <c r="AG25" s="468">
        <f t="shared" ca="1" si="43"/>
        <v>530.37130566438873</v>
      </c>
      <c r="AH25" s="468">
        <f t="shared" ca="1" si="43"/>
        <v>537.170207640081</v>
      </c>
      <c r="AI25" s="468">
        <f t="shared" ca="1" si="43"/>
        <v>560.73843598717758</v>
      </c>
      <c r="AJ25" s="468">
        <f t="shared" ca="1" si="43"/>
        <v>573.52687403183245</v>
      </c>
      <c r="AK25" s="468">
        <f t="shared" ca="1" si="43"/>
        <v>598.62502563786086</v>
      </c>
      <c r="AL25" s="468">
        <f t="shared" ca="1" si="43"/>
        <v>604.64223307713701</v>
      </c>
      <c r="AM25" s="468">
        <f t="shared" ca="1" si="43"/>
        <v>632.47800890606231</v>
      </c>
      <c r="AN25" s="468">
        <f t="shared" ca="1" si="43"/>
        <v>648.55951149664008</v>
      </c>
      <c r="AO25" s="468">
        <f t="shared" ca="1" si="43"/>
        <v>671.6333350628297</v>
      </c>
      <c r="AP25" s="468">
        <f t="shared" ca="1" si="43"/>
        <v>677.74890728224523</v>
      </c>
      <c r="AQ25" s="468">
        <f t="shared" ca="1" si="43"/>
        <v>709.34125202495989</v>
      </c>
      <c r="AR25" s="468">
        <f t="shared" ca="1" si="43"/>
        <v>729.22760678438408</v>
      </c>
      <c r="AS25" s="468">
        <f t="shared" ref="AS25:AV25" ca="1" si="44">AS34</f>
        <v>746.8355500142809</v>
      </c>
      <c r="AT25" s="468">
        <f t="shared" ca="1" si="44"/>
        <v>751.34611036944762</v>
      </c>
      <c r="AU25" s="468">
        <f t="shared" ca="1" si="44"/>
        <v>785.38637804440691</v>
      </c>
      <c r="AV25" s="468">
        <f t="shared" ca="1" si="44"/>
        <v>810.41132820686403</v>
      </c>
    </row>
    <row r="26" spans="1:49">
      <c r="B26" s="450" t="s">
        <v>1023</v>
      </c>
      <c r="C26" s="588">
        <f>SUM(M26:P26)</f>
        <v>174.68</v>
      </c>
      <c r="D26" s="588">
        <f>SUM(Q26:T26)</f>
        <v>269.7</v>
      </c>
      <c r="E26" s="588">
        <f>SUM(U26:X26)</f>
        <v>404.39000000000004</v>
      </c>
      <c r="F26" s="588">
        <f>SUM(Y26:AB26)</f>
        <v>580.79000000000008</v>
      </c>
      <c r="G26" s="588">
        <f ca="1">SUM(AC26:AF26)</f>
        <v>759.18023442322954</v>
      </c>
      <c r="H26" s="588">
        <f ca="1">SUM(AG26:AJ26)</f>
        <v>927.70629512957839</v>
      </c>
      <c r="I26" s="588">
        <f ca="1">SUM(AK26:AN26)</f>
        <v>1115.0785752849458</v>
      </c>
      <c r="J26" s="588">
        <f ca="1">SUM(AO26:AR26)</f>
        <v>1320.1331455097366</v>
      </c>
      <c r="K26" s="588">
        <f t="shared" ref="K26:K27" ca="1" si="45">SUM(AS26:AV26)</f>
        <v>1540.8371023048035</v>
      </c>
      <c r="M26" s="468">
        <f>M109</f>
        <v>27.24</v>
      </c>
      <c r="N26" s="468">
        <f t="shared" ref="N26:AR26" si="46">N109</f>
        <v>40.729999999999997</v>
      </c>
      <c r="O26" s="468">
        <f t="shared" si="46"/>
        <v>49.38</v>
      </c>
      <c r="P26" s="468">
        <f t="shared" si="46"/>
        <v>57.33</v>
      </c>
      <c r="Q26" s="468">
        <f t="shared" si="46"/>
        <v>47.01</v>
      </c>
      <c r="R26" s="468">
        <f t="shared" si="46"/>
        <v>65.319999999999993</v>
      </c>
      <c r="S26" s="468">
        <f t="shared" si="46"/>
        <v>74.489999999999995</v>
      </c>
      <c r="T26" s="468">
        <f t="shared" si="46"/>
        <v>82.88</v>
      </c>
      <c r="U26" s="468">
        <f t="shared" si="46"/>
        <v>68.88</v>
      </c>
      <c r="V26" s="468">
        <f t="shared" si="46"/>
        <v>101.48</v>
      </c>
      <c r="W26" s="468">
        <f t="shared" si="46"/>
        <v>110.42</v>
      </c>
      <c r="X26" s="468">
        <f t="shared" si="46"/>
        <v>123.61000000000001</v>
      </c>
      <c r="Y26" s="468">
        <f t="shared" si="46"/>
        <v>106.89000000000001</v>
      </c>
      <c r="Z26" s="468">
        <f t="shared" si="46"/>
        <v>141.1</v>
      </c>
      <c r="AA26" s="468">
        <f t="shared" si="46"/>
        <v>162.47</v>
      </c>
      <c r="AB26" s="468">
        <f t="shared" si="46"/>
        <v>170.33</v>
      </c>
      <c r="AC26" s="468">
        <f t="shared" si="46"/>
        <v>144.36266676838218</v>
      </c>
      <c r="AD26" s="468">
        <f t="shared" si="46"/>
        <v>182.65698159297304</v>
      </c>
      <c r="AE26" s="468">
        <f t="shared" ca="1" si="46"/>
        <v>207.39404912257251</v>
      </c>
      <c r="AF26" s="468">
        <f t="shared" ca="1" si="46"/>
        <v>224.76653693930177</v>
      </c>
      <c r="AG26" s="468">
        <f t="shared" si="46"/>
        <v>179.28385202308229</v>
      </c>
      <c r="AH26" s="468">
        <f t="shared" si="46"/>
        <v>224.33306929972849</v>
      </c>
      <c r="AI26" s="468">
        <f t="shared" ca="1" si="46"/>
        <v>254.60153583080182</v>
      </c>
      <c r="AJ26" s="468">
        <f t="shared" ca="1" si="46"/>
        <v>269.48783797596587</v>
      </c>
      <c r="AK26" s="468">
        <f t="shared" si="46"/>
        <v>217.31072759353776</v>
      </c>
      <c r="AL26" s="468">
        <f t="shared" si="46"/>
        <v>268.72845432195197</v>
      </c>
      <c r="AM26" s="468">
        <f t="shared" ca="1" si="46"/>
        <v>305.42390246095891</v>
      </c>
      <c r="AN26" s="468">
        <f t="shared" ca="1" si="46"/>
        <v>323.61549090849718</v>
      </c>
      <c r="AO26" s="468">
        <f t="shared" si="46"/>
        <v>258.4028345379711</v>
      </c>
      <c r="AP26" s="468">
        <f t="shared" si="46"/>
        <v>317.34872899583524</v>
      </c>
      <c r="AQ26" s="468">
        <f t="shared" ca="1" si="46"/>
        <v>361.08306287858608</v>
      </c>
      <c r="AR26" s="468">
        <f t="shared" ca="1" si="46"/>
        <v>383.29851909734418</v>
      </c>
      <c r="AS26" s="468">
        <f t="shared" ref="AS26:AV26" si="47">AS109</f>
        <v>301.31855928022981</v>
      </c>
      <c r="AT26" s="468">
        <f t="shared" si="47"/>
        <v>369.50352801207714</v>
      </c>
      <c r="AU26" s="468">
        <f t="shared" ca="1" si="47"/>
        <v>420.76236854517742</v>
      </c>
      <c r="AV26" s="468">
        <f t="shared" ca="1" si="47"/>
        <v>449.25264646731921</v>
      </c>
    </row>
    <row r="27" spans="1:49">
      <c r="B27" s="450" t="s">
        <v>1025</v>
      </c>
      <c r="C27" s="588">
        <f>SUM(M27:P27)</f>
        <v>47.26</v>
      </c>
      <c r="D27" s="588">
        <f>SUM(Q27:T27)</f>
        <v>171.58</v>
      </c>
      <c r="E27" s="588">
        <f>SUM(U27:X27)</f>
        <v>433.38</v>
      </c>
      <c r="F27" s="588">
        <f>SUM(Y27:AB27)</f>
        <v>779.69</v>
      </c>
      <c r="G27" s="588">
        <f>SUM(AC27:AF27)</f>
        <v>1162.2566459278664</v>
      </c>
      <c r="H27" s="588">
        <f>SUM(AG27:AJ27)</f>
        <v>1600.1625041710611</v>
      </c>
      <c r="I27" s="588">
        <f>SUM(AK27:AN27)</f>
        <v>2025.9373590681175</v>
      </c>
      <c r="J27" s="588">
        <f>SUM(AO27:AR27)</f>
        <v>2520.6428722328947</v>
      </c>
      <c r="K27" s="588">
        <f t="shared" si="45"/>
        <v>3124.3914333762036</v>
      </c>
      <c r="M27" s="468">
        <f>M137</f>
        <v>10.49</v>
      </c>
      <c r="N27" s="468">
        <f t="shared" ref="N27:AR27" si="48">N137</f>
        <v>9.2799999999999994</v>
      </c>
      <c r="O27" s="468">
        <f t="shared" si="48"/>
        <v>11.09</v>
      </c>
      <c r="P27" s="468">
        <f t="shared" si="48"/>
        <v>16.399999999999999</v>
      </c>
      <c r="Q27" s="468">
        <f t="shared" si="48"/>
        <v>23.3</v>
      </c>
      <c r="R27" s="468">
        <f t="shared" si="48"/>
        <v>34.79</v>
      </c>
      <c r="S27" s="468">
        <f t="shared" si="48"/>
        <v>49.64</v>
      </c>
      <c r="T27" s="468">
        <f t="shared" si="48"/>
        <v>63.85</v>
      </c>
      <c r="U27" s="468">
        <f t="shared" si="48"/>
        <v>75.56</v>
      </c>
      <c r="V27" s="468">
        <f t="shared" si="48"/>
        <v>96.54</v>
      </c>
      <c r="W27" s="468">
        <f t="shared" si="48"/>
        <v>120.44</v>
      </c>
      <c r="X27" s="468">
        <f t="shared" si="48"/>
        <v>140.84</v>
      </c>
      <c r="Y27" s="468">
        <f t="shared" si="48"/>
        <v>159.62</v>
      </c>
      <c r="Z27" s="468">
        <f t="shared" si="48"/>
        <v>174.96</v>
      </c>
      <c r="AA27" s="468">
        <f t="shared" si="48"/>
        <v>202.99</v>
      </c>
      <c r="AB27" s="468">
        <f t="shared" si="48"/>
        <v>242.12</v>
      </c>
      <c r="AC27" s="468">
        <f t="shared" si="48"/>
        <v>248.40722464590749</v>
      </c>
      <c r="AD27" s="468">
        <f t="shared" si="48"/>
        <v>266.88197429867665</v>
      </c>
      <c r="AE27" s="468">
        <f t="shared" si="48"/>
        <v>305.09957588774853</v>
      </c>
      <c r="AF27" s="468">
        <f t="shared" si="48"/>
        <v>341.86787109553393</v>
      </c>
      <c r="AG27" s="468">
        <f t="shared" si="48"/>
        <v>359.96531324391037</v>
      </c>
      <c r="AH27" s="468">
        <f t="shared" si="48"/>
        <v>378.7409935712837</v>
      </c>
      <c r="AI27" s="468">
        <f t="shared" si="48"/>
        <v>413.88341777339406</v>
      </c>
      <c r="AJ27" s="468">
        <f t="shared" si="48"/>
        <v>447.57277958247306</v>
      </c>
      <c r="AK27" s="468">
        <f t="shared" si="48"/>
        <v>457.94658274770427</v>
      </c>
      <c r="AL27" s="468">
        <f t="shared" si="48"/>
        <v>480.36551577928662</v>
      </c>
      <c r="AM27" s="468">
        <f t="shared" si="48"/>
        <v>523.44137108510461</v>
      </c>
      <c r="AN27" s="468">
        <f t="shared" si="48"/>
        <v>564.1838894560218</v>
      </c>
      <c r="AO27" s="468">
        <f t="shared" si="48"/>
        <v>571.95225263720079</v>
      </c>
      <c r="AP27" s="468">
        <f t="shared" si="48"/>
        <v>598.42872061031676</v>
      </c>
      <c r="AQ27" s="468">
        <f t="shared" si="48"/>
        <v>650.46367367295898</v>
      </c>
      <c r="AR27" s="468">
        <f t="shared" si="48"/>
        <v>699.79822531241837</v>
      </c>
      <c r="AS27" s="468">
        <f t="shared" ref="AS27:AV27" si="49">AS137</f>
        <v>708.75513939789357</v>
      </c>
      <c r="AT27" s="468">
        <f t="shared" si="49"/>
        <v>741.67857007888267</v>
      </c>
      <c r="AU27" s="468">
        <f t="shared" si="49"/>
        <v>806.13747666511404</v>
      </c>
      <c r="AV27" s="468">
        <f t="shared" si="49"/>
        <v>867.82024723431311</v>
      </c>
    </row>
    <row r="28" spans="1:49">
      <c r="B28" s="450" t="s">
        <v>1020</v>
      </c>
      <c r="C28" s="450"/>
      <c r="D28" s="450"/>
      <c r="E28" s="450"/>
      <c r="F28" s="450"/>
      <c r="G28" s="450"/>
      <c r="H28" s="450"/>
      <c r="I28" s="450"/>
      <c r="J28" s="450"/>
      <c r="K28" s="450"/>
      <c r="M28" s="450"/>
      <c r="N28" s="450"/>
      <c r="O28" s="450"/>
      <c r="P28" s="450"/>
      <c r="Q28" s="450"/>
      <c r="R28" s="450"/>
      <c r="S28" s="450"/>
      <c r="T28" s="450"/>
      <c r="U28" s="450"/>
      <c r="V28" s="450"/>
      <c r="W28" s="450"/>
      <c r="X28" s="450"/>
      <c r="Y28" s="450"/>
      <c r="Z28" s="450"/>
      <c r="AA28" s="450"/>
      <c r="AB28" s="450"/>
      <c r="AC28" s="450"/>
      <c r="AD28" s="450"/>
      <c r="AE28" s="450"/>
      <c r="AF28" s="450"/>
      <c r="AG28" s="450"/>
      <c r="AH28" s="450"/>
      <c r="AI28" s="450"/>
      <c r="AJ28" s="450"/>
      <c r="AK28" s="450"/>
      <c r="AL28" s="450"/>
      <c r="AM28" s="450"/>
      <c r="AN28" s="450"/>
      <c r="AO28" s="450"/>
      <c r="AP28" s="450"/>
      <c r="AQ28" s="450"/>
      <c r="AR28" s="450"/>
      <c r="AS28" s="450"/>
      <c r="AT28" s="450"/>
      <c r="AU28" s="450"/>
      <c r="AV28" s="450"/>
    </row>
    <row r="29" spans="1:49">
      <c r="B29" s="559" t="s">
        <v>1026</v>
      </c>
      <c r="C29" s="466">
        <f>C25/C21</f>
        <v>0.78423728648785274</v>
      </c>
      <c r="D29" s="466">
        <f t="shared" ref="D29:J29" si="50">D25/D21</f>
        <v>0.709565743921863</v>
      </c>
      <c r="E29" s="466">
        <f t="shared" si="50"/>
        <v>0.64764047779273215</v>
      </c>
      <c r="F29" s="466">
        <f t="shared" si="50"/>
        <v>0.56491649983690129</v>
      </c>
      <c r="G29" s="466">
        <f t="shared" ca="1" si="50"/>
        <v>0.50477614881683253</v>
      </c>
      <c r="H29" s="466">
        <f t="shared" ca="1" si="50"/>
        <v>0.4655301967837433</v>
      </c>
      <c r="I29" s="466">
        <f t="shared" ca="1" si="50"/>
        <v>0.44162900315507708</v>
      </c>
      <c r="J29" s="466">
        <f t="shared" ca="1" si="50"/>
        <v>0.42058619266534303</v>
      </c>
      <c r="K29" s="466">
        <f t="shared" ref="K29" ca="1" si="51">K25/K21</f>
        <v>0.39874938338892729</v>
      </c>
      <c r="L29" s="591"/>
      <c r="M29" s="466">
        <f>M25/M21</f>
        <v>0.83155498013304163</v>
      </c>
      <c r="N29" s="466">
        <f t="shared" ref="N29:AR29" si="52">N25/N21</f>
        <v>0.78654658756242268</v>
      </c>
      <c r="O29" s="466">
        <f t="shared" si="52"/>
        <v>0.77261788373317286</v>
      </c>
      <c r="P29" s="466">
        <f t="shared" si="52"/>
        <v>0.75779376498800965</v>
      </c>
      <c r="Q29" s="466">
        <f t="shared" si="52"/>
        <v>0.78024691358024689</v>
      </c>
      <c r="R29" s="466">
        <f t="shared" si="52"/>
        <v>0.71950911994620503</v>
      </c>
      <c r="S29" s="466">
        <f t="shared" si="52"/>
        <v>0.6926562345251065</v>
      </c>
      <c r="T29" s="466">
        <f t="shared" si="52"/>
        <v>0.66548878351267549</v>
      </c>
      <c r="U29" s="466">
        <f t="shared" si="52"/>
        <v>0.70850823377462058</v>
      </c>
      <c r="V29" s="466">
        <f t="shared" si="52"/>
        <v>0.65017842631523159</v>
      </c>
      <c r="W29" s="466">
        <f t="shared" si="52"/>
        <v>0.64597454378162855</v>
      </c>
      <c r="X29" s="466">
        <f t="shared" si="52"/>
        <v>0.60168393782383423</v>
      </c>
      <c r="Y29" s="466">
        <f t="shared" si="52"/>
        <v>0.63753944075726254</v>
      </c>
      <c r="Z29" s="466">
        <f t="shared" si="52"/>
        <v>0.57100780454699696</v>
      </c>
      <c r="AA29" s="466">
        <f t="shared" si="52"/>
        <v>0.54654755257770327</v>
      </c>
      <c r="AB29" s="466">
        <f t="shared" si="52"/>
        <v>0.51417027892951372</v>
      </c>
      <c r="AC29" s="466">
        <f t="shared" ca="1" si="52"/>
        <v>0.54695236938993819</v>
      </c>
      <c r="AD29" s="466">
        <f t="shared" ca="1" si="52"/>
        <v>0.51721395318533581</v>
      </c>
      <c r="AE29" s="466">
        <f t="shared" ca="1" si="52"/>
        <v>0.49358139893971237</v>
      </c>
      <c r="AF29" s="466">
        <f t="shared" ca="1" si="52"/>
        <v>0.47036312525458079</v>
      </c>
      <c r="AG29" s="466">
        <f t="shared" ca="1" si="52"/>
        <v>0.49584999546854519</v>
      </c>
      <c r="AH29" s="466">
        <f t="shared" ca="1" si="52"/>
        <v>0.47110099259635352</v>
      </c>
      <c r="AI29" s="466">
        <f t="shared" ca="1" si="52"/>
        <v>0.45617293059610747</v>
      </c>
      <c r="AJ29" s="466">
        <f t="shared" ca="1" si="52"/>
        <v>0.44439209101982574</v>
      </c>
      <c r="AK29" s="466">
        <f t="shared" ca="1" si="52"/>
        <v>0.46992175708108797</v>
      </c>
      <c r="AL29" s="466">
        <f t="shared" ca="1" si="52"/>
        <v>0.44664701413578589</v>
      </c>
      <c r="AM29" s="466">
        <f t="shared" ca="1" si="52"/>
        <v>0.43280590980975242</v>
      </c>
      <c r="AN29" s="466">
        <f t="shared" ca="1" si="52"/>
        <v>0.42214063063804658</v>
      </c>
      <c r="AO29" s="466">
        <f t="shared" ca="1" si="52"/>
        <v>0.44716279108335516</v>
      </c>
      <c r="AP29" s="466">
        <f t="shared" ca="1" si="52"/>
        <v>0.42531389854489332</v>
      </c>
      <c r="AQ29" s="466">
        <f t="shared" ca="1" si="52"/>
        <v>0.4121948998038607</v>
      </c>
      <c r="AR29" s="466">
        <f t="shared" ca="1" si="52"/>
        <v>0.40237146640108518</v>
      </c>
      <c r="AS29" s="466">
        <f t="shared" ref="AS29:AV29" ca="1" si="53">AS25/AS21</f>
        <v>0.4250848759377413</v>
      </c>
      <c r="AT29" s="466">
        <f t="shared" ca="1" si="53"/>
        <v>0.40340119787529077</v>
      </c>
      <c r="AU29" s="466">
        <f t="shared" ca="1" si="53"/>
        <v>0.3902955598305059</v>
      </c>
      <c r="AV29" s="466">
        <f t="shared" ca="1" si="53"/>
        <v>0.38092471843568854</v>
      </c>
    </row>
    <row r="30" spans="1:49">
      <c r="B30" s="559" t="s">
        <v>1027</v>
      </c>
      <c r="C30" s="466">
        <f>C26/C21</f>
        <v>0.16981810757998503</v>
      </c>
      <c r="D30" s="466">
        <f t="shared" ref="D30:J30" si="54">D26/D21</f>
        <v>0.17750661454014141</v>
      </c>
      <c r="E30" s="466">
        <f t="shared" si="54"/>
        <v>0.17008327725437414</v>
      </c>
      <c r="F30" s="466">
        <f t="shared" si="54"/>
        <v>0.18573749416362326</v>
      </c>
      <c r="G30" s="466">
        <f t="shared" ca="1" si="54"/>
        <v>0.19566823312172152</v>
      </c>
      <c r="H30" s="466">
        <f t="shared" ca="1" si="54"/>
        <v>0.19614586055160971</v>
      </c>
      <c r="I30" s="466">
        <f t="shared" ca="1" si="54"/>
        <v>0.19822488922537437</v>
      </c>
      <c r="J30" s="466">
        <f t="shared" ca="1" si="54"/>
        <v>0.19915333997477824</v>
      </c>
      <c r="K30" s="466">
        <f t="shared" ref="K30" ca="1" si="55">K26/K21</f>
        <v>0.19858175237769912</v>
      </c>
      <c r="L30" s="591"/>
      <c r="M30" s="466">
        <f>M26/M21</f>
        <v>0.12161257198982098</v>
      </c>
      <c r="N30" s="466">
        <f t="shared" ref="N30:AR30" si="56">N26/N21</f>
        <v>0.17384438089547144</v>
      </c>
      <c r="O30" s="466">
        <f t="shared" si="56"/>
        <v>0.18568098067233207</v>
      </c>
      <c r="P30" s="466">
        <f t="shared" si="56"/>
        <v>0.18833152655957427</v>
      </c>
      <c r="Q30" s="466">
        <f t="shared" si="56"/>
        <v>0.14692920768870135</v>
      </c>
      <c r="R30" s="466">
        <f t="shared" si="56"/>
        <v>0.18301532599254713</v>
      </c>
      <c r="S30" s="466">
        <f t="shared" si="56"/>
        <v>0.18443597108051896</v>
      </c>
      <c r="T30" s="466">
        <f t="shared" si="56"/>
        <v>0.18894765639248587</v>
      </c>
      <c r="U30" s="466">
        <f t="shared" si="56"/>
        <v>0.13900548918308039</v>
      </c>
      <c r="V30" s="466">
        <f t="shared" si="56"/>
        <v>0.17927428187824612</v>
      </c>
      <c r="W30" s="466">
        <f t="shared" si="56"/>
        <v>0.16932985738383682</v>
      </c>
      <c r="X30" s="466">
        <f t="shared" si="56"/>
        <v>0.1861820701289312</v>
      </c>
      <c r="Y30" s="466">
        <f t="shared" si="56"/>
        <v>0.14537319116527039</v>
      </c>
      <c r="Z30" s="466">
        <f t="shared" si="56"/>
        <v>0.19151679674244995</v>
      </c>
      <c r="AA30" s="466">
        <f t="shared" si="56"/>
        <v>0.20158818785284446</v>
      </c>
      <c r="AB30" s="466">
        <f t="shared" si="56"/>
        <v>0.20063371654730494</v>
      </c>
      <c r="AC30" s="466">
        <f t="shared" ca="1" si="56"/>
        <v>0.16651776410982294</v>
      </c>
      <c r="AD30" s="466">
        <f t="shared" ca="1" si="56"/>
        <v>0.19616596272832243</v>
      </c>
      <c r="AE30" s="466">
        <f t="shared" ca="1" si="56"/>
        <v>0.20493563060958389</v>
      </c>
      <c r="AF30" s="466">
        <f t="shared" ca="1" si="56"/>
        <v>0.21009074719755455</v>
      </c>
      <c r="AG30" s="466">
        <f t="shared" ca="1" si="56"/>
        <v>0.16761445474857944</v>
      </c>
      <c r="AH30" s="466">
        <f t="shared" ca="1" si="56"/>
        <v>0.1967412379096414</v>
      </c>
      <c r="AI30" s="466">
        <f t="shared" ca="1" si="56"/>
        <v>0.20712389463679026</v>
      </c>
      <c r="AJ30" s="466">
        <f t="shared" ca="1" si="56"/>
        <v>0.20881020444720177</v>
      </c>
      <c r="AK30" s="466">
        <f t="shared" ca="1" si="56"/>
        <v>0.17058932481900949</v>
      </c>
      <c r="AL30" s="466">
        <f t="shared" ca="1" si="56"/>
        <v>0.19850872990691737</v>
      </c>
      <c r="AM30" s="466">
        <f t="shared" ca="1" si="56"/>
        <v>0.20900215995002852</v>
      </c>
      <c r="AN30" s="466">
        <f t="shared" ca="1" si="56"/>
        <v>0.21063795225376439</v>
      </c>
      <c r="AO30" s="466">
        <f t="shared" ca="1" si="56"/>
        <v>0.17204049692536524</v>
      </c>
      <c r="AP30" s="466">
        <f t="shared" ca="1" si="56"/>
        <v>0.19914871669616244</v>
      </c>
      <c r="AQ30" s="466">
        <f t="shared" ca="1" si="56"/>
        <v>0.20982368711706162</v>
      </c>
      <c r="AR30" s="466">
        <f t="shared" ca="1" si="56"/>
        <v>0.21149554098568918</v>
      </c>
      <c r="AS30" s="466">
        <f t="shared" ref="AS30:AV30" ca="1" si="57">AS26/AS21</f>
        <v>0.17150490812458805</v>
      </c>
      <c r="AT30" s="466">
        <f t="shared" ca="1" si="57"/>
        <v>0.19838815129544485</v>
      </c>
      <c r="AU30" s="466">
        <f t="shared" ca="1" si="57"/>
        <v>0.20909668002627915</v>
      </c>
      <c r="AV30" s="466">
        <f t="shared" ca="1" si="57"/>
        <v>0.21116614724611651</v>
      </c>
    </row>
    <row r="31" spans="1:49">
      <c r="B31" s="560" t="s">
        <v>1028</v>
      </c>
      <c r="C31" s="513">
        <f>C27/C21</f>
        <v>4.5944605932162187E-2</v>
      </c>
      <c r="D31" s="513">
        <f t="shared" ref="D31:J31" si="58">D27/D21</f>
        <v>0.1129276415379958</v>
      </c>
      <c r="E31" s="513">
        <f t="shared" si="58"/>
        <v>0.18227624495289366</v>
      </c>
      <c r="F31" s="513">
        <f t="shared" si="58"/>
        <v>0.24934600599947554</v>
      </c>
      <c r="G31" s="513">
        <f t="shared" ca="1" si="58"/>
        <v>0.29955561806144587</v>
      </c>
      <c r="H31" s="513">
        <f t="shared" ca="1" si="58"/>
        <v>0.33832394266464699</v>
      </c>
      <c r="I31" s="513">
        <f t="shared" ca="1" si="58"/>
        <v>0.36014610761954863</v>
      </c>
      <c r="J31" s="513">
        <f t="shared" ca="1" si="58"/>
        <v>0.38026046735987867</v>
      </c>
      <c r="K31" s="513">
        <f t="shared" ref="K31" ca="1" si="59">K27/K21</f>
        <v>0.40266886423337361</v>
      </c>
      <c r="L31" s="591"/>
      <c r="M31" s="513">
        <f>M27/M21</f>
        <v>4.6832447877137376E-2</v>
      </c>
      <c r="N31" s="513">
        <f t="shared" ref="N31:AR31" si="60">N27/N21</f>
        <v>3.9609031542105939E-2</v>
      </c>
      <c r="O31" s="513">
        <f t="shared" si="60"/>
        <v>4.1701135594494988E-2</v>
      </c>
      <c r="P31" s="513">
        <f t="shared" si="60"/>
        <v>5.3874708452416153E-2</v>
      </c>
      <c r="Q31" s="513">
        <f t="shared" si="60"/>
        <v>7.2823878731051728E-2</v>
      </c>
      <c r="R31" s="513">
        <f t="shared" si="60"/>
        <v>9.7475554061247943E-2</v>
      </c>
      <c r="S31" s="513">
        <f t="shared" si="60"/>
        <v>0.12290779439437458</v>
      </c>
      <c r="T31" s="513">
        <f t="shared" si="60"/>
        <v>0.14556356009483859</v>
      </c>
      <c r="U31" s="513">
        <f t="shared" si="60"/>
        <v>0.152486277042299</v>
      </c>
      <c r="V31" s="513">
        <f t="shared" si="60"/>
        <v>0.17054729180652228</v>
      </c>
      <c r="W31" s="513">
        <f t="shared" si="60"/>
        <v>0.18469559883453457</v>
      </c>
      <c r="X31" s="513">
        <f t="shared" si="60"/>
        <v>0.2121339920472346</v>
      </c>
      <c r="Y31" s="513">
        <f t="shared" si="60"/>
        <v>0.21708736807746709</v>
      </c>
      <c r="Z31" s="513">
        <f t="shared" si="60"/>
        <v>0.23747539871055312</v>
      </c>
      <c r="AA31" s="513">
        <f t="shared" si="60"/>
        <v>0.25186425956945219</v>
      </c>
      <c r="AB31" s="513">
        <f t="shared" si="60"/>
        <v>0.28519600452318128</v>
      </c>
      <c r="AC31" s="513">
        <f t="shared" ca="1" si="60"/>
        <v>0.28652986650023887</v>
      </c>
      <c r="AD31" s="513">
        <f t="shared" ca="1" si="60"/>
        <v>0.28662008408634176</v>
      </c>
      <c r="AE31" s="513">
        <f t="shared" ca="1" si="60"/>
        <v>0.30148297045070377</v>
      </c>
      <c r="AF31" s="513">
        <f t="shared" ca="1" si="60"/>
        <v>0.31954612754786477</v>
      </c>
      <c r="AG31" s="513">
        <f t="shared" ca="1" si="60"/>
        <v>0.3365355497828752</v>
      </c>
      <c r="AH31" s="513">
        <f t="shared" ca="1" si="60"/>
        <v>0.33215776949400511</v>
      </c>
      <c r="AI31" s="513">
        <f t="shared" ca="1" si="60"/>
        <v>0.33670317476710226</v>
      </c>
      <c r="AJ31" s="513">
        <f t="shared" ca="1" si="60"/>
        <v>0.34679770453297248</v>
      </c>
      <c r="AK31" s="513">
        <f t="shared" ca="1" si="60"/>
        <v>0.35948891809990258</v>
      </c>
      <c r="AL31" s="513">
        <f t="shared" ca="1" si="60"/>
        <v>0.35484425595729679</v>
      </c>
      <c r="AM31" s="513">
        <f t="shared" ca="1" si="60"/>
        <v>0.35819193024021906</v>
      </c>
      <c r="AN31" s="513">
        <f t="shared" ca="1" si="60"/>
        <v>0.36722141710818906</v>
      </c>
      <c r="AO31" s="513">
        <f t="shared" ca="1" si="60"/>
        <v>0.38079671199127968</v>
      </c>
      <c r="AP31" s="513">
        <f t="shared" ca="1" si="60"/>
        <v>0.37553738475894427</v>
      </c>
      <c r="AQ31" s="513">
        <f t="shared" ca="1" si="60"/>
        <v>0.37798141307907762</v>
      </c>
      <c r="AR31" s="513">
        <f t="shared" ca="1" si="60"/>
        <v>0.38613299261322565</v>
      </c>
      <c r="AS31" s="513">
        <f t="shared" ref="AS31:AV31" ca="1" si="61">AS27/AS21</f>
        <v>0.40341021593767074</v>
      </c>
      <c r="AT31" s="513">
        <f t="shared" ca="1" si="61"/>
        <v>0.39821065082926443</v>
      </c>
      <c r="AU31" s="513">
        <f t="shared" ca="1" si="61"/>
        <v>0.40060776014321492</v>
      </c>
      <c r="AV31" s="513">
        <f t="shared" ca="1" si="61"/>
        <v>0.40790913431819481</v>
      </c>
    </row>
    <row r="33" spans="1:65">
      <c r="A33" s="460"/>
      <c r="B33" s="557" t="s">
        <v>317</v>
      </c>
      <c r="C33" s="557"/>
      <c r="D33" s="557"/>
      <c r="E33" s="557"/>
      <c r="F33" s="557"/>
      <c r="G33" s="557"/>
      <c r="H33" s="557"/>
      <c r="I33" s="557"/>
      <c r="J33" s="557"/>
      <c r="K33" s="557"/>
      <c r="L33" s="605"/>
      <c r="M33" s="447"/>
      <c r="N33" s="447"/>
      <c r="O33" s="447"/>
      <c r="P33" s="447"/>
      <c r="Q33" s="447"/>
      <c r="R33" s="447"/>
      <c r="S33" s="447"/>
      <c r="T33" s="447"/>
      <c r="U33" s="447"/>
      <c r="V33" s="447"/>
      <c r="W33" s="458"/>
      <c r="X33" s="458"/>
      <c r="Y33" s="458"/>
      <c r="Z33" s="458"/>
      <c r="AA33" s="459"/>
      <c r="AB33" s="447"/>
      <c r="AC33" s="447"/>
      <c r="AD33" s="447"/>
      <c r="AE33" s="447"/>
      <c r="AF33" s="447"/>
      <c r="AG33" s="447"/>
      <c r="AH33" s="447"/>
      <c r="AI33" s="447"/>
      <c r="AJ33" s="447"/>
      <c r="AK33" s="447"/>
      <c r="AL33" s="447"/>
      <c r="AM33" s="447"/>
      <c r="AN33" s="447"/>
      <c r="AO33" s="447"/>
      <c r="AP33" s="447"/>
      <c r="AQ33" s="447"/>
      <c r="AR33" s="447"/>
      <c r="AS33" s="447"/>
      <c r="AT33" s="447"/>
      <c r="AU33" s="447"/>
      <c r="AV33" s="447"/>
    </row>
    <row r="34" spans="1:65">
      <c r="A34" s="460"/>
      <c r="B34" s="460" t="s">
        <v>1016</v>
      </c>
      <c r="C34" s="588">
        <f>SUM(M34:P34)</f>
        <v>806.69</v>
      </c>
      <c r="D34" s="588">
        <f>SUM(Q34:T34)</f>
        <v>1078.0999999999999</v>
      </c>
      <c r="E34" s="588">
        <f>SUM(U34:X34)</f>
        <v>1539.8300000000002</v>
      </c>
      <c r="F34" s="588">
        <f>SUM(Y34:AB34)</f>
        <v>1766.46</v>
      </c>
      <c r="G34" s="588">
        <f ca="1">SUM(AC34:AF34)</f>
        <v>1958.4991844415872</v>
      </c>
      <c r="H34" s="588">
        <f ca="1">SUM(AG34:AJ34)</f>
        <v>2201.8068233234799</v>
      </c>
      <c r="I34" s="588">
        <f ca="1">SUM(AK34:AN34)</f>
        <v>2484.3047791177</v>
      </c>
      <c r="J34" s="588">
        <f ca="1">SUM(AO34:AR34)</f>
        <v>2787.9511011544191</v>
      </c>
      <c r="K34" s="588">
        <f ca="1">SUM(AS34:AV34)</f>
        <v>3093.9793666349997</v>
      </c>
      <c r="L34" s="528"/>
      <c r="M34" s="460">
        <f t="shared" ref="M34:T34" si="62">SUM(M37:M38)</f>
        <v>186.26</v>
      </c>
      <c r="N34" s="460">
        <f t="shared" si="62"/>
        <v>184.27999999999997</v>
      </c>
      <c r="O34" s="460">
        <f t="shared" si="62"/>
        <v>205.47000000000003</v>
      </c>
      <c r="P34" s="460">
        <f t="shared" si="62"/>
        <v>230.68</v>
      </c>
      <c r="Q34" s="460">
        <f t="shared" si="62"/>
        <v>249.64</v>
      </c>
      <c r="R34" s="460">
        <f t="shared" si="62"/>
        <v>256.8</v>
      </c>
      <c r="S34" s="460">
        <f t="shared" si="62"/>
        <v>279.75</v>
      </c>
      <c r="T34" s="460">
        <f t="shared" si="62"/>
        <v>291.90999999999997</v>
      </c>
      <c r="U34" s="461">
        <f t="shared" ref="U34:AR34" si="63">U40+U66+U82</f>
        <v>351.08000000000004</v>
      </c>
      <c r="V34" s="461">
        <f t="shared" si="63"/>
        <v>368.04</v>
      </c>
      <c r="W34" s="461">
        <f t="shared" si="63"/>
        <v>421.24</v>
      </c>
      <c r="X34" s="461">
        <f t="shared" si="63"/>
        <v>399.47</v>
      </c>
      <c r="Y34" s="461">
        <f t="shared" si="63"/>
        <v>468.77</v>
      </c>
      <c r="Z34" s="461">
        <f t="shared" si="63"/>
        <v>420.69</v>
      </c>
      <c r="AA34" s="461">
        <f t="shared" si="63"/>
        <v>440.49</v>
      </c>
      <c r="AB34" s="461">
        <v>436.51</v>
      </c>
      <c r="AC34" s="461">
        <f t="shared" ca="1" si="63"/>
        <v>474.1806561151086</v>
      </c>
      <c r="AD34" s="461">
        <f t="shared" ca="1" si="63"/>
        <v>481.59598236438967</v>
      </c>
      <c r="AE34" s="461">
        <f t="shared" ca="1" si="63"/>
        <v>499.50242714359695</v>
      </c>
      <c r="AF34" s="461">
        <f t="shared" ca="1" si="63"/>
        <v>503.22011881849198</v>
      </c>
      <c r="AG34" s="461">
        <f t="shared" ca="1" si="63"/>
        <v>530.37130566438873</v>
      </c>
      <c r="AH34" s="461">
        <f t="shared" ca="1" si="63"/>
        <v>537.170207640081</v>
      </c>
      <c r="AI34" s="461">
        <f t="shared" ca="1" si="63"/>
        <v>560.73843598717758</v>
      </c>
      <c r="AJ34" s="461">
        <f t="shared" ca="1" si="63"/>
        <v>573.52687403183245</v>
      </c>
      <c r="AK34" s="461">
        <f t="shared" ca="1" si="63"/>
        <v>598.62502563786086</v>
      </c>
      <c r="AL34" s="461">
        <f t="shared" ca="1" si="63"/>
        <v>604.64223307713701</v>
      </c>
      <c r="AM34" s="461">
        <f t="shared" ca="1" si="63"/>
        <v>632.47800890606231</v>
      </c>
      <c r="AN34" s="461">
        <f t="shared" ca="1" si="63"/>
        <v>648.55951149664008</v>
      </c>
      <c r="AO34" s="461">
        <f t="shared" ca="1" si="63"/>
        <v>671.6333350628297</v>
      </c>
      <c r="AP34" s="461">
        <f t="shared" ca="1" si="63"/>
        <v>677.74890728224523</v>
      </c>
      <c r="AQ34" s="461">
        <f t="shared" ca="1" si="63"/>
        <v>709.34125202495989</v>
      </c>
      <c r="AR34" s="461">
        <f t="shared" ca="1" si="63"/>
        <v>729.22760678438408</v>
      </c>
      <c r="AS34" s="461">
        <f t="shared" ref="AS34:AV34" ca="1" si="64">AS40+AS66+AS82</f>
        <v>746.8355500142809</v>
      </c>
      <c r="AT34" s="461">
        <f t="shared" ca="1" si="64"/>
        <v>751.34611036944762</v>
      </c>
      <c r="AU34" s="461">
        <f t="shared" ca="1" si="64"/>
        <v>785.38637804440691</v>
      </c>
      <c r="AV34" s="461">
        <f t="shared" ca="1" si="64"/>
        <v>810.41132820686403</v>
      </c>
    </row>
    <row r="35" spans="1:65">
      <c r="A35" s="460"/>
      <c r="B35" s="562" t="s">
        <v>315</v>
      </c>
      <c r="C35" s="559"/>
      <c r="D35" s="452">
        <f>D34/C34-1</f>
        <v>0.33644894569165329</v>
      </c>
      <c r="E35" s="452">
        <f t="shared" ref="E35" si="65">E34/D34-1</f>
        <v>0.42828123550691055</v>
      </c>
      <c r="F35" s="452">
        <f t="shared" ref="F35" si="66">F34/E34-1</f>
        <v>0.14717858464895461</v>
      </c>
      <c r="G35" s="452">
        <f t="shared" ref="G35" ca="1" si="67">G34/F34-1</f>
        <v>0.10871414265909629</v>
      </c>
      <c r="H35" s="452">
        <f t="shared" ref="H35" ca="1" si="68">H34/G34-1</f>
        <v>0.12423167740622021</v>
      </c>
      <c r="I35" s="452">
        <f t="shared" ref="I35" ca="1" si="69">I34/H34-1</f>
        <v>0.12830278878317247</v>
      </c>
      <c r="J35" s="452">
        <f t="shared" ref="J35:K35" ca="1" si="70">J34/I34-1</f>
        <v>0.1222258736484656</v>
      </c>
      <c r="K35" s="452">
        <f t="shared" ca="1" si="70"/>
        <v>0.10976816105342091</v>
      </c>
      <c r="L35" s="593"/>
      <c r="M35" s="487"/>
      <c r="N35" s="487"/>
      <c r="O35" s="487"/>
      <c r="P35" s="487"/>
      <c r="Q35" s="487">
        <f t="shared" ref="Q35" si="71">Q34/M34-1</f>
        <v>0.34027703210565874</v>
      </c>
      <c r="R35" s="487">
        <f t="shared" ref="R35" si="72">R34/N34-1</f>
        <v>0.39353158237464747</v>
      </c>
      <c r="S35" s="487">
        <f t="shared" ref="S35" si="73">S34/O34-1</f>
        <v>0.36151262958096053</v>
      </c>
      <c r="T35" s="487">
        <f t="shared" ref="T35" si="74">T34/P34-1</f>
        <v>0.26543263395179451</v>
      </c>
      <c r="U35" s="487">
        <f t="shared" ref="U35" si="75">U34/Q34-1</f>
        <v>0.40634513699727637</v>
      </c>
      <c r="V35" s="487">
        <f t="shared" ref="V35" si="76">V34/R34-1</f>
        <v>0.43317757009345792</v>
      </c>
      <c r="W35" s="487">
        <f t="shared" ref="W35" si="77">W34/S34-1</f>
        <v>0.50577301161751564</v>
      </c>
      <c r="X35" s="487">
        <f t="shared" ref="X35" si="78">X34/T34-1</f>
        <v>0.3684697338220686</v>
      </c>
      <c r="Y35" s="487">
        <f t="shared" ref="Y35" si="79">Y34/U34-1</f>
        <v>0.33522274125555418</v>
      </c>
      <c r="Z35" s="487">
        <f t="shared" ref="Z35" si="80">Z34/V34-1</f>
        <v>0.14305510270622745</v>
      </c>
      <c r="AA35" s="487">
        <f t="shared" ref="AA35" si="81">AA34/W34-1</f>
        <v>4.5698414205678439E-2</v>
      </c>
      <c r="AB35" s="487">
        <f t="shared" ref="AB35" si="82">AB34/X34-1</f>
        <v>9.2722857786567081E-2</v>
      </c>
      <c r="AC35" s="487">
        <f t="shared" ref="AC35" ca="1" si="83">AC34/Y34-1</f>
        <v>1.1542240576633889E-2</v>
      </c>
      <c r="AD35" s="487">
        <f t="shared" ref="AD35" ca="1" si="84">AD34/Z34-1</f>
        <v>0.14477639678715848</v>
      </c>
      <c r="AE35" s="487">
        <f t="shared" ref="AE35" ca="1" si="85">AE34/AA34-1</f>
        <v>0.1339699587813501</v>
      </c>
      <c r="AF35" s="487">
        <f t="shared" ref="AF35" ca="1" si="86">AF34/AB34-1</f>
        <v>0.15282609520627699</v>
      </c>
      <c r="AG35" s="487">
        <f t="shared" ref="AG35" ca="1" si="87">AG34/AC34-1</f>
        <v>0.11850050993147154</v>
      </c>
      <c r="AH35" s="487">
        <f t="shared" ref="AH35" ca="1" si="88">AH34/AD34-1</f>
        <v>0.1153959487013374</v>
      </c>
      <c r="AI35" s="487">
        <f t="shared" ref="AI35" ca="1" si="89">AI34/AE34-1</f>
        <v>0.12259401659719371</v>
      </c>
      <c r="AJ35" s="487">
        <f t="shared" ref="AJ35" ca="1" si="90">AJ34/AF34-1</f>
        <v>0.13971372086317491</v>
      </c>
      <c r="AK35" s="487">
        <f t="shared" ref="AK35" ca="1" si="91">AK34/AG34-1</f>
        <v>0.12869044619216652</v>
      </c>
      <c r="AL35" s="487">
        <f t="shared" ref="AL35" ca="1" si="92">AL34/AH34-1</f>
        <v>0.12560641762594571</v>
      </c>
      <c r="AM35" s="487">
        <f t="shared" ref="AM35" ca="1" si="93">AM34/AI34-1</f>
        <v>0.12793767702509551</v>
      </c>
      <c r="AN35" s="487">
        <f t="shared" ref="AN35" ca="1" si="94">AN34/AJ34-1</f>
        <v>0.13082671599560136</v>
      </c>
      <c r="AO35" s="487">
        <f t="shared" ref="AO35" ca="1" si="95">AO34/AK34-1</f>
        <v>0.12196000216859515</v>
      </c>
      <c r="AP35" s="487">
        <f t="shared" ref="AP35" ca="1" si="96">AP34/AL34-1</f>
        <v>0.1209089775834129</v>
      </c>
      <c r="AQ35" s="487">
        <f t="shared" ref="AQ35" ca="1" si="97">AQ34/AM34-1</f>
        <v>0.12152713934171522</v>
      </c>
      <c r="AR35" s="487">
        <f ca="1">AR34/AN34-1</f>
        <v>0.12438040589612398</v>
      </c>
      <c r="AS35" s="487">
        <f t="shared" ref="AS35:AV35" ca="1" si="98">AS34/AO34-1</f>
        <v>0.1119691519546393</v>
      </c>
      <c r="AT35" s="487">
        <f t="shared" ca="1" si="98"/>
        <v>0.10859066284935115</v>
      </c>
      <c r="AU35" s="487">
        <f t="shared" ca="1" si="98"/>
        <v>0.10720527785795708</v>
      </c>
      <c r="AV35" s="487">
        <f t="shared" ca="1" si="98"/>
        <v>0.11132837082302638</v>
      </c>
    </row>
    <row r="36" spans="1:65">
      <c r="A36" s="460"/>
      <c r="B36" s="562" t="s">
        <v>1022</v>
      </c>
      <c r="C36" s="562"/>
      <c r="D36" s="562"/>
      <c r="E36" s="562"/>
      <c r="F36" s="562"/>
      <c r="G36" s="562"/>
      <c r="H36" s="562"/>
      <c r="I36" s="562"/>
      <c r="J36" s="562"/>
      <c r="K36" s="562"/>
      <c r="L36" s="593"/>
      <c r="M36" s="487"/>
      <c r="N36" s="487">
        <f>N34/M34-1</f>
        <v>-1.0630301728766334E-2</v>
      </c>
      <c r="O36" s="487">
        <f t="shared" ref="O36:AR36" si="99">O34/N34-1</f>
        <v>0.11498806164532271</v>
      </c>
      <c r="P36" s="487">
        <f t="shared" si="99"/>
        <v>0.12269431060495428</v>
      </c>
      <c r="Q36" s="487">
        <f t="shared" si="99"/>
        <v>8.2191780821917693E-2</v>
      </c>
      <c r="R36" s="487">
        <f t="shared" si="99"/>
        <v>2.8681301073546051E-2</v>
      </c>
      <c r="S36" s="487">
        <f t="shared" si="99"/>
        <v>8.9369158878504606E-2</v>
      </c>
      <c r="T36" s="487">
        <f t="shared" si="99"/>
        <v>4.3467381590705845E-2</v>
      </c>
      <c r="U36" s="487">
        <f t="shared" si="99"/>
        <v>0.20269946216299561</v>
      </c>
      <c r="V36" s="487">
        <f t="shared" si="99"/>
        <v>4.8308077930955928E-2</v>
      </c>
      <c r="W36" s="487">
        <f t="shared" si="99"/>
        <v>0.14454950548853374</v>
      </c>
      <c r="X36" s="487">
        <f t="shared" si="99"/>
        <v>-5.1680752065330848E-2</v>
      </c>
      <c r="Y36" s="487">
        <f t="shared" si="99"/>
        <v>0.17347986081558053</v>
      </c>
      <c r="Z36" s="487">
        <f t="shared" si="99"/>
        <v>-0.10256629050493837</v>
      </c>
      <c r="AA36" s="487">
        <f t="shared" si="99"/>
        <v>4.706553519218426E-2</v>
      </c>
      <c r="AB36" s="487">
        <f t="shared" si="99"/>
        <v>-9.0353924039138223E-3</v>
      </c>
      <c r="AC36" s="487">
        <f t="shared" ca="1" si="99"/>
        <v>8.6299640592675031E-2</v>
      </c>
      <c r="AD36" s="487">
        <f t="shared" ca="1" si="99"/>
        <v>1.5638188006304787E-2</v>
      </c>
      <c r="AE36" s="487">
        <f t="shared" ca="1" si="99"/>
        <v>3.7181466280710618E-2</v>
      </c>
      <c r="AF36" s="487">
        <f t="shared" ca="1" si="99"/>
        <v>7.4427900103601896E-3</v>
      </c>
      <c r="AG36" s="487">
        <f t="shared" ca="1" si="99"/>
        <v>5.3954891369695002E-2</v>
      </c>
      <c r="AH36" s="487">
        <f t="shared" ca="1" si="99"/>
        <v>1.2819136146845933E-2</v>
      </c>
      <c r="AI36" s="487">
        <f t="shared" ca="1" si="99"/>
        <v>4.3874786821550549E-2</v>
      </c>
      <c r="AJ36" s="487">
        <f t="shared" ca="1" si="99"/>
        <v>2.2806423144760668E-2</v>
      </c>
      <c r="AK36" s="487">
        <f t="shared" ca="1" si="99"/>
        <v>4.3761073355797819E-2</v>
      </c>
      <c r="AL36" s="487">
        <f t="shared" ca="1" si="99"/>
        <v>1.0051713813441943E-2</v>
      </c>
      <c r="AM36" s="487">
        <f t="shared" ca="1" si="99"/>
        <v>4.6036770682166717E-2</v>
      </c>
      <c r="AN36" s="487">
        <f t="shared" ca="1" si="99"/>
        <v>2.5426184569472099E-2</v>
      </c>
      <c r="AO36" s="487">
        <f t="shared" ca="1" si="99"/>
        <v>3.5577033652538059E-2</v>
      </c>
      <c r="AP36" s="487">
        <f t="shared" ca="1" si="99"/>
        <v>9.1055221653693064E-3</v>
      </c>
      <c r="AQ36" s="487">
        <f t="shared" ca="1" si="99"/>
        <v>4.6613641723745713E-2</v>
      </c>
      <c r="AR36" s="487">
        <f t="shared" ca="1" si="99"/>
        <v>2.803496159662866E-2</v>
      </c>
      <c r="AS36" s="487">
        <f t="shared" ref="AS36" ca="1" si="100">AS34/AR34-1</f>
        <v>2.414601842563413E-2</v>
      </c>
      <c r="AT36" s="487">
        <f t="shared" ref="AT36" ca="1" si="101">AT34/AS34-1</f>
        <v>6.0395630002889611E-3</v>
      </c>
      <c r="AU36" s="487">
        <f t="shared" ref="AU36" ca="1" si="102">AU34/AT34-1</f>
        <v>4.5305708255042765E-2</v>
      </c>
      <c r="AV36" s="487">
        <f t="shared" ref="AV36" ca="1" si="103">AV34/AU34-1</f>
        <v>3.1863234278099783E-2</v>
      </c>
    </row>
    <row r="37" spans="1:65">
      <c r="B37" s="563" t="s">
        <v>318</v>
      </c>
      <c r="C37" s="588">
        <f>SUM(M37:P37)</f>
        <v>565.87</v>
      </c>
      <c r="D37" s="588">
        <f>SUM(Q37:T37)</f>
        <v>708.44</v>
      </c>
      <c r="E37" s="588">
        <f>SUM(U37:X37)</f>
        <v>978.83</v>
      </c>
      <c r="F37" s="588">
        <f>SUM(Y37:AB37)</f>
        <v>1039.92</v>
      </c>
      <c r="G37" s="588">
        <f>SUM(AC37:AF37)</f>
        <v>1096.3199960677243</v>
      </c>
      <c r="H37" s="588">
        <f>SUM(AG37:AJ37)</f>
        <v>1198.7724783109159</v>
      </c>
      <c r="I37" s="588">
        <f>SUM(AK37:AN37)</f>
        <v>1303.1695126234699</v>
      </c>
      <c r="J37" s="588">
        <f>SUM(AO37:AR37)</f>
        <v>1406.8426792275673</v>
      </c>
      <c r="K37" s="588">
        <f>SUM(AS37:AV37)</f>
        <v>1509.3889137948752</v>
      </c>
      <c r="L37" s="587"/>
      <c r="M37" s="450">
        <v>133.13</v>
      </c>
      <c r="N37" s="450">
        <v>129.69999999999999</v>
      </c>
      <c r="O37" s="450">
        <v>143.33000000000001</v>
      </c>
      <c r="P37" s="450">
        <v>159.71</v>
      </c>
      <c r="Q37" s="450">
        <v>170.85</v>
      </c>
      <c r="R37" s="450">
        <v>171.24</v>
      </c>
      <c r="S37" s="450">
        <v>181.66</v>
      </c>
      <c r="T37" s="450">
        <v>184.69</v>
      </c>
      <c r="U37" s="450">
        <v>228.11</v>
      </c>
      <c r="V37" s="450">
        <v>238.61</v>
      </c>
      <c r="W37" s="450">
        <v>268.44</v>
      </c>
      <c r="X37" s="450">
        <v>243.67</v>
      </c>
      <c r="Y37" s="450">
        <v>287.77999999999997</v>
      </c>
      <c r="Z37" s="450">
        <v>252.02</v>
      </c>
      <c r="AA37" s="462">
        <v>258.13</v>
      </c>
      <c r="AB37" s="556">
        <v>241.99</v>
      </c>
      <c r="AC37" s="556">
        <f t="shared" ref="AC37:AR37" si="104">(AC40+AC66)/1.22</f>
        <v>272.37817383442621</v>
      </c>
      <c r="AD37" s="556">
        <f t="shared" si="104"/>
        <v>270.02956827396048</v>
      </c>
      <c r="AE37" s="556">
        <f t="shared" si="104"/>
        <v>275.6845755804984</v>
      </c>
      <c r="AF37" s="556">
        <f t="shared" si="104"/>
        <v>278.22767837883941</v>
      </c>
      <c r="AG37" s="556">
        <f t="shared" si="104"/>
        <v>297.75033900518372</v>
      </c>
      <c r="AH37" s="556">
        <f t="shared" si="104"/>
        <v>295.410944449922</v>
      </c>
      <c r="AI37" s="556">
        <f t="shared" si="104"/>
        <v>301.42051426749566</v>
      </c>
      <c r="AJ37" s="556">
        <f t="shared" si="104"/>
        <v>304.19068058831454</v>
      </c>
      <c r="AK37" s="556">
        <f t="shared" si="104"/>
        <v>323.61630515488162</v>
      </c>
      <c r="AL37" s="556">
        <f t="shared" si="104"/>
        <v>321.27460093005107</v>
      </c>
      <c r="AM37" s="556">
        <f t="shared" si="104"/>
        <v>327.64198708452631</v>
      </c>
      <c r="AN37" s="556">
        <f t="shared" si="104"/>
        <v>330.63661945401094</v>
      </c>
      <c r="AO37" s="556">
        <f t="shared" si="104"/>
        <v>349.31968732240858</v>
      </c>
      <c r="AP37" s="556">
        <f t="shared" si="104"/>
        <v>346.95633880101252</v>
      </c>
      <c r="AQ37" s="556">
        <f t="shared" si="104"/>
        <v>353.67865896787436</v>
      </c>
      <c r="AR37" s="556">
        <f t="shared" si="104"/>
        <v>356.88799413627186</v>
      </c>
      <c r="AS37" s="556">
        <f t="shared" ref="AS37:AV37" si="105">(AS40+AS66)/1.22</f>
        <v>375.96366836516148</v>
      </c>
      <c r="AT37" s="556">
        <f t="shared" si="105"/>
        <v>372.76136777674827</v>
      </c>
      <c r="AU37" s="556">
        <f t="shared" si="105"/>
        <v>379.03089281127524</v>
      </c>
      <c r="AV37" s="556">
        <f t="shared" si="105"/>
        <v>381.63298484169007</v>
      </c>
    </row>
    <row r="38" spans="1:65">
      <c r="B38" s="563" t="s">
        <v>319</v>
      </c>
      <c r="C38" s="588">
        <f>SUM(M38:P38)</f>
        <v>240.82000000000002</v>
      </c>
      <c r="D38" s="588">
        <f>SUM(Q38:T38)</f>
        <v>369.66000000000008</v>
      </c>
      <c r="E38" s="588">
        <f>SUM(U38:X38)</f>
        <v>561</v>
      </c>
      <c r="F38" s="588">
        <f>SUM(Y38:AB38)</f>
        <v>726.54</v>
      </c>
      <c r="G38" s="588">
        <f ca="1">SUM(AC38:AF38)</f>
        <v>862.17918837386276</v>
      </c>
      <c r="H38" s="588">
        <f ca="1">SUM(AG38:AJ38)</f>
        <v>1003.0343450125638</v>
      </c>
      <c r="I38" s="588">
        <f ca="1">SUM(AK38:AN38)</f>
        <v>1181.1352664942303</v>
      </c>
      <c r="J38" s="588">
        <f ca="1">SUM(AO38:AR38)</f>
        <v>1381.1084219268516</v>
      </c>
      <c r="K38" s="588">
        <f ca="1">SUM(AS38:AV38)</f>
        <v>1584.5904528401243</v>
      </c>
      <c r="L38" s="587"/>
      <c r="M38" s="450">
        <v>53.13</v>
      </c>
      <c r="N38" s="450">
        <v>54.58</v>
      </c>
      <c r="O38" s="450">
        <v>62.14</v>
      </c>
      <c r="P38" s="450">
        <v>70.97</v>
      </c>
      <c r="Q38" s="450">
        <v>78.790000000000006</v>
      </c>
      <c r="R38" s="450">
        <v>85.56</v>
      </c>
      <c r="S38" s="450">
        <v>98.09</v>
      </c>
      <c r="T38" s="450">
        <v>107.22</v>
      </c>
      <c r="U38" s="450">
        <v>122.97</v>
      </c>
      <c r="V38" s="450">
        <v>129.43</v>
      </c>
      <c r="W38" s="450">
        <v>152.80000000000001</v>
      </c>
      <c r="X38" s="450">
        <v>155.80000000000001</v>
      </c>
      <c r="Y38" s="450">
        <v>180.99</v>
      </c>
      <c r="Z38" s="450">
        <v>168.67</v>
      </c>
      <c r="AA38" s="462">
        <v>182.36</v>
      </c>
      <c r="AB38" s="556">
        <v>194.52</v>
      </c>
      <c r="AC38" s="556">
        <f t="shared" ref="AC38:AR38" ca="1" si="106">AC34-AC37</f>
        <v>201.8024822806824</v>
      </c>
      <c r="AD38" s="556">
        <f t="shared" ca="1" si="106"/>
        <v>211.56641409042919</v>
      </c>
      <c r="AE38" s="556">
        <f t="shared" ca="1" si="106"/>
        <v>223.81785156309854</v>
      </c>
      <c r="AF38" s="556">
        <f t="shared" ca="1" si="106"/>
        <v>224.99244043965257</v>
      </c>
      <c r="AG38" s="556">
        <f t="shared" ca="1" si="106"/>
        <v>232.62096665920501</v>
      </c>
      <c r="AH38" s="556">
        <f t="shared" ca="1" si="106"/>
        <v>241.759263190159</v>
      </c>
      <c r="AI38" s="556">
        <f t="shared" ca="1" si="106"/>
        <v>259.31792171968192</v>
      </c>
      <c r="AJ38" s="556">
        <f t="shared" ca="1" si="106"/>
        <v>269.33619344351791</v>
      </c>
      <c r="AK38" s="556">
        <f t="shared" ca="1" si="106"/>
        <v>275.00872048297924</v>
      </c>
      <c r="AL38" s="556">
        <f t="shared" ca="1" si="106"/>
        <v>283.36763214708594</v>
      </c>
      <c r="AM38" s="556">
        <f t="shared" ca="1" si="106"/>
        <v>304.83602182153601</v>
      </c>
      <c r="AN38" s="556">
        <f t="shared" ca="1" si="106"/>
        <v>317.92289204262914</v>
      </c>
      <c r="AO38" s="556">
        <f t="shared" ca="1" si="106"/>
        <v>322.31364774042112</v>
      </c>
      <c r="AP38" s="556">
        <f t="shared" ca="1" si="106"/>
        <v>330.79256848123271</v>
      </c>
      <c r="AQ38" s="556">
        <f t="shared" ca="1" si="106"/>
        <v>355.66259305708553</v>
      </c>
      <c r="AR38" s="556">
        <f t="shared" ca="1" si="106"/>
        <v>372.33961264811222</v>
      </c>
      <c r="AS38" s="556">
        <f t="shared" ref="AS38:AV38" ca="1" si="107">AS34-AS37</f>
        <v>370.87188164911942</v>
      </c>
      <c r="AT38" s="556">
        <f t="shared" ca="1" si="107"/>
        <v>378.58474259269934</v>
      </c>
      <c r="AU38" s="556">
        <f t="shared" ca="1" si="107"/>
        <v>406.35548523313167</v>
      </c>
      <c r="AV38" s="556">
        <f t="shared" ca="1" si="107"/>
        <v>428.77834336517395</v>
      </c>
    </row>
    <row r="39" spans="1:65" s="258" customFormat="1">
      <c r="A39" s="460"/>
      <c r="B39" s="460"/>
      <c r="C39" s="460"/>
      <c r="D39" s="460"/>
      <c r="E39" s="460"/>
      <c r="F39" s="460"/>
      <c r="G39" s="460"/>
      <c r="H39" s="460"/>
      <c r="I39" s="460"/>
      <c r="J39" s="460"/>
      <c r="K39" s="460"/>
      <c r="L39" s="528"/>
      <c r="M39" s="460"/>
      <c r="N39" s="460"/>
      <c r="O39" s="460"/>
      <c r="P39" s="460"/>
      <c r="Q39" s="460"/>
      <c r="R39" s="460"/>
      <c r="S39" s="460"/>
      <c r="T39" s="460"/>
      <c r="U39" s="460"/>
      <c r="V39" s="460"/>
      <c r="W39" s="460"/>
      <c r="X39" s="460"/>
      <c r="Y39" s="460"/>
      <c r="Z39" s="460"/>
      <c r="AA39" s="460"/>
      <c r="AB39" s="460"/>
      <c r="AC39" s="460"/>
      <c r="AD39" s="460"/>
      <c r="AE39" s="460"/>
      <c r="AF39" s="460"/>
      <c r="AG39" s="460"/>
      <c r="AH39" s="460"/>
      <c r="AI39" s="460"/>
      <c r="AJ39" s="460"/>
      <c r="AK39" s="460"/>
      <c r="AL39" s="460"/>
      <c r="AM39" s="460"/>
      <c r="AN39" s="460"/>
      <c r="AO39" s="460"/>
      <c r="AP39" s="460"/>
      <c r="AQ39" s="460"/>
      <c r="AR39" s="460"/>
      <c r="AS39" s="460"/>
      <c r="AT39" s="460"/>
      <c r="AU39" s="460"/>
      <c r="AV39" s="460"/>
      <c r="AW39" s="460"/>
      <c r="AX39" s="446"/>
      <c r="AY39" s="446"/>
      <c r="BE39" s="273"/>
      <c r="BH39" s="279"/>
      <c r="BI39" s="279"/>
      <c r="BJ39" s="279"/>
      <c r="BK39" s="279"/>
      <c r="BL39" s="279"/>
      <c r="BM39" s="279"/>
    </row>
    <row r="40" spans="1:65" s="267" customFormat="1">
      <c r="A40" s="609"/>
      <c r="B40" s="564" t="s">
        <v>320</v>
      </c>
      <c r="C40" s="588"/>
      <c r="D40" s="588"/>
      <c r="E40" s="588">
        <f>SUM(U40:X40)</f>
        <v>628</v>
      </c>
      <c r="F40" s="588">
        <f>SUM(Y40:AB40)</f>
        <v>778</v>
      </c>
      <c r="G40" s="588">
        <f>SUM(AC40:AF40)</f>
        <v>853.03062606562389</v>
      </c>
      <c r="H40" s="588">
        <f>SUM(AG40:AJ40)</f>
        <v>955.81112037111347</v>
      </c>
      <c r="I40" s="588">
        <f>SUM(AK40:AN40)</f>
        <v>1060.0673079515764</v>
      </c>
      <c r="J40" s="588">
        <f>SUM(AO40:AR40)</f>
        <v>1162.5099074437223</v>
      </c>
      <c r="K40" s="588">
        <f>SUM(AS40:AV40)</f>
        <v>1262.6121495727982</v>
      </c>
      <c r="L40" s="586"/>
      <c r="M40" s="460"/>
      <c r="N40" s="460"/>
      <c r="O40" s="460"/>
      <c r="P40" s="460"/>
      <c r="Q40" s="460"/>
      <c r="R40" s="460">
        <v>96</v>
      </c>
      <c r="S40" s="460">
        <v>99</v>
      </c>
      <c r="T40" s="460"/>
      <c r="U40" s="460">
        <v>129</v>
      </c>
      <c r="V40" s="460">
        <v>148</v>
      </c>
      <c r="W40" s="460">
        <v>182</v>
      </c>
      <c r="X40" s="460">
        <v>169</v>
      </c>
      <c r="Y40" s="460">
        <v>217</v>
      </c>
      <c r="Z40" s="460">
        <v>176</v>
      </c>
      <c r="AA40" s="463">
        <v>195</v>
      </c>
      <c r="AB40" s="464">
        <f>778-AA40-Z40-Y40</f>
        <v>190</v>
      </c>
      <c r="AC40" s="464">
        <f t="shared" ref="AC40:AR40" si="108">AC56*AC54</f>
        <v>209.55490732800004</v>
      </c>
      <c r="AD40" s="464">
        <f t="shared" si="108"/>
        <v>212.15355604623178</v>
      </c>
      <c r="AE40" s="464">
        <f t="shared" si="108"/>
        <v>214.40694822220803</v>
      </c>
      <c r="AF40" s="464">
        <f t="shared" si="108"/>
        <v>216.91521446918404</v>
      </c>
      <c r="AG40" s="464">
        <f t="shared" si="108"/>
        <v>234.88149552932418</v>
      </c>
      <c r="AH40" s="464">
        <f t="shared" si="108"/>
        <v>237.74188265168885</v>
      </c>
      <c r="AI40" s="464">
        <f t="shared" si="108"/>
        <v>240.21485284683266</v>
      </c>
      <c r="AJ40" s="464">
        <f t="shared" si="108"/>
        <v>242.9728893432677</v>
      </c>
      <c r="AK40" s="464">
        <f t="shared" si="108"/>
        <v>260.58334554481058</v>
      </c>
      <c r="AL40" s="464">
        <f t="shared" si="108"/>
        <v>263.70152835400057</v>
      </c>
      <c r="AM40" s="464">
        <f t="shared" si="108"/>
        <v>266.38944808627474</v>
      </c>
      <c r="AN40" s="464">
        <f t="shared" si="108"/>
        <v>269.39298596649041</v>
      </c>
      <c r="AO40" s="464">
        <f t="shared" si="108"/>
        <v>285.8511019070711</v>
      </c>
      <c r="AP40" s="464">
        <f t="shared" si="108"/>
        <v>289.21398596354049</v>
      </c>
      <c r="AQ40" s="464">
        <f t="shared" si="108"/>
        <v>292.10441644788744</v>
      </c>
      <c r="AR40" s="464">
        <f t="shared" si="108"/>
        <v>295.3404031252233</v>
      </c>
      <c r="AS40" s="464">
        <f t="shared" ref="AS40:AV40" si="109">AS56*AS54</f>
        <v>312.02177239624967</v>
      </c>
      <c r="AT40" s="464">
        <f t="shared" si="109"/>
        <v>314.64313110162578</v>
      </c>
      <c r="AU40" s="464">
        <f t="shared" si="109"/>
        <v>316.74138451914155</v>
      </c>
      <c r="AV40" s="464">
        <f t="shared" si="109"/>
        <v>319.20586155578121</v>
      </c>
      <c r="AW40" s="465"/>
      <c r="AX40" s="270"/>
      <c r="AZ40" s="268"/>
      <c r="BB40" s="269"/>
      <c r="BI40" s="270"/>
      <c r="BJ40" s="270"/>
      <c r="BK40" s="270"/>
      <c r="BL40" s="270"/>
      <c r="BM40" s="270"/>
    </row>
    <row r="41" spans="1:65" s="267" customFormat="1">
      <c r="A41" s="465"/>
      <c r="B41" s="565" t="s">
        <v>323</v>
      </c>
      <c r="C41" s="565"/>
      <c r="D41" s="565"/>
      <c r="E41" s="565"/>
      <c r="F41" s="589">
        <f>F40/E40-1</f>
        <v>0.23885350318471343</v>
      </c>
      <c r="G41" s="589">
        <f t="shared" ref="G41:K41" si="110">G40/F40-1</f>
        <v>9.6440393400544888E-2</v>
      </c>
      <c r="H41" s="589">
        <f t="shared" si="110"/>
        <v>0.12048863330914283</v>
      </c>
      <c r="I41" s="589">
        <f t="shared" si="110"/>
        <v>0.10907614000136689</v>
      </c>
      <c r="J41" s="589">
        <f t="shared" si="110"/>
        <v>9.6637825469876315E-2</v>
      </c>
      <c r="K41" s="589">
        <f t="shared" si="110"/>
        <v>8.61087217305474E-2</v>
      </c>
      <c r="L41" s="591"/>
      <c r="M41" s="481"/>
      <c r="N41" s="481"/>
      <c r="O41" s="481"/>
      <c r="P41" s="481"/>
      <c r="Q41" s="481"/>
      <c r="R41" s="484">
        <v>1.1399999999999999</v>
      </c>
      <c r="S41" s="484">
        <v>0.87</v>
      </c>
      <c r="T41" s="481"/>
      <c r="U41" s="482"/>
      <c r="V41" s="482"/>
      <c r="W41" s="482"/>
      <c r="X41" s="482"/>
      <c r="Y41" s="483">
        <f t="shared" ref="Y41:AR41" si="111">Y40/U40-1</f>
        <v>0.68217054263565902</v>
      </c>
      <c r="Z41" s="483">
        <f t="shared" si="111"/>
        <v>0.18918918918918926</v>
      </c>
      <c r="AA41" s="483">
        <f t="shared" si="111"/>
        <v>7.1428571428571397E-2</v>
      </c>
      <c r="AB41" s="483">
        <f t="shared" si="111"/>
        <v>0.12426035502958577</v>
      </c>
      <c r="AC41" s="483">
        <f t="shared" si="111"/>
        <v>-3.4309182820276285E-2</v>
      </c>
      <c r="AD41" s="483">
        <f t="shared" si="111"/>
        <v>0.20541793208086245</v>
      </c>
      <c r="AE41" s="483">
        <f t="shared" si="111"/>
        <v>9.9522811395938549E-2</v>
      </c>
      <c r="AF41" s="483">
        <f t="shared" si="111"/>
        <v>0.1416590235220212</v>
      </c>
      <c r="AG41" s="483">
        <f t="shared" si="111"/>
        <v>0.12085896018499054</v>
      </c>
      <c r="AH41" s="483">
        <f t="shared" si="111"/>
        <v>0.12061229178680821</v>
      </c>
      <c r="AI41" s="483">
        <f t="shared" si="111"/>
        <v>0.12036878859857514</v>
      </c>
      <c r="AJ41" s="483">
        <f t="shared" si="111"/>
        <v>0.12012838720349661</v>
      </c>
      <c r="AK41" s="483">
        <f t="shared" si="111"/>
        <v>0.10942475463026669</v>
      </c>
      <c r="AL41" s="483">
        <f t="shared" si="111"/>
        <v>0.10919256385440801</v>
      </c>
      <c r="AM41" s="483">
        <f t="shared" si="111"/>
        <v>0.10896326738018858</v>
      </c>
      <c r="AN41" s="483">
        <f t="shared" si="111"/>
        <v>0.10873680884576742</v>
      </c>
      <c r="AO41" s="483">
        <f t="shared" si="111"/>
        <v>9.696612156633555E-2</v>
      </c>
      <c r="AP41" s="483">
        <f t="shared" si="111"/>
        <v>9.674747722846444E-2</v>
      </c>
      <c r="AQ41" s="483">
        <f t="shared" si="111"/>
        <v>9.6531482558139814E-2</v>
      </c>
      <c r="AR41" s="483">
        <f t="shared" si="111"/>
        <v>9.6318087368319594E-2</v>
      </c>
      <c r="AS41" s="483">
        <f t="shared" ref="AS41" si="112">AS40/AO40-1</f>
        <v>9.1553505704821569E-2</v>
      </c>
      <c r="AT41" s="483">
        <f t="shared" ref="AT41" si="113">AT40/AP40-1</f>
        <v>8.7925018748197692E-2</v>
      </c>
      <c r="AU41" s="483">
        <f t="shared" ref="AU41" si="114">AU40/AQ40-1</f>
        <v>8.4343018057891683E-2</v>
      </c>
      <c r="AV41" s="483">
        <f t="shared" ref="AV41" si="115">AV40/AR40-1</f>
        <v>8.0806615613777222E-2</v>
      </c>
      <c r="AW41" s="465"/>
      <c r="AY41" s="268"/>
      <c r="AZ41" s="268"/>
      <c r="BB41" s="269"/>
      <c r="BI41" s="270"/>
      <c r="BJ41" s="270"/>
      <c r="BK41" s="270"/>
      <c r="BL41" s="270"/>
      <c r="BM41" s="270"/>
    </row>
    <row r="42" spans="1:65" s="258" customFormat="1">
      <c r="A42" s="573"/>
      <c r="B42" s="566" t="s">
        <v>324</v>
      </c>
      <c r="C42" s="566"/>
      <c r="D42" s="566"/>
      <c r="E42" s="448">
        <f>X42</f>
        <v>2.9423333333333335</v>
      </c>
      <c r="F42" s="448">
        <f>AB42</f>
        <v>2.4433333333333338</v>
      </c>
      <c r="G42" s="566"/>
      <c r="H42" s="566"/>
      <c r="I42" s="566"/>
      <c r="J42" s="566"/>
      <c r="K42" s="566"/>
      <c r="L42" s="594"/>
      <c r="M42" s="460"/>
      <c r="N42" s="460"/>
      <c r="O42" s="460"/>
      <c r="P42" s="460"/>
      <c r="Q42" s="460"/>
      <c r="R42" s="460"/>
      <c r="S42" s="460"/>
      <c r="T42" s="460"/>
      <c r="U42" s="461"/>
      <c r="V42" s="461"/>
      <c r="W42" s="461"/>
      <c r="X42" s="448">
        <f>SUM(X43:X47)</f>
        <v>2.9423333333333335</v>
      </c>
      <c r="Y42" s="448">
        <f>SUM(Y43:Y47)</f>
        <v>3.4640666666666671</v>
      </c>
      <c r="Z42" s="448">
        <f>SUM(Z43:Z47)</f>
        <v>2.8788000000000005</v>
      </c>
      <c r="AA42" s="448">
        <f>SUM(AA43:AA47)</f>
        <v>2.8245666666666667</v>
      </c>
      <c r="AB42" s="448">
        <f>SUM(AB43:AB47)</f>
        <v>2.4433333333333338</v>
      </c>
      <c r="AC42" s="461"/>
      <c r="AD42" s="461"/>
      <c r="AE42" s="461"/>
      <c r="AF42" s="461"/>
      <c r="AG42" s="461"/>
      <c r="AH42" s="461"/>
      <c r="AI42" s="461"/>
      <c r="AJ42" s="461"/>
      <c r="AK42" s="460"/>
      <c r="AL42" s="460"/>
      <c r="AM42" s="460"/>
      <c r="AN42" s="460"/>
      <c r="AO42" s="460"/>
      <c r="AP42" s="460"/>
      <c r="AQ42" s="460"/>
      <c r="AR42" s="460"/>
      <c r="AS42" s="460"/>
      <c r="AT42" s="460"/>
      <c r="AU42" s="460"/>
      <c r="AV42" s="460"/>
      <c r="AW42" s="461"/>
      <c r="BF42" s="259"/>
      <c r="BG42" s="259"/>
      <c r="BH42" s="259"/>
      <c r="BI42" s="259"/>
      <c r="BJ42" s="259"/>
      <c r="BK42" s="259"/>
      <c r="BL42" s="259"/>
      <c r="BM42" s="259"/>
    </row>
    <row r="43" spans="1:65" s="258" customFormat="1">
      <c r="A43" s="573"/>
      <c r="B43" s="567" t="s">
        <v>325</v>
      </c>
      <c r="C43" s="567"/>
      <c r="D43" s="567"/>
      <c r="E43" s="448">
        <f>X43</f>
        <v>1.6228</v>
      </c>
      <c r="F43" s="448">
        <f>AB43</f>
        <v>1.2557666666666667</v>
      </c>
      <c r="G43" s="567"/>
      <c r="H43" s="567"/>
      <c r="I43" s="567"/>
      <c r="J43" s="567"/>
      <c r="K43" s="567"/>
      <c r="L43" s="595"/>
      <c r="M43" s="450"/>
      <c r="N43" s="450"/>
      <c r="O43" s="450"/>
      <c r="P43" s="450"/>
      <c r="Q43" s="450"/>
      <c r="R43" s="450"/>
      <c r="S43" s="450"/>
      <c r="T43" s="450"/>
      <c r="U43" s="468"/>
      <c r="V43" s="468"/>
      <c r="W43" s="468"/>
      <c r="X43" s="448">
        <f>手游!C20/10000</f>
        <v>1.6228</v>
      </c>
      <c r="Y43" s="448">
        <f>手游!D20/10000</f>
        <v>1.6523333333333332</v>
      </c>
      <c r="Z43" s="448">
        <f>手游!E20/10000</f>
        <v>1.4616</v>
      </c>
      <c r="AA43" s="448">
        <f>手游!F20/10000</f>
        <v>1.4547666666666665</v>
      </c>
      <c r="AB43" s="448">
        <f>手游!G20/10000</f>
        <v>1.2557666666666667</v>
      </c>
      <c r="AC43" s="448"/>
      <c r="AD43" s="448"/>
      <c r="AE43" s="448"/>
      <c r="AF43" s="448"/>
      <c r="AG43" s="448"/>
      <c r="AH43" s="448"/>
      <c r="AI43" s="448"/>
      <c r="AJ43" s="448"/>
      <c r="AK43" s="448"/>
      <c r="AL43" s="448"/>
      <c r="AM43" s="448"/>
      <c r="AN43" s="448"/>
      <c r="AO43" s="448"/>
      <c r="AP43" s="448"/>
      <c r="AQ43" s="448"/>
      <c r="AR43" s="448"/>
      <c r="AS43" s="448"/>
      <c r="AT43" s="448"/>
      <c r="AU43" s="448"/>
      <c r="AV43" s="448"/>
      <c r="AW43" s="461"/>
      <c r="BF43" s="279"/>
      <c r="BG43" s="279"/>
      <c r="BH43" s="279"/>
      <c r="BI43" s="279"/>
      <c r="BJ43" s="279"/>
      <c r="BK43" s="279"/>
      <c r="BL43" s="279"/>
      <c r="BM43" s="279"/>
    </row>
    <row r="44" spans="1:65" s="258" customFormat="1">
      <c r="A44" s="573"/>
      <c r="B44" s="567" t="s">
        <v>326</v>
      </c>
      <c r="C44" s="567"/>
      <c r="D44" s="567"/>
      <c r="E44" s="448">
        <f t="shared" ref="E44:E48" si="116">X44</f>
        <v>1.0089999999999999</v>
      </c>
      <c r="F44" s="448">
        <f t="shared" ref="F44:F48" si="117">AB44</f>
        <v>0.74580000000000002</v>
      </c>
      <c r="G44" s="567"/>
      <c r="H44" s="567"/>
      <c r="I44" s="567"/>
      <c r="J44" s="567"/>
      <c r="K44" s="567"/>
      <c r="L44" s="595"/>
      <c r="M44" s="450"/>
      <c r="N44" s="450"/>
      <c r="O44" s="450"/>
      <c r="P44" s="450"/>
      <c r="Q44" s="450"/>
      <c r="R44" s="450"/>
      <c r="S44" s="450"/>
      <c r="T44" s="450"/>
      <c r="U44" s="468"/>
      <c r="V44" s="468"/>
      <c r="W44" s="468"/>
      <c r="X44" s="448">
        <f>手游!C21/10000</f>
        <v>1.0089999999999999</v>
      </c>
      <c r="Y44" s="448">
        <f>手游!D21/10000</f>
        <v>0.88426666666666665</v>
      </c>
      <c r="Z44" s="448">
        <f>手游!E21/10000</f>
        <v>0.82746666666666657</v>
      </c>
      <c r="AA44" s="448">
        <f>手游!F21/10000</f>
        <v>0.81023333333333325</v>
      </c>
      <c r="AB44" s="448">
        <f>手游!G21/10000</f>
        <v>0.74580000000000002</v>
      </c>
      <c r="AC44" s="448"/>
      <c r="AD44" s="448"/>
      <c r="AE44" s="448"/>
      <c r="AF44" s="448"/>
      <c r="AG44" s="448"/>
      <c r="AH44" s="448"/>
      <c r="AI44" s="448"/>
      <c r="AJ44" s="448"/>
      <c r="AK44" s="448"/>
      <c r="AL44" s="448"/>
      <c r="AM44" s="448"/>
      <c r="AN44" s="448"/>
      <c r="AO44" s="448"/>
      <c r="AP44" s="448"/>
      <c r="AQ44" s="448"/>
      <c r="AR44" s="448"/>
      <c r="AS44" s="448"/>
      <c r="AT44" s="448"/>
      <c r="AU44" s="448"/>
      <c r="AV44" s="448"/>
      <c r="AW44" s="461"/>
      <c r="BF44" s="259"/>
      <c r="BG44" s="259"/>
      <c r="BH44" s="259"/>
      <c r="BI44" s="259"/>
      <c r="BJ44" s="259"/>
      <c r="BK44" s="259"/>
      <c r="BL44" s="259"/>
      <c r="BM44" s="259"/>
    </row>
    <row r="45" spans="1:65" s="258" customFormat="1">
      <c r="A45" s="610"/>
      <c r="B45" s="567" t="s">
        <v>327</v>
      </c>
      <c r="C45" s="567"/>
      <c r="D45" s="567"/>
      <c r="E45" s="448">
        <f t="shared" si="116"/>
        <v>0.27196666666666663</v>
      </c>
      <c r="F45" s="448">
        <f t="shared" si="117"/>
        <v>0.21553333333333335</v>
      </c>
      <c r="G45" s="567"/>
      <c r="H45" s="567"/>
      <c r="I45" s="567"/>
      <c r="J45" s="567"/>
      <c r="K45" s="567"/>
      <c r="L45" s="595"/>
      <c r="M45" s="450"/>
      <c r="N45" s="450"/>
      <c r="O45" s="450"/>
      <c r="P45" s="450"/>
      <c r="Q45" s="450"/>
      <c r="R45" s="450"/>
      <c r="S45" s="450"/>
      <c r="T45" s="450"/>
      <c r="U45" s="468"/>
      <c r="V45" s="468"/>
      <c r="W45" s="468"/>
      <c r="X45" s="448">
        <f>手游!C22/10000</f>
        <v>0.27196666666666663</v>
      </c>
      <c r="Y45" s="448">
        <f>手游!D22/10000</f>
        <v>0.27253333333333335</v>
      </c>
      <c r="Z45" s="448">
        <f>手游!E22/10000</f>
        <v>0.26276666666666665</v>
      </c>
      <c r="AA45" s="448">
        <f>手游!F22/10000</f>
        <v>0.2424</v>
      </c>
      <c r="AB45" s="448">
        <f>手游!G22/10000</f>
        <v>0.21553333333333335</v>
      </c>
      <c r="AC45" s="448"/>
      <c r="AD45" s="448"/>
      <c r="AE45" s="448"/>
      <c r="AF45" s="448"/>
      <c r="AG45" s="448"/>
      <c r="AH45" s="448"/>
      <c r="AI45" s="448"/>
      <c r="AJ45" s="448"/>
      <c r="AK45" s="448"/>
      <c r="AL45" s="448"/>
      <c r="AM45" s="448"/>
      <c r="AN45" s="448"/>
      <c r="AO45" s="448"/>
      <c r="AP45" s="448"/>
      <c r="AQ45" s="448"/>
      <c r="AR45" s="448"/>
      <c r="AS45" s="448"/>
      <c r="AT45" s="448"/>
      <c r="AU45" s="448"/>
      <c r="AV45" s="448"/>
      <c r="AW45" s="460"/>
    </row>
    <row r="46" spans="1:65">
      <c r="B46" s="567" t="s">
        <v>328</v>
      </c>
      <c r="C46" s="567"/>
      <c r="D46" s="567"/>
      <c r="E46" s="448">
        <f t="shared" si="116"/>
        <v>3.8566666666666666E-2</v>
      </c>
      <c r="F46" s="448">
        <f t="shared" si="117"/>
        <v>0.11606666666666668</v>
      </c>
      <c r="G46" s="567"/>
      <c r="H46" s="567"/>
      <c r="I46" s="567"/>
      <c r="J46" s="567"/>
      <c r="K46" s="567"/>
      <c r="L46" s="595"/>
      <c r="M46" s="450"/>
      <c r="N46" s="450"/>
      <c r="O46" s="450"/>
      <c r="P46" s="450"/>
      <c r="Q46" s="450"/>
      <c r="R46" s="450"/>
      <c r="S46" s="450"/>
      <c r="T46" s="450"/>
      <c r="U46" s="468"/>
      <c r="V46" s="468"/>
      <c r="W46" s="468"/>
      <c r="X46" s="448">
        <f>手游!C23/10000</f>
        <v>3.8566666666666666E-2</v>
      </c>
      <c r="Y46" s="448">
        <f>手游!D23/10000</f>
        <v>0.40889999999999999</v>
      </c>
      <c r="Z46" s="448">
        <f>手游!E23/10000</f>
        <v>0.16880000000000001</v>
      </c>
      <c r="AA46" s="448">
        <f>手游!F23/10000</f>
        <v>0.16123333333333334</v>
      </c>
      <c r="AB46" s="448">
        <f>手游!G23/10000</f>
        <v>0.11606666666666668</v>
      </c>
      <c r="AC46" s="448"/>
      <c r="AD46" s="448"/>
      <c r="AE46" s="448"/>
      <c r="AF46" s="448"/>
      <c r="AG46" s="448"/>
      <c r="AH46" s="448"/>
      <c r="AI46" s="448"/>
      <c r="AJ46" s="448"/>
      <c r="AK46" s="448"/>
      <c r="AL46" s="448"/>
      <c r="AM46" s="448"/>
      <c r="AN46" s="448"/>
      <c r="AO46" s="448"/>
      <c r="AP46" s="448"/>
      <c r="AQ46" s="448"/>
      <c r="AR46" s="448"/>
      <c r="AS46" s="448"/>
      <c r="AT46" s="448"/>
      <c r="AU46" s="448"/>
      <c r="AV46" s="448"/>
    </row>
    <row r="47" spans="1:65">
      <c r="B47" s="567" t="s">
        <v>1003</v>
      </c>
      <c r="C47" s="567"/>
      <c r="D47" s="567"/>
      <c r="E47" s="448">
        <f t="shared" si="116"/>
        <v>0</v>
      </c>
      <c r="F47" s="448">
        <f t="shared" si="117"/>
        <v>0.11016666666666668</v>
      </c>
      <c r="G47" s="567"/>
      <c r="H47" s="567"/>
      <c r="I47" s="567"/>
      <c r="J47" s="567"/>
      <c r="K47" s="567"/>
      <c r="L47" s="595"/>
      <c r="M47" s="450"/>
      <c r="N47" s="450"/>
      <c r="O47" s="450"/>
      <c r="P47" s="450"/>
      <c r="Q47" s="450"/>
      <c r="R47" s="450"/>
      <c r="S47" s="450"/>
      <c r="T47" s="450"/>
      <c r="U47" s="468"/>
      <c r="V47" s="468"/>
      <c r="W47" s="468"/>
      <c r="X47" s="448">
        <f>手游!C24/10000</f>
        <v>0</v>
      </c>
      <c r="Y47" s="448">
        <f>手游!D24/10000</f>
        <v>0.24603333333333335</v>
      </c>
      <c r="Z47" s="448">
        <f>手游!E24/10000</f>
        <v>0.15816666666666668</v>
      </c>
      <c r="AA47" s="448">
        <f>手游!F24/10000</f>
        <v>0.15593333333333331</v>
      </c>
      <c r="AB47" s="448">
        <f>手游!G24/10000</f>
        <v>0.11016666666666668</v>
      </c>
      <c r="AC47" s="448"/>
      <c r="AD47" s="448"/>
      <c r="AE47" s="448"/>
      <c r="AF47" s="448"/>
      <c r="AG47" s="448"/>
      <c r="AH47" s="448"/>
      <c r="AI47" s="448"/>
      <c r="AJ47" s="448"/>
      <c r="AK47" s="448"/>
      <c r="AL47" s="448"/>
      <c r="AM47" s="448"/>
      <c r="AN47" s="448"/>
      <c r="AO47" s="448"/>
      <c r="AP47" s="448"/>
      <c r="AQ47" s="448"/>
      <c r="AR47" s="448"/>
      <c r="AS47" s="448"/>
      <c r="AT47" s="448"/>
      <c r="AU47" s="448"/>
      <c r="AV47" s="448"/>
    </row>
    <row r="48" spans="1:65">
      <c r="B48" s="568" t="s">
        <v>329</v>
      </c>
      <c r="C48" s="568"/>
      <c r="D48" s="568"/>
      <c r="E48" s="448">
        <f t="shared" si="116"/>
        <v>0</v>
      </c>
      <c r="F48" s="448">
        <f t="shared" si="117"/>
        <v>1.3383666666666667</v>
      </c>
      <c r="G48" s="568"/>
      <c r="H48" s="568"/>
      <c r="I48" s="568"/>
      <c r="J48" s="568"/>
      <c r="K48" s="568"/>
      <c r="L48" s="596"/>
      <c r="M48" s="469"/>
      <c r="N48" s="469"/>
      <c r="O48" s="469"/>
      <c r="P48" s="469"/>
      <c r="Q48" s="469"/>
      <c r="R48" s="469"/>
      <c r="S48" s="469"/>
      <c r="T48" s="469"/>
      <c r="U48" s="470"/>
      <c r="V48" s="470"/>
      <c r="W48" s="470"/>
      <c r="X48" s="471"/>
      <c r="Y48" s="471">
        <f>手游!D25/10000</f>
        <v>0.35296666666666665</v>
      </c>
      <c r="Z48" s="471">
        <f>手游!E25/10000</f>
        <v>1.4651333333333334</v>
      </c>
      <c r="AA48" s="471">
        <f>手游!F25/10000</f>
        <v>1.9394666666666669</v>
      </c>
      <c r="AB48" s="471">
        <f>手游!G25/10000</f>
        <v>1.3383666666666667</v>
      </c>
      <c r="AC48" s="471"/>
      <c r="AD48" s="471"/>
      <c r="AE48" s="471"/>
      <c r="AF48" s="471"/>
      <c r="AG48" s="471"/>
      <c r="AH48" s="471"/>
      <c r="AI48" s="471"/>
      <c r="AJ48" s="471"/>
      <c r="AK48" s="471"/>
      <c r="AL48" s="471"/>
      <c r="AM48" s="471"/>
      <c r="AN48" s="471"/>
      <c r="AO48" s="471"/>
      <c r="AP48" s="471"/>
      <c r="AQ48" s="471"/>
      <c r="AR48" s="471"/>
      <c r="AS48" s="471"/>
      <c r="AT48" s="471"/>
      <c r="AU48" s="471"/>
      <c r="AV48" s="471"/>
    </row>
    <row r="49" spans="1:65">
      <c r="B49" s="563"/>
      <c r="C49" s="563"/>
      <c r="D49" s="563"/>
      <c r="E49" s="563"/>
      <c r="F49" s="563"/>
      <c r="G49" s="563"/>
      <c r="H49" s="563"/>
      <c r="I49" s="563"/>
      <c r="J49" s="563"/>
      <c r="K49" s="563"/>
      <c r="L49" s="587"/>
      <c r="M49" s="450"/>
      <c r="N49" s="450"/>
      <c r="O49" s="450"/>
      <c r="P49" s="450"/>
      <c r="Q49" s="450"/>
      <c r="R49" s="450"/>
      <c r="S49" s="450"/>
      <c r="T49" s="450"/>
      <c r="U49" s="468"/>
      <c r="V49" s="468"/>
      <c r="W49" s="468"/>
      <c r="X49" s="450"/>
      <c r="Y49" s="450"/>
      <c r="Z49" s="450"/>
      <c r="AA49" s="450"/>
      <c r="AB49" s="450"/>
      <c r="AC49" s="448"/>
      <c r="AD49" s="448"/>
      <c r="AE49" s="448"/>
      <c r="AF49" s="448"/>
      <c r="AG49" s="448"/>
      <c r="AH49" s="448"/>
      <c r="AI49" s="448"/>
      <c r="AJ49" s="448"/>
      <c r="AK49" s="448"/>
      <c r="AL49" s="448"/>
      <c r="AM49" s="448"/>
      <c r="AN49" s="448"/>
      <c r="AO49" s="448"/>
      <c r="AP49" s="448"/>
      <c r="AQ49" s="448"/>
      <c r="AR49" s="448"/>
      <c r="AS49" s="448"/>
      <c r="AT49" s="448"/>
      <c r="AU49" s="448"/>
      <c r="AV49" s="448"/>
    </row>
    <row r="50" spans="1:65">
      <c r="B50" s="563" t="s">
        <v>1002</v>
      </c>
      <c r="C50" s="563"/>
      <c r="D50" s="563"/>
      <c r="E50" s="448">
        <f t="shared" ref="E50" si="118">X50</f>
        <v>3.2366666666666668</v>
      </c>
      <c r="F50" s="448">
        <f t="shared" ref="F50" si="119">AB50</f>
        <v>3.6419398121525783</v>
      </c>
      <c r="G50" s="448">
        <f>AF50</f>
        <v>3.7436611520000009</v>
      </c>
      <c r="H50" s="448">
        <f>AJ50</f>
        <v>3.8138384471040014</v>
      </c>
      <c r="I50" s="448">
        <f>AN50</f>
        <v>3.8848989846159383</v>
      </c>
      <c r="J50" s="448">
        <f>AR50</f>
        <v>3.9529269562528997</v>
      </c>
      <c r="K50" s="448">
        <f>AV50</f>
        <v>4.017723198807535</v>
      </c>
      <c r="L50" s="587"/>
      <c r="M50" s="450"/>
      <c r="N50" s="450"/>
      <c r="O50" s="450"/>
      <c r="P50" s="450"/>
      <c r="Q50" s="450"/>
      <c r="R50" s="450"/>
      <c r="S50" s="450"/>
      <c r="T50" s="450"/>
      <c r="U50" s="468"/>
      <c r="V50" s="468"/>
      <c r="W50" s="468"/>
      <c r="X50" s="448">
        <f>手游!C27</f>
        <v>3.2366666666666668</v>
      </c>
      <c r="Y50" s="448">
        <f>手游!D27</f>
        <v>3.8200000000000003</v>
      </c>
      <c r="Z50" s="448">
        <f>手游!E27</f>
        <v>3.7633333333333332</v>
      </c>
      <c r="AA50" s="448">
        <f>手游!F27</f>
        <v>3.7766666666666668</v>
      </c>
      <c r="AB50" s="448">
        <f>AB56/AB57</f>
        <v>3.6419398121525783</v>
      </c>
      <c r="AC50" s="448">
        <f t="shared" ref="AC50:AV50" si="120">AC52*AC6</f>
        <v>3.6930400000000003</v>
      </c>
      <c r="AD50" s="448">
        <f t="shared" si="120"/>
        <v>3.7126909434999997</v>
      </c>
      <c r="AE50" s="448">
        <f t="shared" si="120"/>
        <v>3.7260689200000008</v>
      </c>
      <c r="AF50" s="448">
        <f t="shared" si="120"/>
        <v>3.7436611520000009</v>
      </c>
      <c r="AG50" s="448">
        <f t="shared" si="120"/>
        <v>3.7625882112000006</v>
      </c>
      <c r="AH50" s="448">
        <f t="shared" si="120"/>
        <v>3.7825014704400002</v>
      </c>
      <c r="AI50" s="448">
        <f t="shared" si="120"/>
        <v>3.7960234300800013</v>
      </c>
      <c r="AJ50" s="448">
        <f t="shared" si="120"/>
        <v>3.8138384471040014</v>
      </c>
      <c r="AK50" s="448">
        <f t="shared" si="120"/>
        <v>3.8330128392192013</v>
      </c>
      <c r="AL50" s="448">
        <f t="shared" si="120"/>
        <v>3.853191353590657</v>
      </c>
      <c r="AM50" s="448">
        <f t="shared" si="120"/>
        <v>3.8668587439104014</v>
      </c>
      <c r="AN50" s="448">
        <f t="shared" si="120"/>
        <v>3.8848989846159383</v>
      </c>
      <c r="AO50" s="448">
        <f t="shared" si="120"/>
        <v>3.9004501188796428</v>
      </c>
      <c r="AP50" s="448">
        <f t="shared" si="120"/>
        <v>3.9208765735526376</v>
      </c>
      <c r="AQ50" s="448">
        <f t="shared" si="120"/>
        <v>3.9346771513922629</v>
      </c>
      <c r="AR50" s="448">
        <f t="shared" si="120"/>
        <v>3.9529269562528997</v>
      </c>
      <c r="AS50" s="448">
        <f t="shared" si="120"/>
        <v>3.9647026465175434</v>
      </c>
      <c r="AT50" s="448">
        <f t="shared" si="120"/>
        <v>3.9853589907637215</v>
      </c>
      <c r="AU50" s="448">
        <f t="shared" si="120"/>
        <v>3.9992801129527522</v>
      </c>
      <c r="AV50" s="448">
        <f t="shared" si="120"/>
        <v>4.017723198807535</v>
      </c>
    </row>
    <row r="51" spans="1:65" s="445" customFormat="1">
      <c r="A51" s="469"/>
      <c r="B51" s="569" t="s">
        <v>1004</v>
      </c>
      <c r="C51" s="569"/>
      <c r="D51" s="569"/>
      <c r="E51" s="569"/>
      <c r="F51" s="472">
        <f>F50/E50-1</f>
        <v>0.12521312424899422</v>
      </c>
      <c r="G51" s="472">
        <f t="shared" ref="G51:K51" si="121">G50/F50-1</f>
        <v>2.7930538420210649E-2</v>
      </c>
      <c r="H51" s="472">
        <f t="shared" si="121"/>
        <v>1.8745632217945118E-2</v>
      </c>
      <c r="I51" s="472">
        <f t="shared" si="121"/>
        <v>1.8632288309405443E-2</v>
      </c>
      <c r="J51" s="472">
        <f t="shared" si="121"/>
        <v>1.7510872716729464E-2</v>
      </c>
      <c r="K51" s="472">
        <f t="shared" si="121"/>
        <v>1.6391965566714628E-2</v>
      </c>
      <c r="L51" s="597"/>
      <c r="M51" s="450"/>
      <c r="N51" s="450"/>
      <c r="O51" s="450"/>
      <c r="P51" s="450"/>
      <c r="Q51" s="450"/>
      <c r="R51" s="450"/>
      <c r="S51" s="450"/>
      <c r="T51" s="450"/>
      <c r="U51" s="468"/>
      <c r="V51" s="468"/>
      <c r="W51" s="468"/>
      <c r="X51" s="448"/>
      <c r="Y51" s="472">
        <f t="shared" ref="Y51:AR51" si="122">Y50/X50-1</f>
        <v>0.18022657054582902</v>
      </c>
      <c r="Z51" s="472">
        <f t="shared" si="122"/>
        <v>-1.4834205933682454E-2</v>
      </c>
      <c r="AA51" s="472">
        <f t="shared" si="122"/>
        <v>3.5429583702393241E-3</v>
      </c>
      <c r="AB51" s="472">
        <f t="shared" si="122"/>
        <v>-3.5673483101700376E-2</v>
      </c>
      <c r="AC51" s="472">
        <f t="shared" si="122"/>
        <v>1.4031035789473734E-2</v>
      </c>
      <c r="AD51" s="472">
        <f t="shared" si="122"/>
        <v>5.3210751846715088E-3</v>
      </c>
      <c r="AE51" s="472">
        <f t="shared" si="122"/>
        <v>3.60331002595915E-3</v>
      </c>
      <c r="AF51" s="472">
        <f t="shared" si="122"/>
        <v>4.7213920025934719E-3</v>
      </c>
      <c r="AG51" s="472">
        <f t="shared" si="122"/>
        <v>5.0557618415567607E-3</v>
      </c>
      <c r="AH51" s="472">
        <f t="shared" si="122"/>
        <v>5.2924365150361918E-3</v>
      </c>
      <c r="AI51" s="472">
        <f t="shared" si="122"/>
        <v>3.5748722758404128E-3</v>
      </c>
      <c r="AJ51" s="472">
        <f t="shared" si="122"/>
        <v>4.693073515519508E-3</v>
      </c>
      <c r="AK51" s="472">
        <f t="shared" si="122"/>
        <v>5.027583727297058E-3</v>
      </c>
      <c r="AL51" s="472">
        <f t="shared" si="122"/>
        <v>5.2644004123831856E-3</v>
      </c>
      <c r="AM51" s="472">
        <f t="shared" si="122"/>
        <v>3.5470312957617267E-3</v>
      </c>
      <c r="AN51" s="472">
        <f t="shared" si="122"/>
        <v>4.6653477409659416E-3</v>
      </c>
      <c r="AO51" s="472">
        <f t="shared" si="122"/>
        <v>4.0029700451122974E-3</v>
      </c>
      <c r="AP51" s="472">
        <f t="shared" si="122"/>
        <v>5.2369480573852822E-3</v>
      </c>
      <c r="AQ51" s="472">
        <f t="shared" si="122"/>
        <v>3.5197684958292452E-3</v>
      </c>
      <c r="AR51" s="472">
        <f t="shared" si="122"/>
        <v>4.6381962632382479E-3</v>
      </c>
      <c r="AS51" s="472">
        <f t="shared" ref="AS51" si="123">AS50/AR50-1</f>
        <v>2.9789799798896066E-3</v>
      </c>
      <c r="AT51" s="472">
        <f t="shared" ref="AT51" si="124">AT50/AS50-1</f>
        <v>5.2100614063255168E-3</v>
      </c>
      <c r="AU51" s="472">
        <f t="shared" ref="AU51" si="125">AU50/AT50-1</f>
        <v>3.4930660503340594E-3</v>
      </c>
      <c r="AV51" s="472">
        <f t="shared" ref="AV51" si="126">AV50/AU50-1</f>
        <v>4.6116014217283396E-3</v>
      </c>
      <c r="AW51" s="469"/>
    </row>
    <row r="52" spans="1:65">
      <c r="B52" s="569" t="s">
        <v>1005</v>
      </c>
      <c r="C52" s="569"/>
      <c r="D52" s="569"/>
      <c r="E52" s="472">
        <f>E50/E6</f>
        <v>0.32739901544271366</v>
      </c>
      <c r="F52" s="472">
        <f t="shared" ref="F52:J52" si="127">F50/F6</f>
        <v>0.3318093852179827</v>
      </c>
      <c r="G52" s="472">
        <f t="shared" si="127"/>
        <v>0.33770000000000006</v>
      </c>
      <c r="H52" s="472">
        <f t="shared" si="127"/>
        <v>0.3413000000000001</v>
      </c>
      <c r="I52" s="472">
        <f t="shared" si="127"/>
        <v>0.34490000000000015</v>
      </c>
      <c r="J52" s="472">
        <f t="shared" si="127"/>
        <v>0.3485000000000002</v>
      </c>
      <c r="K52" s="472">
        <f t="shared" ref="K52" si="128">K50/K6</f>
        <v>0.35210000000000025</v>
      </c>
      <c r="L52" s="597"/>
      <c r="M52" s="450"/>
      <c r="N52" s="450"/>
      <c r="O52" s="450"/>
      <c r="P52" s="450"/>
      <c r="Q52" s="450"/>
      <c r="R52" s="450"/>
      <c r="S52" s="450"/>
      <c r="T52" s="450"/>
      <c r="U52" s="468"/>
      <c r="V52" s="468"/>
      <c r="W52" s="468"/>
      <c r="X52" s="472">
        <f>X50/X6</f>
        <v>0.32739901544271366</v>
      </c>
      <c r="Y52" s="472">
        <f>Y50/Y6</f>
        <v>0.36730769230769234</v>
      </c>
      <c r="Z52" s="472">
        <f>Z50/Z6</f>
        <v>0.3558034729444392</v>
      </c>
      <c r="AA52" s="472">
        <f>AA50/AA6</f>
        <v>0.34888375673595079</v>
      </c>
      <c r="AB52" s="472">
        <f>AB50/AB6</f>
        <v>0.3318093852179827</v>
      </c>
      <c r="AC52" s="272">
        <v>0.33500000000000002</v>
      </c>
      <c r="AD52" s="272">
        <f>AC52+0.0009</f>
        <v>0.33590000000000003</v>
      </c>
      <c r="AE52" s="272">
        <f t="shared" ref="AE52:AV52" si="129">AD52+0.0009</f>
        <v>0.33680000000000004</v>
      </c>
      <c r="AF52" s="272">
        <f t="shared" si="129"/>
        <v>0.33770000000000006</v>
      </c>
      <c r="AG52" s="272">
        <f t="shared" si="129"/>
        <v>0.33860000000000007</v>
      </c>
      <c r="AH52" s="272">
        <f t="shared" si="129"/>
        <v>0.33950000000000008</v>
      </c>
      <c r="AI52" s="272">
        <f t="shared" si="129"/>
        <v>0.34040000000000009</v>
      </c>
      <c r="AJ52" s="272">
        <f t="shared" si="129"/>
        <v>0.3413000000000001</v>
      </c>
      <c r="AK52" s="272">
        <f t="shared" si="129"/>
        <v>0.34220000000000012</v>
      </c>
      <c r="AL52" s="272">
        <f t="shared" si="129"/>
        <v>0.34310000000000013</v>
      </c>
      <c r="AM52" s="272">
        <f t="shared" si="129"/>
        <v>0.34400000000000014</v>
      </c>
      <c r="AN52" s="272">
        <f t="shared" si="129"/>
        <v>0.34490000000000015</v>
      </c>
      <c r="AO52" s="272">
        <f t="shared" si="129"/>
        <v>0.34580000000000016</v>
      </c>
      <c r="AP52" s="272">
        <f t="shared" si="129"/>
        <v>0.34670000000000017</v>
      </c>
      <c r="AQ52" s="272">
        <f t="shared" si="129"/>
        <v>0.34760000000000019</v>
      </c>
      <c r="AR52" s="272">
        <f t="shared" si="129"/>
        <v>0.3485000000000002</v>
      </c>
      <c r="AS52" s="272">
        <f t="shared" si="129"/>
        <v>0.34940000000000021</v>
      </c>
      <c r="AT52" s="272">
        <f t="shared" si="129"/>
        <v>0.35030000000000022</v>
      </c>
      <c r="AU52" s="272">
        <f t="shared" si="129"/>
        <v>0.35120000000000023</v>
      </c>
      <c r="AV52" s="272">
        <f t="shared" si="129"/>
        <v>0.35210000000000025</v>
      </c>
    </row>
    <row r="53" spans="1:65">
      <c r="B53" s="569" t="s">
        <v>1017</v>
      </c>
      <c r="C53" s="569"/>
      <c r="D53" s="569"/>
      <c r="E53" s="472">
        <f>E42/E50</f>
        <v>0.90906282183316167</v>
      </c>
      <c r="F53" s="472">
        <f>F42/F50</f>
        <v>0.67088789473684218</v>
      </c>
      <c r="G53" s="569"/>
      <c r="H53" s="569"/>
      <c r="I53" s="569"/>
      <c r="J53" s="569"/>
      <c r="K53" s="569"/>
      <c r="L53" s="597"/>
      <c r="M53" s="450"/>
      <c r="N53" s="450"/>
      <c r="O53" s="450"/>
      <c r="P53" s="450"/>
      <c r="Q53" s="450"/>
      <c r="R53" s="450"/>
      <c r="S53" s="450"/>
      <c r="T53" s="450"/>
      <c r="U53" s="468"/>
      <c r="V53" s="468"/>
      <c r="W53" s="468"/>
      <c r="X53" s="472">
        <f>X42/X50</f>
        <v>0.90906282183316167</v>
      </c>
      <c r="Y53" s="472">
        <f>Y42/Y50</f>
        <v>0.90682373472949396</v>
      </c>
      <c r="Z53" s="472">
        <f>Z42/Z50</f>
        <v>0.76496014171833493</v>
      </c>
      <c r="AA53" s="472">
        <f>AA42/AA50</f>
        <v>0.74789938217122676</v>
      </c>
      <c r="AB53" s="472">
        <f>AB42/AB50</f>
        <v>0.67088789473684218</v>
      </c>
      <c r="AC53" s="448"/>
      <c r="AD53" s="448"/>
      <c r="AE53" s="448"/>
      <c r="AF53" s="448"/>
      <c r="AG53" s="448"/>
      <c r="AH53" s="448"/>
      <c r="AI53" s="448"/>
      <c r="AJ53" s="448"/>
      <c r="AK53" s="448"/>
      <c r="AL53" s="448"/>
      <c r="AM53" s="448"/>
      <c r="AN53" s="448"/>
      <c r="AO53" s="448"/>
      <c r="AP53" s="448"/>
      <c r="AQ53" s="448"/>
      <c r="AR53" s="448"/>
      <c r="AS53" s="448"/>
      <c r="AT53" s="448"/>
      <c r="AU53" s="448"/>
      <c r="AV53" s="448"/>
    </row>
    <row r="54" spans="1:65">
      <c r="B54" s="563" t="s">
        <v>1042</v>
      </c>
      <c r="C54" s="563"/>
      <c r="D54" s="563"/>
      <c r="E54" s="473">
        <f>E40/4/E56</f>
        <v>143.99408284023667</v>
      </c>
      <c r="F54" s="473">
        <f t="shared" ref="F54:K54" si="130">F40/4/F56</f>
        <v>189.38157894736844</v>
      </c>
      <c r="G54" s="473">
        <f t="shared" si="130"/>
        <v>196.43103355496129</v>
      </c>
      <c r="H54" s="473">
        <f t="shared" si="130"/>
        <v>210.24880258448547</v>
      </c>
      <c r="I54" s="473">
        <f t="shared" si="130"/>
        <v>222.93193863766865</v>
      </c>
      <c r="J54" s="473">
        <f t="shared" si="130"/>
        <v>234.14680391925876</v>
      </c>
      <c r="K54" s="473">
        <f t="shared" si="130"/>
        <v>247.06022922102608</v>
      </c>
      <c r="L54" s="587"/>
      <c r="M54" s="450">
        <f t="shared" ref="M54:AB54" si="131">AVERAGE(M79:M80)</f>
        <v>160</v>
      </c>
      <c r="N54" s="450">
        <f t="shared" si="131"/>
        <v>170</v>
      </c>
      <c r="O54" s="450">
        <f t="shared" si="131"/>
        <v>175</v>
      </c>
      <c r="P54" s="450">
        <f t="shared" si="131"/>
        <v>190</v>
      </c>
      <c r="Q54" s="450">
        <f t="shared" si="131"/>
        <v>160</v>
      </c>
      <c r="R54" s="450">
        <f t="shared" si="131"/>
        <v>160</v>
      </c>
      <c r="S54" s="450">
        <f t="shared" si="131"/>
        <v>150</v>
      </c>
      <c r="T54" s="450">
        <f t="shared" si="131"/>
        <v>150</v>
      </c>
      <c r="U54" s="450">
        <f t="shared" si="131"/>
        <v>130</v>
      </c>
      <c r="V54" s="450">
        <f t="shared" si="131"/>
        <v>145</v>
      </c>
      <c r="W54" s="450">
        <f t="shared" si="131"/>
        <v>175</v>
      </c>
      <c r="X54" s="450">
        <f t="shared" si="131"/>
        <v>155</v>
      </c>
      <c r="Y54" s="450">
        <f t="shared" si="131"/>
        <v>185</v>
      </c>
      <c r="Z54" s="450">
        <f t="shared" si="131"/>
        <v>185</v>
      </c>
      <c r="AA54" s="450">
        <f t="shared" si="131"/>
        <v>185</v>
      </c>
      <c r="AB54" s="450">
        <f t="shared" si="131"/>
        <v>185</v>
      </c>
      <c r="AC54" s="473">
        <f t="shared" ref="AC54:AR54" si="132">Y54*(1+AC55)</f>
        <v>199.8</v>
      </c>
      <c r="AD54" s="473">
        <f t="shared" si="132"/>
        <v>199.8</v>
      </c>
      <c r="AE54" s="473">
        <f t="shared" si="132"/>
        <v>199.8</v>
      </c>
      <c r="AF54" s="473">
        <f t="shared" si="132"/>
        <v>199.8</v>
      </c>
      <c r="AG54" s="473">
        <f t="shared" si="132"/>
        <v>213.78600000000003</v>
      </c>
      <c r="AH54" s="473">
        <f t="shared" si="132"/>
        <v>213.78600000000003</v>
      </c>
      <c r="AI54" s="473">
        <f t="shared" si="132"/>
        <v>213.78600000000003</v>
      </c>
      <c r="AJ54" s="473">
        <f t="shared" si="132"/>
        <v>213.78600000000003</v>
      </c>
      <c r="AK54" s="473">
        <f t="shared" si="132"/>
        <v>226.61316000000005</v>
      </c>
      <c r="AL54" s="473">
        <f t="shared" si="132"/>
        <v>226.61316000000005</v>
      </c>
      <c r="AM54" s="473">
        <f t="shared" si="132"/>
        <v>226.61316000000005</v>
      </c>
      <c r="AN54" s="473">
        <f t="shared" si="132"/>
        <v>226.61316000000005</v>
      </c>
      <c r="AO54" s="473">
        <f t="shared" si="132"/>
        <v>237.94381800000005</v>
      </c>
      <c r="AP54" s="473">
        <f t="shared" si="132"/>
        <v>237.94381800000005</v>
      </c>
      <c r="AQ54" s="473">
        <f t="shared" si="132"/>
        <v>237.94381800000005</v>
      </c>
      <c r="AR54" s="473">
        <f t="shared" si="132"/>
        <v>237.94381800000005</v>
      </c>
      <c r="AS54" s="473">
        <f t="shared" ref="AS54" si="133">AO54*(1+AS55)</f>
        <v>249.84100890000008</v>
      </c>
      <c r="AT54" s="473">
        <f t="shared" ref="AT54" si="134">AP54*(1+AT55)</f>
        <v>249.84100890000008</v>
      </c>
      <c r="AU54" s="473">
        <f t="shared" ref="AU54" si="135">AQ54*(1+AU55)</f>
        <v>249.84100890000008</v>
      </c>
      <c r="AV54" s="473">
        <f t="shared" ref="AV54" si="136">AR54*(1+AV55)</f>
        <v>249.84100890000008</v>
      </c>
    </row>
    <row r="55" spans="1:65">
      <c r="B55" s="569" t="s">
        <v>908</v>
      </c>
      <c r="C55" s="569"/>
      <c r="D55" s="569"/>
      <c r="E55" s="569"/>
      <c r="F55" s="472">
        <f>F54/E54-1</f>
        <v>0.31520389735382248</v>
      </c>
      <c r="G55" s="472">
        <f t="shared" ref="G55" si="137">G54/F54-1</f>
        <v>3.7223549654488819E-2</v>
      </c>
      <c r="H55" s="472">
        <f t="shared" ref="H55" si="138">H54/G54-1</f>
        <v>7.0344124242761152E-2</v>
      </c>
      <c r="I55" s="472">
        <f t="shared" ref="I55" si="139">I54/H54-1</f>
        <v>6.0324415156117972E-2</v>
      </c>
      <c r="J55" s="472">
        <f t="shared" ref="J55:K55" si="140">J54/I54-1</f>
        <v>5.0306229561021487E-2</v>
      </c>
      <c r="K55" s="472">
        <f t="shared" si="140"/>
        <v>5.5150978299154163E-2</v>
      </c>
      <c r="L55" s="597"/>
      <c r="M55" s="450"/>
      <c r="N55" s="450"/>
      <c r="O55" s="450"/>
      <c r="P55" s="450"/>
      <c r="Q55" s="450"/>
      <c r="R55" s="450"/>
      <c r="S55" s="450"/>
      <c r="T55" s="450"/>
      <c r="U55" s="472">
        <f t="shared" ref="U55:AB55" si="141">U54/Q54-1</f>
        <v>-0.1875</v>
      </c>
      <c r="V55" s="472">
        <f t="shared" si="141"/>
        <v>-9.375E-2</v>
      </c>
      <c r="W55" s="472">
        <f t="shared" si="141"/>
        <v>0.16666666666666674</v>
      </c>
      <c r="X55" s="472">
        <f t="shared" si="141"/>
        <v>3.3333333333333437E-2</v>
      </c>
      <c r="Y55" s="472">
        <f t="shared" si="141"/>
        <v>0.42307692307692313</v>
      </c>
      <c r="Z55" s="472">
        <f t="shared" si="141"/>
        <v>0.27586206896551735</v>
      </c>
      <c r="AA55" s="472">
        <f t="shared" si="141"/>
        <v>5.7142857142857162E-2</v>
      </c>
      <c r="AB55" s="472">
        <f t="shared" si="141"/>
        <v>0.19354838709677424</v>
      </c>
      <c r="AC55" s="272">
        <v>0.08</v>
      </c>
      <c r="AD55" s="272">
        <v>0.08</v>
      </c>
      <c r="AE55" s="272">
        <v>0.08</v>
      </c>
      <c r="AF55" s="272">
        <v>0.08</v>
      </c>
      <c r="AG55" s="272">
        <v>7.0000000000000007E-2</v>
      </c>
      <c r="AH55" s="272">
        <v>7.0000000000000007E-2</v>
      </c>
      <c r="AI55" s="272">
        <v>7.0000000000000007E-2</v>
      </c>
      <c r="AJ55" s="272">
        <v>7.0000000000000007E-2</v>
      </c>
      <c r="AK55" s="272">
        <v>0.06</v>
      </c>
      <c r="AL55" s="272">
        <v>0.06</v>
      </c>
      <c r="AM55" s="272">
        <v>0.06</v>
      </c>
      <c r="AN55" s="272">
        <v>0.06</v>
      </c>
      <c r="AO55" s="272">
        <v>0.05</v>
      </c>
      <c r="AP55" s="272">
        <v>0.05</v>
      </c>
      <c r="AQ55" s="272">
        <v>0.05</v>
      </c>
      <c r="AR55" s="272">
        <v>0.05</v>
      </c>
      <c r="AS55" s="272">
        <v>0.05</v>
      </c>
      <c r="AT55" s="272">
        <v>0.05</v>
      </c>
      <c r="AU55" s="272">
        <v>0.05</v>
      </c>
      <c r="AV55" s="272">
        <v>0.05</v>
      </c>
    </row>
    <row r="56" spans="1:65">
      <c r="B56" s="563" t="s">
        <v>330</v>
      </c>
      <c r="C56" s="563"/>
      <c r="D56" s="563"/>
      <c r="E56" s="448">
        <f t="shared" ref="E56" si="142">X56</f>
        <v>1.0903225806451613</v>
      </c>
      <c r="F56" s="448">
        <f t="shared" ref="F56" si="143">AB56</f>
        <v>1.027027027027027</v>
      </c>
      <c r="G56" s="448">
        <f>AF56</f>
        <v>1.0856617340800001</v>
      </c>
      <c r="H56" s="448">
        <f>AJ56</f>
        <v>1.1365238572369925</v>
      </c>
      <c r="I56" s="448">
        <f>AN56</f>
        <v>1.188779089292477</v>
      </c>
      <c r="J56" s="448">
        <f>AR56</f>
        <v>1.2412190642634104</v>
      </c>
      <c r="K56" s="448">
        <f>AV56</f>
        <v>1.2776359772207961</v>
      </c>
      <c r="L56" s="587"/>
      <c r="M56" s="450"/>
      <c r="N56" s="450"/>
      <c r="O56" s="450"/>
      <c r="P56" s="450"/>
      <c r="Q56" s="450"/>
      <c r="R56" s="450"/>
      <c r="S56" s="450"/>
      <c r="T56" s="450"/>
      <c r="U56" s="448">
        <f t="shared" ref="U56:AB56" si="144">U40/U54</f>
        <v>0.99230769230769234</v>
      </c>
      <c r="V56" s="448">
        <f t="shared" si="144"/>
        <v>1.0206896551724138</v>
      </c>
      <c r="W56" s="448">
        <f t="shared" si="144"/>
        <v>1.04</v>
      </c>
      <c r="X56" s="448">
        <f t="shared" si="144"/>
        <v>1.0903225806451613</v>
      </c>
      <c r="Y56" s="448">
        <f t="shared" si="144"/>
        <v>1.172972972972973</v>
      </c>
      <c r="Z56" s="448">
        <f t="shared" si="144"/>
        <v>0.9513513513513514</v>
      </c>
      <c r="AA56" s="448">
        <f t="shared" si="144"/>
        <v>1.0540540540540539</v>
      </c>
      <c r="AB56" s="448">
        <f t="shared" si="144"/>
        <v>1.027027027027027</v>
      </c>
      <c r="AC56" s="448">
        <f t="shared" ref="AC56:AV56" si="145">AC50*AC57</f>
        <v>1.0488233600000001</v>
      </c>
      <c r="AD56" s="448">
        <f t="shared" si="145"/>
        <v>1.0618296098409998</v>
      </c>
      <c r="AE56" s="448">
        <f t="shared" si="145"/>
        <v>1.0731078489600001</v>
      </c>
      <c r="AF56" s="448">
        <f t="shared" si="145"/>
        <v>1.0856617340800001</v>
      </c>
      <c r="AG56" s="448">
        <f t="shared" si="145"/>
        <v>1.0986757576704</v>
      </c>
      <c r="AH56" s="448">
        <f t="shared" si="145"/>
        <v>1.1120554323093599</v>
      </c>
      <c r="AI56" s="448">
        <f t="shared" si="145"/>
        <v>1.1236229353036804</v>
      </c>
      <c r="AJ56" s="448">
        <f t="shared" si="145"/>
        <v>1.1365238572369925</v>
      </c>
      <c r="AK56" s="448">
        <f t="shared" si="145"/>
        <v>1.1499038517657603</v>
      </c>
      <c r="AL56" s="448">
        <f t="shared" si="145"/>
        <v>1.1636637887843784</v>
      </c>
      <c r="AM56" s="448">
        <f t="shared" si="145"/>
        <v>1.175525058148762</v>
      </c>
      <c r="AN56" s="448">
        <f t="shared" si="145"/>
        <v>1.188779089292477</v>
      </c>
      <c r="AO56" s="448">
        <f t="shared" si="145"/>
        <v>1.2013386366149299</v>
      </c>
      <c r="AP56" s="448">
        <f t="shared" si="145"/>
        <v>1.2154717378013176</v>
      </c>
      <c r="AQ56" s="448">
        <f t="shared" si="145"/>
        <v>1.2276192712343861</v>
      </c>
      <c r="AR56" s="448">
        <f t="shared" si="145"/>
        <v>1.2412190642634104</v>
      </c>
      <c r="AS56" s="448">
        <f t="shared" si="145"/>
        <v>1.2488813336530262</v>
      </c>
      <c r="AT56" s="448">
        <f t="shared" si="145"/>
        <v>1.259373441081336</v>
      </c>
      <c r="AU56" s="448">
        <f t="shared" si="145"/>
        <v>1.2677717958060224</v>
      </c>
      <c r="AV56" s="448">
        <f t="shared" si="145"/>
        <v>1.2776359772207961</v>
      </c>
    </row>
    <row r="57" spans="1:65">
      <c r="B57" s="563" t="s">
        <v>331</v>
      </c>
      <c r="C57" s="563"/>
      <c r="D57" s="563"/>
      <c r="E57" s="474">
        <f>E56/E50</f>
        <v>0.33686588485432378</v>
      </c>
      <c r="F57" s="474">
        <f t="shared" ref="F57:K57" si="146">F56/F50</f>
        <v>0.28199999999999997</v>
      </c>
      <c r="G57" s="474">
        <f t="shared" si="146"/>
        <v>0.28999999999999998</v>
      </c>
      <c r="H57" s="474">
        <f t="shared" si="146"/>
        <v>0.29799999999999999</v>
      </c>
      <c r="I57" s="474">
        <f t="shared" si="146"/>
        <v>0.30599999999999999</v>
      </c>
      <c r="J57" s="474">
        <f t="shared" si="146"/>
        <v>0.314</v>
      </c>
      <c r="K57" s="474">
        <f t="shared" si="146"/>
        <v>0.318</v>
      </c>
      <c r="L57" s="587"/>
      <c r="M57" s="450"/>
      <c r="N57" s="450"/>
      <c r="O57" s="450"/>
      <c r="P57" s="450"/>
      <c r="Q57" s="450"/>
      <c r="R57" s="450"/>
      <c r="S57" s="450"/>
      <c r="T57" s="450"/>
      <c r="U57" s="448"/>
      <c r="V57" s="448"/>
      <c r="W57" s="448"/>
      <c r="X57" s="474">
        <f>X56/X50</f>
        <v>0.33686588485432378</v>
      </c>
      <c r="Y57" s="474">
        <f>Y56/Y50</f>
        <v>0.30706098768925993</v>
      </c>
      <c r="Z57" s="474">
        <f>Z56/Z50</f>
        <v>0.25279486749814478</v>
      </c>
      <c r="AA57" s="474">
        <f>AA56/AA50</f>
        <v>0.27909639560124994</v>
      </c>
      <c r="AB57" s="272">
        <v>0.28199999999999997</v>
      </c>
      <c r="AC57" s="272">
        <f t="shared" ref="AC57:AR57" si="147">AB57+0.002</f>
        <v>0.28399999999999997</v>
      </c>
      <c r="AD57" s="272">
        <f t="shared" si="147"/>
        <v>0.28599999999999998</v>
      </c>
      <c r="AE57" s="272">
        <f t="shared" si="147"/>
        <v>0.28799999999999998</v>
      </c>
      <c r="AF57" s="272">
        <f t="shared" si="147"/>
        <v>0.28999999999999998</v>
      </c>
      <c r="AG57" s="272">
        <f t="shared" si="147"/>
        <v>0.29199999999999998</v>
      </c>
      <c r="AH57" s="272">
        <f t="shared" si="147"/>
        <v>0.29399999999999998</v>
      </c>
      <c r="AI57" s="272">
        <f t="shared" si="147"/>
        <v>0.29599999999999999</v>
      </c>
      <c r="AJ57" s="272">
        <f t="shared" si="147"/>
        <v>0.29799999999999999</v>
      </c>
      <c r="AK57" s="272">
        <f t="shared" si="147"/>
        <v>0.3</v>
      </c>
      <c r="AL57" s="272">
        <f t="shared" si="147"/>
        <v>0.30199999999999999</v>
      </c>
      <c r="AM57" s="272">
        <f t="shared" si="147"/>
        <v>0.30399999999999999</v>
      </c>
      <c r="AN57" s="272">
        <f t="shared" si="147"/>
        <v>0.30599999999999999</v>
      </c>
      <c r="AO57" s="272">
        <f t="shared" si="147"/>
        <v>0.308</v>
      </c>
      <c r="AP57" s="272">
        <f t="shared" si="147"/>
        <v>0.31</v>
      </c>
      <c r="AQ57" s="272">
        <f t="shared" si="147"/>
        <v>0.312</v>
      </c>
      <c r="AR57" s="272">
        <f t="shared" si="147"/>
        <v>0.314</v>
      </c>
      <c r="AS57" s="272">
        <f>AR57+0.001</f>
        <v>0.315</v>
      </c>
      <c r="AT57" s="272">
        <f t="shared" ref="AT57:AV57" si="148">AS57+0.001</f>
        <v>0.316</v>
      </c>
      <c r="AU57" s="272">
        <f t="shared" si="148"/>
        <v>0.317</v>
      </c>
      <c r="AV57" s="272">
        <f t="shared" si="148"/>
        <v>0.318</v>
      </c>
      <c r="BF57" s="259"/>
      <c r="BG57" s="259"/>
      <c r="BH57" s="259"/>
      <c r="BI57" s="259"/>
      <c r="BJ57" s="259"/>
      <c r="BK57" s="259"/>
      <c r="BL57" s="259"/>
      <c r="BM57" s="259"/>
    </row>
    <row r="58" spans="1:65">
      <c r="B58" s="563"/>
      <c r="C58" s="563"/>
      <c r="D58" s="563"/>
      <c r="E58" s="563"/>
      <c r="F58" s="563"/>
      <c r="G58" s="563"/>
      <c r="H58" s="563"/>
      <c r="I58" s="563"/>
      <c r="J58" s="563"/>
      <c r="K58" s="563"/>
      <c r="L58" s="587"/>
      <c r="M58" s="450"/>
      <c r="N58" s="450"/>
      <c r="O58" s="450"/>
      <c r="P58" s="450"/>
      <c r="Q58" s="450"/>
      <c r="R58" s="450"/>
      <c r="S58" s="450"/>
      <c r="T58" s="450"/>
      <c r="U58" s="448"/>
      <c r="V58" s="448"/>
      <c r="W58" s="448"/>
      <c r="X58" s="474"/>
      <c r="Y58" s="474"/>
      <c r="Z58" s="474"/>
      <c r="AA58" s="474"/>
      <c r="AB58" s="448"/>
      <c r="AC58" s="448"/>
      <c r="AD58" s="448"/>
      <c r="AE58" s="448"/>
      <c r="AF58" s="448"/>
      <c r="AG58" s="448"/>
      <c r="AH58" s="448"/>
      <c r="AI58" s="448"/>
      <c r="AJ58" s="448"/>
      <c r="AK58" s="448"/>
      <c r="AL58" s="448"/>
      <c r="AM58" s="448"/>
      <c r="AN58" s="448"/>
      <c r="AO58" s="448"/>
      <c r="AP58" s="448"/>
      <c r="AQ58" s="448"/>
      <c r="AR58" s="448"/>
      <c r="AS58" s="448"/>
      <c r="AT58" s="448"/>
      <c r="AU58" s="448"/>
      <c r="AV58" s="448"/>
      <c r="BF58" s="259"/>
      <c r="BG58" s="259"/>
      <c r="BH58" s="259"/>
      <c r="BI58" s="259"/>
      <c r="BJ58" s="259"/>
      <c r="BK58" s="259"/>
      <c r="BL58" s="259"/>
      <c r="BM58" s="259"/>
    </row>
    <row r="59" spans="1:65">
      <c r="B59" s="563" t="s">
        <v>332</v>
      </c>
      <c r="C59" s="607"/>
      <c r="D59" s="607">
        <f>SUM(Q59:T59)</f>
        <v>819.19999999999993</v>
      </c>
      <c r="E59" s="607">
        <f>SUM(U59:X59)</f>
        <v>1161.2</v>
      </c>
      <c r="F59" s="607">
        <f>SUM(Y59:AB59)</f>
        <v>1339.7</v>
      </c>
      <c r="G59" s="607">
        <f>SUM(AC59:AF59)</f>
        <v>1507.6983799999998</v>
      </c>
      <c r="H59" s="607">
        <f>SUM(AG59:AJ59)</f>
        <v>1676.7113683980001</v>
      </c>
      <c r="I59" s="607">
        <f>SUM(AK59:AN59)</f>
        <v>1843.9633273957008</v>
      </c>
      <c r="J59" s="607">
        <f>SUM(AO59:AR59)</f>
        <v>2008.6292525321369</v>
      </c>
      <c r="K59" s="607">
        <f>SUM(AS59:AV59)</f>
        <v>2161.2850757245792</v>
      </c>
      <c r="L59" s="587"/>
      <c r="M59" s="450"/>
      <c r="N59" s="450"/>
      <c r="O59" s="450"/>
      <c r="P59" s="450"/>
      <c r="Q59" s="473">
        <v>176.4</v>
      </c>
      <c r="R59" s="473">
        <v>198.4</v>
      </c>
      <c r="S59" s="473">
        <v>214.5</v>
      </c>
      <c r="T59" s="473">
        <v>229.9</v>
      </c>
      <c r="U59" s="473">
        <v>275.10000000000002</v>
      </c>
      <c r="V59" s="473">
        <v>286.3</v>
      </c>
      <c r="W59" s="473">
        <v>305.3</v>
      </c>
      <c r="X59" s="473">
        <v>294.5</v>
      </c>
      <c r="Y59" s="473">
        <v>309.5</v>
      </c>
      <c r="Z59" s="473">
        <v>320.10000000000002</v>
      </c>
      <c r="AA59" s="473">
        <v>356.1</v>
      </c>
      <c r="AB59" s="473">
        <v>354</v>
      </c>
      <c r="AC59" s="473">
        <f t="shared" ref="AC59:AR59" si="149">Y59*(1+AC60)</f>
        <v>348.31129999999996</v>
      </c>
      <c r="AD59" s="473">
        <f t="shared" si="149"/>
        <v>360.24054000000001</v>
      </c>
      <c r="AE59" s="473">
        <f t="shared" si="149"/>
        <v>400.75494000000003</v>
      </c>
      <c r="AF59" s="473">
        <f t="shared" si="149"/>
        <v>398.39159999999998</v>
      </c>
      <c r="AG59" s="473">
        <f t="shared" si="149"/>
        <v>387.35699672999999</v>
      </c>
      <c r="AH59" s="473">
        <f t="shared" si="149"/>
        <v>400.62350453400006</v>
      </c>
      <c r="AI59" s="473">
        <f t="shared" si="149"/>
        <v>445.67956877400007</v>
      </c>
      <c r="AJ59" s="473">
        <f t="shared" si="149"/>
        <v>443.05129836000003</v>
      </c>
      <c r="AK59" s="473">
        <f t="shared" si="149"/>
        <v>425.9958571538175</v>
      </c>
      <c r="AL59" s="473">
        <f t="shared" si="149"/>
        <v>440.58569911126659</v>
      </c>
      <c r="AM59" s="473">
        <f t="shared" si="149"/>
        <v>490.1361057592066</v>
      </c>
      <c r="AN59" s="473">
        <f t="shared" si="149"/>
        <v>487.24566537141004</v>
      </c>
      <c r="AO59" s="473">
        <f t="shared" si="149"/>
        <v>464.03728719765337</v>
      </c>
      <c r="AP59" s="473">
        <f t="shared" si="149"/>
        <v>479.9300020419027</v>
      </c>
      <c r="AQ59" s="473">
        <f t="shared" si="149"/>
        <v>533.90526000350371</v>
      </c>
      <c r="AR59" s="473">
        <f t="shared" si="149"/>
        <v>530.75670328907688</v>
      </c>
      <c r="AS59" s="473">
        <f t="shared" ref="AS59" si="150">AO59*(1+AS60)</f>
        <v>499.30412102467506</v>
      </c>
      <c r="AT59" s="473">
        <f t="shared" ref="AT59" si="151">AP59*(1+AT60)</f>
        <v>516.40468219708737</v>
      </c>
      <c r="AU59" s="473">
        <f t="shared" ref="AU59" si="152">AQ59*(1+AU60)</f>
        <v>574.48205976377005</v>
      </c>
      <c r="AV59" s="473">
        <f t="shared" ref="AV59" si="153">AR59*(1+AV60)</f>
        <v>571.09421273904672</v>
      </c>
    </row>
    <row r="60" spans="1:65">
      <c r="B60" s="569" t="s">
        <v>908</v>
      </c>
      <c r="C60" s="569"/>
      <c r="D60" s="452"/>
      <c r="E60" s="608">
        <f t="shared" ref="E60" si="154">E59/D59-1</f>
        <v>0.41748046875000022</v>
      </c>
      <c r="F60" s="608">
        <f t="shared" ref="F60" si="155">F59/E59-1</f>
        <v>0.1537202893558387</v>
      </c>
      <c r="G60" s="608">
        <f t="shared" ref="G60" si="156">G59/F59-1</f>
        <v>0.12539999999999973</v>
      </c>
      <c r="H60" s="608">
        <f t="shared" ref="H60" si="157">H59/G59-1</f>
        <v>0.11210000000000031</v>
      </c>
      <c r="I60" s="608">
        <f t="shared" ref="I60" si="158">I59/H59-1</f>
        <v>9.9750000000000227E-2</v>
      </c>
      <c r="J60" s="608">
        <f t="shared" ref="J60:K60" si="159">J59/I59-1</f>
        <v>8.9299999999999935E-2</v>
      </c>
      <c r="K60" s="608">
        <f t="shared" si="159"/>
        <v>7.5999999999999845E-2</v>
      </c>
      <c r="L60" s="597"/>
      <c r="M60" s="450"/>
      <c r="N60" s="450"/>
      <c r="O60" s="450"/>
      <c r="P60" s="450"/>
      <c r="Q60" s="450"/>
      <c r="R60" s="474"/>
      <c r="S60" s="474"/>
      <c r="T60" s="474"/>
      <c r="U60" s="472">
        <f t="shared" ref="U60:AB60" si="160">U59/Q59-1</f>
        <v>0.55952380952380953</v>
      </c>
      <c r="V60" s="472">
        <f t="shared" si="160"/>
        <v>0.44304435483870974</v>
      </c>
      <c r="W60" s="472">
        <f t="shared" si="160"/>
        <v>0.42331002331002332</v>
      </c>
      <c r="X60" s="472">
        <f t="shared" si="160"/>
        <v>0.28099173553719003</v>
      </c>
      <c r="Y60" s="472">
        <f t="shared" si="160"/>
        <v>0.1250454380225372</v>
      </c>
      <c r="Z60" s="472">
        <f t="shared" si="160"/>
        <v>0.11805798113866572</v>
      </c>
      <c r="AA60" s="472">
        <f t="shared" si="160"/>
        <v>0.16639371110383228</v>
      </c>
      <c r="AB60" s="472">
        <f t="shared" si="160"/>
        <v>0.20203735144312396</v>
      </c>
      <c r="AC60" s="272">
        <v>0.12539999999999998</v>
      </c>
      <c r="AD60" s="272">
        <v>0.12539999999999998</v>
      </c>
      <c r="AE60" s="272">
        <v>0.12539999999999998</v>
      </c>
      <c r="AF60" s="272">
        <v>0.12539999999999998</v>
      </c>
      <c r="AG60" s="272">
        <v>0.11210000000000001</v>
      </c>
      <c r="AH60" s="272">
        <v>0.11210000000000001</v>
      </c>
      <c r="AI60" s="272">
        <v>0.11210000000000001</v>
      </c>
      <c r="AJ60" s="272">
        <v>0.11210000000000001</v>
      </c>
      <c r="AK60" s="272">
        <v>9.9750000000000005E-2</v>
      </c>
      <c r="AL60" s="272">
        <v>9.9750000000000005E-2</v>
      </c>
      <c r="AM60" s="272">
        <v>9.9750000000000005E-2</v>
      </c>
      <c r="AN60" s="272">
        <v>9.9750000000000005E-2</v>
      </c>
      <c r="AO60" s="272">
        <v>8.929999999999999E-2</v>
      </c>
      <c r="AP60" s="272">
        <v>8.929999999999999E-2</v>
      </c>
      <c r="AQ60" s="272">
        <v>8.929999999999999E-2</v>
      </c>
      <c r="AR60" s="272">
        <v>8.929999999999999E-2</v>
      </c>
      <c r="AS60" s="272">
        <v>7.5999999999999998E-2</v>
      </c>
      <c r="AT60" s="272">
        <v>7.5999999999999998E-2</v>
      </c>
      <c r="AU60" s="272">
        <v>7.5999999999999998E-2</v>
      </c>
      <c r="AV60" s="272">
        <v>7.5999999999999998E-2</v>
      </c>
    </row>
    <row r="61" spans="1:65">
      <c r="B61" s="569" t="s">
        <v>1018</v>
      </c>
      <c r="C61" s="569"/>
      <c r="D61" s="569"/>
      <c r="E61" s="608">
        <f>E40/E59</f>
        <v>0.54081984154323115</v>
      </c>
      <c r="F61" s="608">
        <f t="shared" ref="F61:J61" si="161">F40/F59</f>
        <v>0.58072702843920276</v>
      </c>
      <c r="G61" s="608">
        <f t="shared" si="161"/>
        <v>0.56578334060796964</v>
      </c>
      <c r="H61" s="608">
        <f t="shared" si="161"/>
        <v>0.57005107640221664</v>
      </c>
      <c r="I61" s="608">
        <f t="shared" si="161"/>
        <v>0.57488524430079069</v>
      </c>
      <c r="J61" s="608">
        <f t="shared" si="161"/>
        <v>0.57875782998690684</v>
      </c>
      <c r="K61" s="608">
        <f t="shared" ref="K61" si="162">K40/K59</f>
        <v>0.58419509936675185</v>
      </c>
      <c r="L61" s="597"/>
      <c r="M61" s="450"/>
      <c r="N61" s="450"/>
      <c r="O61" s="450"/>
      <c r="P61" s="450"/>
      <c r="Q61" s="450"/>
      <c r="R61" s="450"/>
      <c r="S61" s="450"/>
      <c r="T61" s="450"/>
      <c r="U61" s="472">
        <f t="shared" ref="U61:AV61" si="163">U40/U59</f>
        <v>0.46892039258451468</v>
      </c>
      <c r="V61" s="472">
        <f t="shared" si="163"/>
        <v>0.51694027244149487</v>
      </c>
      <c r="W61" s="472">
        <f t="shared" si="163"/>
        <v>0.59613494923026533</v>
      </c>
      <c r="X61" s="472">
        <f t="shared" si="163"/>
        <v>0.57385398981324276</v>
      </c>
      <c r="Y61" s="472">
        <f t="shared" si="163"/>
        <v>0.70113085621970916</v>
      </c>
      <c r="Z61" s="472">
        <f t="shared" si="163"/>
        <v>0.54982817869415801</v>
      </c>
      <c r="AA61" s="472">
        <f t="shared" si="163"/>
        <v>0.54759898904802018</v>
      </c>
      <c r="AB61" s="472">
        <f t="shared" si="163"/>
        <v>0.53672316384180796</v>
      </c>
      <c r="AC61" s="472">
        <f t="shared" si="163"/>
        <v>0.60163109071683885</v>
      </c>
      <c r="AD61" s="472">
        <f t="shared" si="163"/>
        <v>0.58892193545521498</v>
      </c>
      <c r="AE61" s="472">
        <f t="shared" si="163"/>
        <v>0.53500762391652124</v>
      </c>
      <c r="AF61" s="472">
        <f t="shared" si="163"/>
        <v>0.54447737971680132</v>
      </c>
      <c r="AG61" s="472">
        <f t="shared" si="163"/>
        <v>0.60636956996298685</v>
      </c>
      <c r="AH61" s="472">
        <f t="shared" si="163"/>
        <v>0.59342969137127155</v>
      </c>
      <c r="AI61" s="472">
        <f t="shared" si="163"/>
        <v>0.53898556199834091</v>
      </c>
      <c r="AJ61" s="472">
        <f t="shared" si="163"/>
        <v>0.54840802914393172</v>
      </c>
      <c r="AK61" s="472">
        <f t="shared" si="163"/>
        <v>0.61170394305200915</v>
      </c>
      <c r="AL61" s="472">
        <f t="shared" si="163"/>
        <v>0.59852493824908448</v>
      </c>
      <c r="AM61" s="472">
        <f t="shared" si="163"/>
        <v>0.54350096831500549</v>
      </c>
      <c r="AN61" s="472">
        <f t="shared" si="163"/>
        <v>0.55288944594538714</v>
      </c>
      <c r="AO61" s="472">
        <f t="shared" si="163"/>
        <v>0.61600890659744523</v>
      </c>
      <c r="AP61" s="472">
        <f t="shared" si="163"/>
        <v>0.60261701650877253</v>
      </c>
      <c r="AQ61" s="472">
        <f t="shared" si="163"/>
        <v>0.54710908157370564</v>
      </c>
      <c r="AR61" s="472">
        <f t="shared" si="163"/>
        <v>0.55645157431834835</v>
      </c>
      <c r="AS61" s="472">
        <f t="shared" si="163"/>
        <v>0.62491327280839704</v>
      </c>
      <c r="AT61" s="472">
        <f t="shared" si="163"/>
        <v>0.60929565890640258</v>
      </c>
      <c r="AU61" s="472">
        <f t="shared" si="163"/>
        <v>0.55135122000047698</v>
      </c>
      <c r="AV61" s="472">
        <f t="shared" si="163"/>
        <v>0.55893730742748349</v>
      </c>
    </row>
    <row r="62" spans="1:65">
      <c r="B62" s="563" t="s">
        <v>333</v>
      </c>
      <c r="C62" s="563"/>
      <c r="D62" s="563"/>
      <c r="E62" s="607">
        <f>SUM(U62:X62)</f>
        <v>256.79869400000001</v>
      </c>
      <c r="F62" s="607">
        <f>SUM(Y62:AB62)</f>
        <v>285.45959199999999</v>
      </c>
      <c r="G62" s="563"/>
      <c r="H62" s="563"/>
      <c r="I62" s="563"/>
      <c r="J62" s="563"/>
      <c r="K62" s="563"/>
      <c r="L62" s="587"/>
      <c r="M62" s="450"/>
      <c r="N62" s="450"/>
      <c r="O62" s="450"/>
      <c r="P62" s="450"/>
      <c r="Q62" s="450"/>
      <c r="R62" s="473"/>
      <c r="S62" s="473"/>
      <c r="T62" s="473"/>
      <c r="U62" s="473">
        <f>107.355*73.3%</f>
        <v>78.691215</v>
      </c>
      <c r="V62" s="473">
        <f>94.302*72.4%</f>
        <v>68.274648000000013</v>
      </c>
      <c r="W62" s="473">
        <f>81.117*68.3%</f>
        <v>55.402910999999996</v>
      </c>
      <c r="X62" s="473">
        <f>80.044*68%</f>
        <v>54.429920000000003</v>
      </c>
      <c r="Y62" s="473">
        <f>87.612*71.8%</f>
        <v>62.905415999999995</v>
      </c>
      <c r="Z62" s="473">
        <f>100.608*74.7%</f>
        <v>75.154176000000007</v>
      </c>
      <c r="AA62" s="473">
        <v>70.599999999999994</v>
      </c>
      <c r="AB62" s="473">
        <v>76.8</v>
      </c>
      <c r="AC62" s="473"/>
      <c r="AD62" s="473"/>
      <c r="AE62" s="473"/>
      <c r="AF62" s="473"/>
      <c r="AG62" s="473"/>
      <c r="AH62" s="473"/>
      <c r="AI62" s="473"/>
      <c r="AJ62" s="473"/>
      <c r="AK62" s="450"/>
      <c r="AL62" s="450"/>
      <c r="AM62" s="450"/>
      <c r="AN62" s="450"/>
      <c r="AO62" s="450"/>
      <c r="AP62" s="450"/>
      <c r="AQ62" s="450"/>
      <c r="AR62" s="450"/>
      <c r="AS62" s="450"/>
      <c r="AT62" s="450"/>
      <c r="AU62" s="450"/>
      <c r="AV62" s="450"/>
      <c r="BF62" s="259"/>
      <c r="BG62" s="259"/>
      <c r="BH62" s="259"/>
      <c r="BI62" s="259"/>
      <c r="BJ62" s="259"/>
      <c r="BK62" s="259"/>
      <c r="BL62" s="259"/>
      <c r="BM62" s="259"/>
    </row>
    <row r="63" spans="1:65">
      <c r="B63" s="563" t="s">
        <v>334</v>
      </c>
      <c r="C63" s="563"/>
      <c r="D63" s="563"/>
      <c r="E63" s="608">
        <f>E62/E59</f>
        <v>0.22114940923182913</v>
      </c>
      <c r="F63" s="608">
        <f>F62/F59</f>
        <v>0.21307725013062626</v>
      </c>
      <c r="G63" s="563"/>
      <c r="H63" s="563"/>
      <c r="I63" s="563"/>
      <c r="J63" s="563"/>
      <c r="K63" s="563"/>
      <c r="L63" s="587"/>
      <c r="M63" s="450"/>
      <c r="N63" s="450"/>
      <c r="O63" s="450"/>
      <c r="P63" s="450"/>
      <c r="Q63" s="450"/>
      <c r="R63" s="450"/>
      <c r="S63" s="450"/>
      <c r="T63" s="450"/>
      <c r="U63" s="474">
        <f t="shared" ref="U63:AB63" si="164">U62/U59</f>
        <v>0.28604585605234456</v>
      </c>
      <c r="V63" s="474">
        <f t="shared" si="164"/>
        <v>0.23847239958085928</v>
      </c>
      <c r="W63" s="474">
        <f t="shared" si="164"/>
        <v>0.18147039305601045</v>
      </c>
      <c r="X63" s="474">
        <f t="shared" si="164"/>
        <v>0.18482146010186759</v>
      </c>
      <c r="Y63" s="474">
        <f t="shared" si="164"/>
        <v>0.20324851696284327</v>
      </c>
      <c r="Z63" s="474">
        <f t="shared" si="164"/>
        <v>0.23478343017806935</v>
      </c>
      <c r="AA63" s="474">
        <f t="shared" si="164"/>
        <v>0.19825891603482165</v>
      </c>
      <c r="AB63" s="474">
        <f t="shared" si="164"/>
        <v>0.21694915254237288</v>
      </c>
      <c r="AC63" s="474"/>
      <c r="AD63" s="474"/>
      <c r="AE63" s="474"/>
      <c r="AF63" s="474"/>
      <c r="AG63" s="474"/>
      <c r="AH63" s="474"/>
      <c r="AI63" s="474"/>
      <c r="AJ63" s="474"/>
      <c r="AK63" s="450"/>
      <c r="AL63" s="450"/>
      <c r="AM63" s="472"/>
      <c r="AN63" s="450"/>
      <c r="AO63" s="450"/>
      <c r="AP63" s="450"/>
      <c r="AQ63" s="450"/>
      <c r="AR63" s="450"/>
      <c r="AS63" s="450"/>
      <c r="AT63" s="450"/>
      <c r="AU63" s="450"/>
      <c r="AV63" s="450"/>
      <c r="BF63" s="259"/>
      <c r="BG63" s="259"/>
      <c r="BH63" s="259"/>
      <c r="BI63" s="259"/>
      <c r="BJ63" s="259"/>
      <c r="BK63" s="259"/>
      <c r="BL63" s="259"/>
      <c r="BM63" s="259"/>
    </row>
    <row r="64" spans="1:65">
      <c r="B64" s="563" t="s">
        <v>335</v>
      </c>
      <c r="C64" s="563"/>
      <c r="D64" s="563"/>
      <c r="E64" s="608">
        <f>E63+E61</f>
        <v>0.76196925077506028</v>
      </c>
      <c r="F64" s="608">
        <f>F63+F61</f>
        <v>0.79380427856982905</v>
      </c>
      <c r="G64" s="563"/>
      <c r="H64" s="563"/>
      <c r="I64" s="563"/>
      <c r="J64" s="563"/>
      <c r="K64" s="563"/>
      <c r="L64" s="587"/>
      <c r="M64" s="450"/>
      <c r="N64" s="450"/>
      <c r="O64" s="450"/>
      <c r="P64" s="450"/>
      <c r="Q64" s="450"/>
      <c r="R64" s="450"/>
      <c r="S64" s="450"/>
      <c r="T64" s="450"/>
      <c r="U64" s="474">
        <f t="shared" ref="U64:AB64" si="165">U63+U61</f>
        <v>0.75496624863685924</v>
      </c>
      <c r="V64" s="474">
        <f t="shared" si="165"/>
        <v>0.75541267202235418</v>
      </c>
      <c r="W64" s="474">
        <f t="shared" si="165"/>
        <v>0.77760534228627576</v>
      </c>
      <c r="X64" s="474">
        <f t="shared" si="165"/>
        <v>0.75867544991511038</v>
      </c>
      <c r="Y64" s="474">
        <f t="shared" si="165"/>
        <v>0.90437937318255246</v>
      </c>
      <c r="Z64" s="474">
        <f t="shared" si="165"/>
        <v>0.78461160887222736</v>
      </c>
      <c r="AA64" s="474">
        <f t="shared" si="165"/>
        <v>0.74585790508284178</v>
      </c>
      <c r="AB64" s="474">
        <f t="shared" si="165"/>
        <v>0.75367231638418086</v>
      </c>
      <c r="AC64" s="474"/>
      <c r="AD64" s="474"/>
      <c r="AE64" s="474"/>
      <c r="AF64" s="474"/>
      <c r="AG64" s="474"/>
      <c r="AH64" s="474"/>
      <c r="AI64" s="474"/>
      <c r="AJ64" s="474"/>
      <c r="AK64" s="450"/>
      <c r="AL64" s="450"/>
      <c r="AM64" s="450"/>
      <c r="AN64" s="450"/>
      <c r="AO64" s="450"/>
      <c r="AP64" s="450"/>
      <c r="AQ64" s="450"/>
      <c r="AR64" s="450"/>
      <c r="AS64" s="450"/>
      <c r="AT64" s="450"/>
      <c r="AU64" s="450"/>
      <c r="AV64" s="450"/>
      <c r="BH64" s="260"/>
      <c r="BI64" s="260"/>
      <c r="BJ64" s="260"/>
      <c r="BK64" s="260"/>
      <c r="BL64" s="260"/>
      <c r="BM64" s="260"/>
    </row>
    <row r="65" spans="1:65"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90"/>
      <c r="M65" s="450"/>
      <c r="N65" s="450"/>
      <c r="O65" s="450"/>
      <c r="P65" s="450"/>
      <c r="Q65" s="450"/>
      <c r="R65" s="450"/>
      <c r="S65" s="450"/>
      <c r="T65" s="450"/>
      <c r="U65" s="474"/>
      <c r="V65" s="474"/>
      <c r="W65" s="474"/>
      <c r="X65" s="474"/>
      <c r="Y65" s="474"/>
      <c r="Z65" s="474"/>
      <c r="AA65" s="474"/>
      <c r="AB65" s="474"/>
      <c r="AC65" s="474"/>
      <c r="AD65" s="474"/>
      <c r="AE65" s="474"/>
      <c r="AF65" s="474"/>
      <c r="AG65" s="474"/>
      <c r="AH65" s="474"/>
      <c r="AI65" s="474"/>
      <c r="AJ65" s="474"/>
      <c r="AK65" s="450"/>
      <c r="AL65" s="450"/>
      <c r="AM65" s="450"/>
      <c r="AN65" s="450"/>
      <c r="AO65" s="450"/>
      <c r="AP65" s="450"/>
      <c r="AQ65" s="450"/>
      <c r="AR65" s="450"/>
      <c r="AS65" s="450"/>
      <c r="AT65" s="450"/>
      <c r="AU65" s="450"/>
      <c r="AV65" s="450"/>
    </row>
    <row r="66" spans="1:65">
      <c r="B66" s="564" t="s">
        <v>321</v>
      </c>
      <c r="C66" s="564"/>
      <c r="D66" s="564"/>
      <c r="E66" s="588">
        <f>SUM(U66:X66)</f>
        <v>551</v>
      </c>
      <c r="F66" s="588">
        <f>SUM(Y66:AB66)</f>
        <v>506</v>
      </c>
      <c r="G66" s="588">
        <f>SUM(AC66:AF66)</f>
        <v>484.47976913699995</v>
      </c>
      <c r="H66" s="588">
        <f>SUM(AG66:AJ66)</f>
        <v>506.691303168204</v>
      </c>
      <c r="I66" s="588">
        <f>SUM(AK66:AN66)</f>
        <v>529.79949744905707</v>
      </c>
      <c r="J66" s="588">
        <f>SUM(AO66:AR66)</f>
        <v>553.83816121390964</v>
      </c>
      <c r="K66" s="588">
        <f>SUM(AS66:AV66)</f>
        <v>578.84232525694938</v>
      </c>
      <c r="L66" s="586"/>
      <c r="M66" s="460"/>
      <c r="N66" s="460"/>
      <c r="O66" s="460"/>
      <c r="P66" s="460"/>
      <c r="Q66" s="460"/>
      <c r="R66" s="460"/>
      <c r="S66" s="460"/>
      <c r="T66" s="460"/>
      <c r="U66" s="460">
        <v>141</v>
      </c>
      <c r="V66" s="460">
        <v>136</v>
      </c>
      <c r="W66" s="460">
        <v>146</v>
      </c>
      <c r="X66" s="460">
        <v>128</v>
      </c>
      <c r="Y66" s="460">
        <v>141</v>
      </c>
      <c r="Z66" s="460">
        <v>129</v>
      </c>
      <c r="AA66" s="463">
        <v>124</v>
      </c>
      <c r="AB66" s="464">
        <f>506-AA66-Z66-Y66</f>
        <v>112</v>
      </c>
      <c r="AC66" s="464">
        <f t="shared" ref="AC66:AR66" si="166">AC68*AC70</f>
        <v>122.74646474999997</v>
      </c>
      <c r="AD66" s="464">
        <f t="shared" si="166"/>
        <v>117.28251724799999</v>
      </c>
      <c r="AE66" s="464">
        <f t="shared" si="166"/>
        <v>121.92823398600002</v>
      </c>
      <c r="AF66" s="464">
        <f t="shared" si="166"/>
        <v>122.52255315300002</v>
      </c>
      <c r="AG66" s="464">
        <f t="shared" si="166"/>
        <v>128.37391805699997</v>
      </c>
      <c r="AH66" s="464">
        <f t="shared" si="166"/>
        <v>122.65946957721599</v>
      </c>
      <c r="AI66" s="464">
        <f t="shared" si="166"/>
        <v>127.51817455951203</v>
      </c>
      <c r="AJ66" s="464">
        <f t="shared" si="166"/>
        <v>128.13974097447601</v>
      </c>
      <c r="AK66" s="464">
        <f t="shared" si="166"/>
        <v>134.22854674414498</v>
      </c>
      <c r="AL66" s="464">
        <f t="shared" si="166"/>
        <v>128.25348478066175</v>
      </c>
      <c r="AM66" s="464">
        <f t="shared" si="166"/>
        <v>133.33377615684736</v>
      </c>
      <c r="AN66" s="464">
        <f t="shared" si="166"/>
        <v>133.98368976740289</v>
      </c>
      <c r="AO66" s="464">
        <f t="shared" si="166"/>
        <v>140.31891662626737</v>
      </c>
      <c r="AP66" s="464">
        <f t="shared" si="166"/>
        <v>134.07274737369477</v>
      </c>
      <c r="AQ66" s="464">
        <f t="shared" si="166"/>
        <v>139.38354749291923</v>
      </c>
      <c r="AR66" s="464">
        <f t="shared" si="166"/>
        <v>140.06294972102833</v>
      </c>
      <c r="AS66" s="464">
        <f t="shared" ref="AS66:AV66" si="167">AS68*AS70</f>
        <v>146.65390300924736</v>
      </c>
      <c r="AT66" s="464">
        <f t="shared" si="167"/>
        <v>140.12573758600715</v>
      </c>
      <c r="AU66" s="464">
        <f t="shared" si="167"/>
        <v>145.67630471061426</v>
      </c>
      <c r="AV66" s="464">
        <f t="shared" si="167"/>
        <v>146.38637995108064</v>
      </c>
    </row>
    <row r="67" spans="1:65">
      <c r="B67" s="565" t="s">
        <v>1046</v>
      </c>
      <c r="C67" s="565"/>
      <c r="D67" s="565"/>
      <c r="E67" s="565"/>
      <c r="F67" s="589">
        <f>F66/E66-1</f>
        <v>-8.1669691470054429E-2</v>
      </c>
      <c r="G67" s="589">
        <f t="shared" ref="G67" si="168">G66/F66-1</f>
        <v>-4.2530100519762915E-2</v>
      </c>
      <c r="H67" s="589">
        <f t="shared" ref="H67" si="169">H66/G66-1</f>
        <v>4.584615384615387E-2</v>
      </c>
      <c r="I67" s="589">
        <f t="shared" ref="I67" si="170">I66/H66-1</f>
        <v>4.5606060606060872E-2</v>
      </c>
      <c r="J67" s="589">
        <f t="shared" ref="J67:K67" si="171">J66/I66-1</f>
        <v>4.5373134328357878E-2</v>
      </c>
      <c r="K67" s="589">
        <f t="shared" si="171"/>
        <v>4.5147058823529429E-2</v>
      </c>
      <c r="L67" s="591"/>
      <c r="M67" s="481"/>
      <c r="N67" s="481"/>
      <c r="O67" s="481"/>
      <c r="P67" s="481"/>
      <c r="Q67" s="481"/>
      <c r="R67" s="481"/>
      <c r="S67" s="481"/>
      <c r="T67" s="481"/>
      <c r="U67" s="482"/>
      <c r="V67" s="482"/>
      <c r="W67" s="482"/>
      <c r="X67" s="482"/>
      <c r="Y67" s="495">
        <f t="shared" ref="Y67:AR67" si="172">Y66/U66-1</f>
        <v>0</v>
      </c>
      <c r="Z67" s="495">
        <f t="shared" si="172"/>
        <v>-5.1470588235294157E-2</v>
      </c>
      <c r="AA67" s="495">
        <f t="shared" si="172"/>
        <v>-0.15068493150684936</v>
      </c>
      <c r="AB67" s="495">
        <f t="shared" si="172"/>
        <v>-0.125</v>
      </c>
      <c r="AC67" s="495">
        <f t="shared" si="172"/>
        <v>-0.12945769680851082</v>
      </c>
      <c r="AD67" s="495">
        <f t="shared" si="172"/>
        <v>-9.0833199627907035E-2</v>
      </c>
      <c r="AE67" s="495">
        <f t="shared" si="172"/>
        <v>-1.6707790435483649E-2</v>
      </c>
      <c r="AF67" s="495">
        <f t="shared" si="172"/>
        <v>9.39513674375001E-2</v>
      </c>
      <c r="AG67" s="495">
        <f t="shared" si="172"/>
        <v>4.584615384615387E-2</v>
      </c>
      <c r="AH67" s="495">
        <f t="shared" si="172"/>
        <v>4.584615384615387E-2</v>
      </c>
      <c r="AI67" s="495">
        <f t="shared" si="172"/>
        <v>4.584615384615387E-2</v>
      </c>
      <c r="AJ67" s="495">
        <f t="shared" si="172"/>
        <v>4.584615384615387E-2</v>
      </c>
      <c r="AK67" s="495">
        <f t="shared" si="172"/>
        <v>4.560606060606065E-2</v>
      </c>
      <c r="AL67" s="495">
        <f t="shared" si="172"/>
        <v>4.560606060606065E-2</v>
      </c>
      <c r="AM67" s="495">
        <f t="shared" si="172"/>
        <v>4.560606060606065E-2</v>
      </c>
      <c r="AN67" s="495">
        <f t="shared" si="172"/>
        <v>4.5606060606060872E-2</v>
      </c>
      <c r="AO67" s="495">
        <f t="shared" si="172"/>
        <v>4.53731343283581E-2</v>
      </c>
      <c r="AP67" s="495">
        <f t="shared" si="172"/>
        <v>4.5373134328358322E-2</v>
      </c>
      <c r="AQ67" s="495">
        <f t="shared" si="172"/>
        <v>4.53731343283581E-2</v>
      </c>
      <c r="AR67" s="495">
        <f t="shared" si="172"/>
        <v>4.53731343283581E-2</v>
      </c>
      <c r="AS67" s="495">
        <f t="shared" ref="AS67" si="173">AS66/AO66-1</f>
        <v>4.5147058823529207E-2</v>
      </c>
      <c r="AT67" s="495">
        <f t="shared" ref="AT67" si="174">AT66/AP66-1</f>
        <v>4.5147058823529207E-2</v>
      </c>
      <c r="AU67" s="495">
        <f t="shared" ref="AU67" si="175">AU66/AQ66-1</f>
        <v>4.5147058823529429E-2</v>
      </c>
      <c r="AV67" s="495">
        <f t="shared" ref="AV67" si="176">AV66/AR66-1</f>
        <v>4.5147058823529429E-2</v>
      </c>
    </row>
    <row r="68" spans="1:65">
      <c r="B68" s="563" t="s">
        <v>336</v>
      </c>
      <c r="C68" s="563"/>
      <c r="D68" s="607">
        <f>SUM(Q68:T68)</f>
        <v>606.47</v>
      </c>
      <c r="E68" s="607">
        <f>SUM(U68:X68)</f>
        <v>706.25030000000004</v>
      </c>
      <c r="F68" s="607">
        <f>SUM(Y68:AB68)</f>
        <v>723.64416600000004</v>
      </c>
      <c r="G68" s="607">
        <f>SUM(AC68:AF68)</f>
        <v>745.35349097999995</v>
      </c>
      <c r="H68" s="607">
        <f>SUM(AG68:AJ68)</f>
        <v>767.7140957094</v>
      </c>
      <c r="I68" s="607">
        <f>SUM(AK68:AN68)</f>
        <v>790.74551858068196</v>
      </c>
      <c r="J68" s="607">
        <f>SUM(AO68:AR68)</f>
        <v>814.46788413810248</v>
      </c>
      <c r="K68" s="607">
        <f>SUM(AS68:AV68)</f>
        <v>838.90192066224563</v>
      </c>
      <c r="L68" s="587"/>
      <c r="M68" s="450"/>
      <c r="N68" s="450"/>
      <c r="O68" s="450"/>
      <c r="P68" s="450"/>
      <c r="Q68" s="473">
        <v>156.78460000000001</v>
      </c>
      <c r="R68" s="473">
        <v>142.79040000000001</v>
      </c>
      <c r="S68" s="473">
        <v>155.18099999999998</v>
      </c>
      <c r="T68" s="473">
        <v>151.714</v>
      </c>
      <c r="U68" s="473">
        <v>174.40669999999997</v>
      </c>
      <c r="V68" s="473">
        <v>168.44159999999999</v>
      </c>
      <c r="W68" s="473">
        <v>178.54740000000001</v>
      </c>
      <c r="X68" s="473">
        <v>184.8546</v>
      </c>
      <c r="Y68" s="473">
        <v>183.34049999999996</v>
      </c>
      <c r="Z68" s="473">
        <f t="shared" ref="Z68:AR68" si="177">V68*(1+Z69)</f>
        <v>175.17926399999999</v>
      </c>
      <c r="AA68" s="473">
        <f t="shared" si="177"/>
        <v>182.11834800000003</v>
      </c>
      <c r="AB68" s="473">
        <f t="shared" si="177"/>
        <v>183.00605400000001</v>
      </c>
      <c r="AC68" s="473">
        <f t="shared" si="177"/>
        <v>188.84071499999996</v>
      </c>
      <c r="AD68" s="473">
        <f t="shared" si="177"/>
        <v>180.43464191999999</v>
      </c>
      <c r="AE68" s="473">
        <f t="shared" si="177"/>
        <v>187.58189844000003</v>
      </c>
      <c r="AF68" s="473">
        <f t="shared" si="177"/>
        <v>188.49623562000002</v>
      </c>
      <c r="AG68" s="473">
        <f t="shared" si="177"/>
        <v>194.50593644999995</v>
      </c>
      <c r="AH68" s="473">
        <f t="shared" si="177"/>
        <v>185.84768117759998</v>
      </c>
      <c r="AI68" s="473">
        <f t="shared" si="177"/>
        <v>193.20935539320004</v>
      </c>
      <c r="AJ68" s="473">
        <f t="shared" si="177"/>
        <v>194.15112268860003</v>
      </c>
      <c r="AK68" s="473">
        <f t="shared" si="177"/>
        <v>200.34111454349994</v>
      </c>
      <c r="AL68" s="473">
        <f t="shared" si="177"/>
        <v>191.42311161292798</v>
      </c>
      <c r="AM68" s="473">
        <f t="shared" si="177"/>
        <v>199.00563605499605</v>
      </c>
      <c r="AN68" s="473">
        <f t="shared" si="177"/>
        <v>199.97565636925802</v>
      </c>
      <c r="AO68" s="473">
        <f t="shared" si="177"/>
        <v>206.35134797980496</v>
      </c>
      <c r="AP68" s="473">
        <f t="shared" si="177"/>
        <v>197.16580496131581</v>
      </c>
      <c r="AQ68" s="473">
        <f t="shared" si="177"/>
        <v>204.97580513664593</v>
      </c>
      <c r="AR68" s="473">
        <f t="shared" si="177"/>
        <v>205.97492606033578</v>
      </c>
      <c r="AS68" s="473">
        <f t="shared" ref="AS68" si="178">AO68*(1+AS69)</f>
        <v>212.5418884191991</v>
      </c>
      <c r="AT68" s="473">
        <f t="shared" ref="AT68" si="179">AP68*(1+AT69)</f>
        <v>203.08077911015531</v>
      </c>
      <c r="AU68" s="473">
        <f t="shared" ref="AU68" si="180">AQ68*(1+AU69)</f>
        <v>211.1250792907453</v>
      </c>
      <c r="AV68" s="473">
        <f t="shared" ref="AV68" si="181">AR68*(1+AV69)</f>
        <v>212.15417384214587</v>
      </c>
    </row>
    <row r="69" spans="1:65">
      <c r="B69" s="569" t="s">
        <v>908</v>
      </c>
      <c r="C69" s="569"/>
      <c r="D69" s="569"/>
      <c r="E69" s="608">
        <f t="shared" ref="E69" si="182">E68/D68-1</f>
        <v>0.16452635744554556</v>
      </c>
      <c r="F69" s="608">
        <f t="shared" ref="F69" si="183">F68/E68-1</f>
        <v>2.4628472370206378E-2</v>
      </c>
      <c r="G69" s="608">
        <f t="shared" ref="G69" si="184">G68/F68-1</f>
        <v>2.9999999999999805E-2</v>
      </c>
      <c r="H69" s="608">
        <f t="shared" ref="H69" si="185">H68/G68-1</f>
        <v>3.0000000000000027E-2</v>
      </c>
      <c r="I69" s="608">
        <f t="shared" ref="I69" si="186">I68/H68-1</f>
        <v>3.0000000000000027E-2</v>
      </c>
      <c r="J69" s="608">
        <f t="shared" ref="J69:K69" si="187">J68/I68-1</f>
        <v>3.0000000000000027E-2</v>
      </c>
      <c r="K69" s="608">
        <f t="shared" si="187"/>
        <v>3.0000000000000027E-2</v>
      </c>
      <c r="L69" s="597"/>
      <c r="M69" s="450"/>
      <c r="N69" s="450"/>
      <c r="O69" s="450"/>
      <c r="P69" s="450"/>
      <c r="Q69" s="450"/>
      <c r="R69" s="474"/>
      <c r="S69" s="474"/>
      <c r="T69" s="474"/>
      <c r="U69" s="472">
        <f>U68/Q68-1</f>
        <v>0.11239688081610022</v>
      </c>
      <c r="V69" s="472">
        <f>V68/R68-1</f>
        <v>0.17964232889606024</v>
      </c>
      <c r="W69" s="472">
        <f>W68/S68-1</f>
        <v>0.15057513484253882</v>
      </c>
      <c r="X69" s="472">
        <f>X68/T68-1</f>
        <v>0.21844127766718957</v>
      </c>
      <c r="Y69" s="472">
        <f>Y68/U68-1</f>
        <v>5.1223949538635738E-2</v>
      </c>
      <c r="Z69" s="475">
        <v>0.04</v>
      </c>
      <c r="AA69" s="475">
        <v>0.02</v>
      </c>
      <c r="AB69" s="475">
        <v>-0.01</v>
      </c>
      <c r="AC69" s="475">
        <v>0.03</v>
      </c>
      <c r="AD69" s="475">
        <v>0.03</v>
      </c>
      <c r="AE69" s="475">
        <v>0.03</v>
      </c>
      <c r="AF69" s="475">
        <v>0.03</v>
      </c>
      <c r="AG69" s="475">
        <v>0.03</v>
      </c>
      <c r="AH69" s="475">
        <v>0.03</v>
      </c>
      <c r="AI69" s="475">
        <v>0.03</v>
      </c>
      <c r="AJ69" s="475">
        <v>0.03</v>
      </c>
      <c r="AK69" s="475">
        <v>0.03</v>
      </c>
      <c r="AL69" s="475">
        <v>0.03</v>
      </c>
      <c r="AM69" s="475">
        <v>0.03</v>
      </c>
      <c r="AN69" s="475">
        <v>0.03</v>
      </c>
      <c r="AO69" s="475">
        <v>0.03</v>
      </c>
      <c r="AP69" s="475">
        <v>0.03</v>
      </c>
      <c r="AQ69" s="475">
        <v>0.03</v>
      </c>
      <c r="AR69" s="475">
        <v>0.03</v>
      </c>
      <c r="AS69" s="475">
        <v>0.03</v>
      </c>
      <c r="AT69" s="475">
        <v>0.03</v>
      </c>
      <c r="AU69" s="475">
        <v>0.03</v>
      </c>
      <c r="AV69" s="475">
        <v>0.03</v>
      </c>
    </row>
    <row r="70" spans="1:65">
      <c r="B70" s="569" t="s">
        <v>1019</v>
      </c>
      <c r="C70" s="569"/>
      <c r="D70" s="569"/>
      <c r="E70" s="608">
        <f>E66/E68</f>
        <v>0.78017665974796746</v>
      </c>
      <c r="F70" s="608">
        <f t="shared" ref="F70:I70" si="188">F66/F68</f>
        <v>0.69923869185176291</v>
      </c>
      <c r="G70" s="608">
        <f t="shared" si="188"/>
        <v>0.65</v>
      </c>
      <c r="H70" s="608">
        <f t="shared" si="188"/>
        <v>0.66</v>
      </c>
      <c r="I70" s="608">
        <f t="shared" si="188"/>
        <v>0.67000000000000015</v>
      </c>
      <c r="J70" s="608">
        <f>J66/J68</f>
        <v>0.67999999999999994</v>
      </c>
      <c r="K70" s="608">
        <f>K66/K68</f>
        <v>0.68999999999999984</v>
      </c>
      <c r="L70" s="597"/>
      <c r="M70" s="450"/>
      <c r="N70" s="450"/>
      <c r="O70" s="450"/>
      <c r="P70" s="450"/>
      <c r="Q70" s="450"/>
      <c r="R70" s="450"/>
      <c r="S70" s="450"/>
      <c r="T70" s="450"/>
      <c r="U70" s="472">
        <f t="shared" ref="U70:AB70" si="189">U66/U68</f>
        <v>0.80845517976086945</v>
      </c>
      <c r="V70" s="472">
        <f t="shared" si="189"/>
        <v>0.80740149701736386</v>
      </c>
      <c r="W70" s="472">
        <f t="shared" si="189"/>
        <v>0.81771003106177964</v>
      </c>
      <c r="X70" s="472">
        <f t="shared" si="189"/>
        <v>0.69243610924477939</v>
      </c>
      <c r="Y70" s="472">
        <f t="shared" si="189"/>
        <v>0.76906084580330059</v>
      </c>
      <c r="Z70" s="472">
        <f t="shared" si="189"/>
        <v>0.73638852598444537</v>
      </c>
      <c r="AA70" s="472">
        <f t="shared" si="189"/>
        <v>0.68087593239095268</v>
      </c>
      <c r="AB70" s="472">
        <f t="shared" si="189"/>
        <v>0.61200161170624445</v>
      </c>
      <c r="AC70" s="475">
        <v>0.65</v>
      </c>
      <c r="AD70" s="475">
        <v>0.65</v>
      </c>
      <c r="AE70" s="475">
        <v>0.65</v>
      </c>
      <c r="AF70" s="475">
        <v>0.65</v>
      </c>
      <c r="AG70" s="475">
        <v>0.66</v>
      </c>
      <c r="AH70" s="475">
        <v>0.66</v>
      </c>
      <c r="AI70" s="475">
        <v>0.66</v>
      </c>
      <c r="AJ70" s="475">
        <v>0.66</v>
      </c>
      <c r="AK70" s="475">
        <v>0.67</v>
      </c>
      <c r="AL70" s="475">
        <v>0.67</v>
      </c>
      <c r="AM70" s="475">
        <v>0.67</v>
      </c>
      <c r="AN70" s="475">
        <v>0.67</v>
      </c>
      <c r="AO70" s="475">
        <v>0.68</v>
      </c>
      <c r="AP70" s="475">
        <v>0.68</v>
      </c>
      <c r="AQ70" s="475">
        <v>0.68</v>
      </c>
      <c r="AR70" s="475">
        <v>0.68</v>
      </c>
      <c r="AS70" s="475">
        <v>0.69</v>
      </c>
      <c r="AT70" s="475">
        <v>0.69</v>
      </c>
      <c r="AU70" s="475">
        <v>0.69</v>
      </c>
      <c r="AV70" s="475">
        <v>0.69</v>
      </c>
    </row>
    <row r="71" spans="1:65">
      <c r="A71" s="610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M71" s="450"/>
      <c r="N71" s="450"/>
      <c r="O71" s="450"/>
      <c r="P71" s="450"/>
      <c r="Q71" s="450"/>
      <c r="R71" s="450"/>
      <c r="S71" s="450"/>
      <c r="T71" s="450"/>
      <c r="U71" s="450"/>
      <c r="V71" s="450"/>
      <c r="W71" s="450"/>
      <c r="X71" s="450"/>
      <c r="Y71" s="450"/>
      <c r="Z71" s="450"/>
      <c r="AA71" s="450"/>
      <c r="AB71" s="450"/>
      <c r="AC71" s="450"/>
      <c r="AD71" s="450"/>
      <c r="AE71" s="450"/>
      <c r="AF71" s="450"/>
      <c r="AG71" s="450"/>
      <c r="AH71" s="450"/>
      <c r="AI71" s="450"/>
      <c r="AJ71" s="450"/>
      <c r="AK71" s="450"/>
      <c r="AL71" s="450"/>
      <c r="AM71" s="450"/>
      <c r="AN71" s="450"/>
      <c r="AO71" s="450"/>
      <c r="AP71" s="450"/>
      <c r="AQ71" s="450"/>
      <c r="AR71" s="450"/>
      <c r="AS71" s="450"/>
      <c r="AT71" s="450"/>
      <c r="AU71" s="450"/>
      <c r="AV71" s="450"/>
      <c r="BF71" s="259"/>
      <c r="BG71" s="259"/>
      <c r="BH71" s="259"/>
      <c r="BI71" s="259"/>
      <c r="BJ71" s="259"/>
      <c r="BK71" s="259"/>
      <c r="BL71" s="259"/>
      <c r="BM71" s="259"/>
    </row>
    <row r="72" spans="1:65" outlineLevel="1">
      <c r="A72" s="610"/>
      <c r="B72" s="558" t="s">
        <v>337</v>
      </c>
      <c r="C72" s="558"/>
      <c r="D72" s="558"/>
      <c r="E72" s="558"/>
      <c r="F72" s="558"/>
      <c r="G72" s="558"/>
      <c r="H72" s="558"/>
      <c r="I72" s="558"/>
      <c r="J72" s="558"/>
      <c r="K72" s="558"/>
      <c r="L72" s="590"/>
      <c r="M72" s="473">
        <f t="shared" ref="M72:AB72" si="190">AVERAGE(M73:M74)</f>
        <v>345</v>
      </c>
      <c r="N72" s="473">
        <f t="shared" si="190"/>
        <v>342.5</v>
      </c>
      <c r="O72" s="473">
        <f t="shared" si="190"/>
        <v>300</v>
      </c>
      <c r="P72" s="473">
        <f t="shared" si="190"/>
        <v>337.5</v>
      </c>
      <c r="Q72" s="473">
        <f t="shared" si="190"/>
        <v>380</v>
      </c>
      <c r="R72" s="473">
        <f t="shared" si="190"/>
        <v>380</v>
      </c>
      <c r="S72" s="473">
        <f t="shared" si="190"/>
        <v>380</v>
      </c>
      <c r="T72" s="473">
        <f t="shared" si="190"/>
        <v>380</v>
      </c>
      <c r="U72" s="473">
        <f t="shared" si="190"/>
        <v>420</v>
      </c>
      <c r="V72" s="473">
        <f t="shared" si="190"/>
        <v>465</v>
      </c>
      <c r="W72" s="473">
        <f t="shared" si="190"/>
        <v>510</v>
      </c>
      <c r="X72" s="473">
        <f t="shared" si="190"/>
        <v>500</v>
      </c>
      <c r="Y72" s="473">
        <f t="shared" si="190"/>
        <v>605</v>
      </c>
      <c r="Z72" s="473">
        <f t="shared" si="190"/>
        <v>590</v>
      </c>
      <c r="AA72" s="473">
        <f t="shared" si="190"/>
        <v>625</v>
      </c>
      <c r="AB72" s="473">
        <f t="shared" si="190"/>
        <v>650</v>
      </c>
      <c r="AC72" s="450"/>
      <c r="AD72" s="450"/>
      <c r="AE72" s="450"/>
      <c r="AF72" s="450"/>
      <c r="AG72" s="450"/>
      <c r="AH72" s="450"/>
      <c r="AI72" s="450"/>
      <c r="AJ72" s="450"/>
      <c r="AK72" s="450"/>
      <c r="AL72" s="450"/>
      <c r="AM72" s="450"/>
      <c r="AN72" s="450"/>
      <c r="AO72" s="450"/>
      <c r="AP72" s="450"/>
      <c r="AQ72" s="450"/>
      <c r="AR72" s="450"/>
      <c r="AS72" s="450"/>
      <c r="AT72" s="450"/>
      <c r="AU72" s="450"/>
      <c r="AV72" s="450"/>
      <c r="BF72" s="259"/>
      <c r="BG72" s="259"/>
      <c r="BH72" s="259"/>
      <c r="BI72" s="259"/>
      <c r="BJ72" s="259"/>
      <c r="BK72" s="259"/>
      <c r="BL72" s="259"/>
      <c r="BM72" s="259"/>
    </row>
    <row r="73" spans="1:65" outlineLevel="1">
      <c r="B73" s="563" t="s">
        <v>338</v>
      </c>
      <c r="C73" s="563"/>
      <c r="D73" s="563"/>
      <c r="E73" s="563"/>
      <c r="F73" s="563"/>
      <c r="G73" s="563"/>
      <c r="H73" s="563"/>
      <c r="I73" s="563"/>
      <c r="J73" s="563"/>
      <c r="K73" s="563"/>
      <c r="L73" s="587"/>
      <c r="M73" s="450">
        <v>395</v>
      </c>
      <c r="N73" s="450">
        <v>375</v>
      </c>
      <c r="O73" s="450">
        <v>455</v>
      </c>
      <c r="P73" s="450">
        <v>410</v>
      </c>
      <c r="Q73" s="450">
        <v>450</v>
      </c>
      <c r="R73" s="450">
        <v>450</v>
      </c>
      <c r="S73" s="450">
        <v>450</v>
      </c>
      <c r="T73" s="450">
        <v>450</v>
      </c>
      <c r="U73" s="450">
        <v>520</v>
      </c>
      <c r="V73" s="450">
        <v>560</v>
      </c>
      <c r="W73" s="450">
        <v>670</v>
      </c>
      <c r="X73" s="450">
        <v>600</v>
      </c>
      <c r="Y73" s="473">
        <v>720</v>
      </c>
      <c r="Z73" s="473">
        <v>720</v>
      </c>
      <c r="AA73" s="473">
        <v>720</v>
      </c>
      <c r="AB73" s="450">
        <v>820</v>
      </c>
      <c r="AC73" s="450"/>
      <c r="AD73" s="450"/>
      <c r="AE73" s="450"/>
      <c r="AF73" s="450"/>
      <c r="AG73" s="450"/>
      <c r="AH73" s="450"/>
      <c r="AI73" s="450"/>
      <c r="AJ73" s="450"/>
      <c r="AK73" s="450"/>
      <c r="AL73" s="450"/>
      <c r="AM73" s="450"/>
      <c r="AN73" s="450"/>
      <c r="AO73" s="450"/>
      <c r="AP73" s="450"/>
      <c r="AQ73" s="450"/>
      <c r="AR73" s="450"/>
      <c r="AS73" s="450"/>
      <c r="AT73" s="450"/>
      <c r="AU73" s="450"/>
      <c r="AV73" s="450"/>
      <c r="BH73" s="260"/>
      <c r="BI73" s="260"/>
      <c r="BJ73" s="260"/>
      <c r="BK73" s="260"/>
      <c r="BL73" s="260"/>
      <c r="BM73" s="260"/>
    </row>
    <row r="74" spans="1:65" outlineLevel="1">
      <c r="B74" s="563" t="s">
        <v>339</v>
      </c>
      <c r="C74" s="563"/>
      <c r="D74" s="563"/>
      <c r="E74" s="563"/>
      <c r="F74" s="563"/>
      <c r="G74" s="563"/>
      <c r="H74" s="563"/>
      <c r="I74" s="563"/>
      <c r="J74" s="563"/>
      <c r="K74" s="563"/>
      <c r="L74" s="587"/>
      <c r="M74" s="450">
        <v>295</v>
      </c>
      <c r="N74" s="450">
        <v>310</v>
      </c>
      <c r="O74" s="450">
        <v>145</v>
      </c>
      <c r="P74" s="450">
        <v>265</v>
      </c>
      <c r="Q74" s="450">
        <v>310</v>
      </c>
      <c r="R74" s="450">
        <v>310</v>
      </c>
      <c r="S74" s="450">
        <v>310</v>
      </c>
      <c r="T74" s="450">
        <v>310</v>
      </c>
      <c r="U74" s="450">
        <v>320</v>
      </c>
      <c r="V74" s="450">
        <v>370</v>
      </c>
      <c r="W74" s="450">
        <v>350</v>
      </c>
      <c r="X74" s="450">
        <v>400</v>
      </c>
      <c r="Y74" s="473">
        <v>490</v>
      </c>
      <c r="Z74" s="473">
        <v>460</v>
      </c>
      <c r="AA74" s="473">
        <v>530</v>
      </c>
      <c r="AB74" s="450">
        <v>480</v>
      </c>
      <c r="AC74" s="450"/>
      <c r="AD74" s="450"/>
      <c r="AE74" s="450"/>
      <c r="AF74" s="450"/>
      <c r="AG74" s="450"/>
      <c r="AH74" s="450"/>
      <c r="AI74" s="450"/>
      <c r="AJ74" s="450"/>
      <c r="AK74" s="450"/>
      <c r="AL74" s="450"/>
      <c r="AM74" s="450"/>
      <c r="AN74" s="450"/>
      <c r="AO74" s="450"/>
      <c r="AP74" s="450"/>
      <c r="AQ74" s="450"/>
      <c r="AR74" s="450"/>
      <c r="AS74" s="450"/>
      <c r="AT74" s="450"/>
      <c r="AU74" s="450"/>
      <c r="AV74" s="450"/>
    </row>
    <row r="75" spans="1:65" outlineLevel="1">
      <c r="B75" s="450" t="s">
        <v>340</v>
      </c>
      <c r="C75" s="450"/>
      <c r="D75" s="450"/>
      <c r="E75" s="450"/>
      <c r="F75" s="450"/>
      <c r="G75" s="450"/>
      <c r="H75" s="450"/>
      <c r="I75" s="450"/>
      <c r="J75" s="450"/>
      <c r="K75" s="450"/>
      <c r="M75" s="473">
        <f t="shared" ref="M75:AB75" si="191">AVERAGE(M76:M77)</f>
        <v>172.5</v>
      </c>
      <c r="N75" s="473">
        <f t="shared" si="191"/>
        <v>172.5</v>
      </c>
      <c r="O75" s="473">
        <f t="shared" si="191"/>
        <v>175</v>
      </c>
      <c r="P75" s="473">
        <f t="shared" si="191"/>
        <v>197.5</v>
      </c>
      <c r="Q75" s="473">
        <f t="shared" si="191"/>
        <v>207.5</v>
      </c>
      <c r="R75" s="473">
        <f t="shared" si="191"/>
        <v>217.5</v>
      </c>
      <c r="S75" s="473">
        <f t="shared" si="191"/>
        <v>227.5</v>
      </c>
      <c r="T75" s="473">
        <f t="shared" si="191"/>
        <v>232.5</v>
      </c>
      <c r="U75" s="473">
        <f t="shared" si="191"/>
        <v>235</v>
      </c>
      <c r="V75" s="473">
        <f t="shared" si="191"/>
        <v>270</v>
      </c>
      <c r="W75" s="473">
        <f t="shared" si="191"/>
        <v>305</v>
      </c>
      <c r="X75" s="473">
        <f t="shared" si="191"/>
        <v>355</v>
      </c>
      <c r="Y75" s="473">
        <f t="shared" si="191"/>
        <v>355</v>
      </c>
      <c r="Z75" s="473">
        <f t="shared" si="191"/>
        <v>375</v>
      </c>
      <c r="AA75" s="473">
        <f t="shared" si="191"/>
        <v>415</v>
      </c>
      <c r="AB75" s="473">
        <f t="shared" si="191"/>
        <v>425</v>
      </c>
      <c r="AC75" s="468"/>
      <c r="AD75" s="468"/>
      <c r="AE75" s="468"/>
      <c r="AF75" s="468"/>
      <c r="AG75" s="468"/>
      <c r="AH75" s="468"/>
      <c r="AI75" s="468"/>
      <c r="AJ75" s="468"/>
      <c r="AK75" s="450"/>
      <c r="AL75" s="450"/>
      <c r="AM75" s="450"/>
      <c r="AN75" s="450"/>
      <c r="AO75" s="450"/>
      <c r="AP75" s="450"/>
      <c r="AQ75" s="450"/>
      <c r="AR75" s="450"/>
      <c r="AS75" s="450"/>
      <c r="AT75" s="450"/>
      <c r="AU75" s="450"/>
      <c r="AV75" s="450"/>
    </row>
    <row r="76" spans="1:65" outlineLevel="1">
      <c r="B76" s="563" t="s">
        <v>338</v>
      </c>
      <c r="C76" s="563"/>
      <c r="D76" s="563"/>
      <c r="E76" s="563"/>
      <c r="F76" s="563"/>
      <c r="G76" s="563"/>
      <c r="H76" s="563"/>
      <c r="I76" s="563"/>
      <c r="J76" s="563"/>
      <c r="K76" s="563"/>
      <c r="L76" s="587"/>
      <c r="M76" s="450">
        <v>245</v>
      </c>
      <c r="N76" s="450">
        <v>265</v>
      </c>
      <c r="O76" s="450">
        <v>270</v>
      </c>
      <c r="P76" s="450">
        <v>310</v>
      </c>
      <c r="Q76" s="450">
        <v>330</v>
      </c>
      <c r="R76" s="450">
        <v>350</v>
      </c>
      <c r="S76" s="450">
        <v>370</v>
      </c>
      <c r="T76" s="450">
        <v>365</v>
      </c>
      <c r="U76" s="473">
        <v>370</v>
      </c>
      <c r="V76" s="473">
        <v>440</v>
      </c>
      <c r="W76" s="473">
        <v>500</v>
      </c>
      <c r="X76" s="473">
        <v>590</v>
      </c>
      <c r="Y76" s="473">
        <v>580</v>
      </c>
      <c r="Z76" s="473">
        <v>600</v>
      </c>
      <c r="AA76" s="473">
        <v>670</v>
      </c>
      <c r="AB76" s="473">
        <v>670</v>
      </c>
      <c r="AC76" s="468"/>
      <c r="AD76" s="468"/>
      <c r="AE76" s="468"/>
      <c r="AF76" s="473"/>
      <c r="AG76" s="473"/>
      <c r="AH76" s="473"/>
      <c r="AI76" s="473"/>
      <c r="AJ76" s="473"/>
      <c r="AK76" s="450"/>
      <c r="AL76" s="450"/>
      <c r="AM76" s="450"/>
      <c r="AN76" s="450"/>
      <c r="AO76" s="450"/>
      <c r="AP76" s="450"/>
      <c r="AQ76" s="450"/>
      <c r="AR76" s="450"/>
      <c r="AS76" s="450"/>
      <c r="AT76" s="450"/>
      <c r="AU76" s="450"/>
      <c r="AV76" s="450"/>
    </row>
    <row r="77" spans="1:65" outlineLevel="1">
      <c r="B77" s="563" t="s">
        <v>339</v>
      </c>
      <c r="C77" s="563"/>
      <c r="D77" s="563"/>
      <c r="E77" s="563"/>
      <c r="F77" s="563"/>
      <c r="G77" s="563"/>
      <c r="H77" s="563"/>
      <c r="I77" s="563"/>
      <c r="J77" s="563"/>
      <c r="K77" s="563"/>
      <c r="L77" s="587"/>
      <c r="M77" s="450">
        <v>100</v>
      </c>
      <c r="N77" s="450">
        <v>80</v>
      </c>
      <c r="O77" s="450">
        <v>80</v>
      </c>
      <c r="P77" s="450">
        <v>85</v>
      </c>
      <c r="Q77" s="450">
        <v>85</v>
      </c>
      <c r="R77" s="450">
        <v>85</v>
      </c>
      <c r="S77" s="450">
        <v>85</v>
      </c>
      <c r="T77" s="450">
        <v>100</v>
      </c>
      <c r="U77" s="473">
        <v>100</v>
      </c>
      <c r="V77" s="473">
        <v>100</v>
      </c>
      <c r="W77" s="473">
        <v>110</v>
      </c>
      <c r="X77" s="473">
        <v>120</v>
      </c>
      <c r="Y77" s="473">
        <v>130</v>
      </c>
      <c r="Z77" s="473">
        <v>150</v>
      </c>
      <c r="AA77" s="473">
        <v>160</v>
      </c>
      <c r="AB77" s="473">
        <v>180</v>
      </c>
      <c r="AC77" s="468"/>
      <c r="AD77" s="468"/>
      <c r="AE77" s="468"/>
      <c r="AF77" s="468"/>
      <c r="AG77" s="468"/>
      <c r="AH77" s="468"/>
      <c r="AI77" s="468"/>
      <c r="AJ77" s="468"/>
      <c r="AK77" s="450"/>
      <c r="AL77" s="450"/>
      <c r="AM77" s="450"/>
      <c r="AN77" s="450"/>
      <c r="AO77" s="450"/>
      <c r="AP77" s="450"/>
      <c r="AQ77" s="450"/>
      <c r="AR77" s="450"/>
      <c r="AS77" s="450"/>
      <c r="AT77" s="450"/>
      <c r="AU77" s="450"/>
      <c r="AV77" s="450"/>
    </row>
    <row r="78" spans="1:65" outlineLevel="1">
      <c r="B78" s="450" t="s">
        <v>341</v>
      </c>
      <c r="C78" s="450"/>
      <c r="D78" s="450"/>
      <c r="E78" s="450"/>
      <c r="F78" s="450"/>
      <c r="G78" s="450"/>
      <c r="H78" s="450"/>
      <c r="I78" s="450"/>
      <c r="J78" s="450"/>
      <c r="K78" s="450"/>
      <c r="M78" s="450">
        <f t="shared" ref="M78:AB78" si="192">AVERAGE(M79:M80)</f>
        <v>160</v>
      </c>
      <c r="N78" s="450">
        <f t="shared" si="192"/>
        <v>170</v>
      </c>
      <c r="O78" s="450">
        <f t="shared" si="192"/>
        <v>175</v>
      </c>
      <c r="P78" s="450">
        <f t="shared" si="192"/>
        <v>190</v>
      </c>
      <c r="Q78" s="450">
        <f t="shared" si="192"/>
        <v>160</v>
      </c>
      <c r="R78" s="450">
        <f t="shared" si="192"/>
        <v>160</v>
      </c>
      <c r="S78" s="450">
        <f t="shared" si="192"/>
        <v>150</v>
      </c>
      <c r="T78" s="450">
        <f t="shared" si="192"/>
        <v>150</v>
      </c>
      <c r="U78" s="450">
        <f t="shared" si="192"/>
        <v>130</v>
      </c>
      <c r="V78" s="450">
        <f t="shared" si="192"/>
        <v>145</v>
      </c>
      <c r="W78" s="450">
        <f t="shared" si="192"/>
        <v>175</v>
      </c>
      <c r="X78" s="450">
        <f t="shared" si="192"/>
        <v>155</v>
      </c>
      <c r="Y78" s="450">
        <f t="shared" si="192"/>
        <v>185</v>
      </c>
      <c r="Z78" s="450">
        <f t="shared" si="192"/>
        <v>185</v>
      </c>
      <c r="AA78" s="450">
        <f t="shared" si="192"/>
        <v>185</v>
      </c>
      <c r="AB78" s="450">
        <f t="shared" si="192"/>
        <v>185</v>
      </c>
      <c r="AC78" s="468"/>
      <c r="AD78" s="468"/>
      <c r="AE78" s="468"/>
      <c r="AF78" s="468"/>
      <c r="AG78" s="468"/>
      <c r="AH78" s="468"/>
      <c r="AI78" s="468"/>
      <c r="AJ78" s="468"/>
      <c r="AK78" s="450"/>
      <c r="AL78" s="450"/>
      <c r="AM78" s="450"/>
      <c r="AN78" s="450"/>
      <c r="AO78" s="450"/>
      <c r="AP78" s="450"/>
      <c r="AQ78" s="450"/>
      <c r="AR78" s="450"/>
      <c r="AS78" s="450"/>
      <c r="AT78" s="450"/>
      <c r="AU78" s="450"/>
      <c r="AV78" s="450"/>
    </row>
    <row r="79" spans="1:65" outlineLevel="1">
      <c r="B79" s="563" t="s">
        <v>338</v>
      </c>
      <c r="C79" s="563"/>
      <c r="D79" s="563"/>
      <c r="E79" s="563"/>
      <c r="F79" s="563"/>
      <c r="G79" s="563"/>
      <c r="H79" s="563"/>
      <c r="I79" s="563"/>
      <c r="J79" s="563"/>
      <c r="K79" s="563"/>
      <c r="L79" s="587"/>
      <c r="M79" s="450">
        <v>165</v>
      </c>
      <c r="N79" s="450">
        <v>175</v>
      </c>
      <c r="O79" s="450">
        <v>180</v>
      </c>
      <c r="P79" s="450">
        <v>195</v>
      </c>
      <c r="Q79" s="450">
        <v>165</v>
      </c>
      <c r="R79" s="450">
        <v>165</v>
      </c>
      <c r="S79" s="450">
        <v>155</v>
      </c>
      <c r="T79" s="450">
        <v>155</v>
      </c>
      <c r="U79" s="473">
        <v>135</v>
      </c>
      <c r="V79" s="473">
        <v>150</v>
      </c>
      <c r="W79" s="473">
        <v>180</v>
      </c>
      <c r="X79" s="473">
        <v>160</v>
      </c>
      <c r="Y79" s="473">
        <v>190</v>
      </c>
      <c r="Z79" s="473">
        <v>190</v>
      </c>
      <c r="AA79" s="450">
        <v>190</v>
      </c>
      <c r="AB79" s="473">
        <v>190</v>
      </c>
      <c r="AC79" s="468"/>
      <c r="AD79" s="468"/>
      <c r="AE79" s="468"/>
      <c r="AF79" s="468"/>
      <c r="AG79" s="468"/>
      <c r="AH79" s="468"/>
      <c r="AI79" s="468"/>
      <c r="AJ79" s="468"/>
      <c r="AK79" s="450"/>
      <c r="AL79" s="450"/>
      <c r="AM79" s="450"/>
      <c r="AN79" s="450"/>
      <c r="AO79" s="450"/>
      <c r="AP79" s="450"/>
      <c r="AQ79" s="450"/>
      <c r="AR79" s="450"/>
      <c r="AS79" s="450"/>
      <c r="AT79" s="450"/>
      <c r="AU79" s="450"/>
      <c r="AV79" s="450"/>
    </row>
    <row r="80" spans="1:65" outlineLevel="1">
      <c r="B80" s="563" t="s">
        <v>339</v>
      </c>
      <c r="C80" s="563"/>
      <c r="D80" s="563"/>
      <c r="E80" s="563"/>
      <c r="F80" s="563"/>
      <c r="G80" s="563"/>
      <c r="H80" s="563"/>
      <c r="I80" s="563"/>
      <c r="J80" s="563"/>
      <c r="K80" s="563"/>
      <c r="L80" s="587"/>
      <c r="M80" s="450">
        <v>155</v>
      </c>
      <c r="N80" s="450">
        <v>165</v>
      </c>
      <c r="O80" s="450">
        <v>170</v>
      </c>
      <c r="P80" s="450">
        <v>185</v>
      </c>
      <c r="Q80" s="450">
        <v>155</v>
      </c>
      <c r="R80" s="450">
        <v>155</v>
      </c>
      <c r="S80" s="450">
        <v>145</v>
      </c>
      <c r="T80" s="450">
        <v>145</v>
      </c>
      <c r="U80" s="473">
        <v>125</v>
      </c>
      <c r="V80" s="473">
        <v>140</v>
      </c>
      <c r="W80" s="473">
        <v>170</v>
      </c>
      <c r="X80" s="473">
        <v>150</v>
      </c>
      <c r="Y80" s="473">
        <v>180</v>
      </c>
      <c r="Z80" s="473">
        <v>180</v>
      </c>
      <c r="AA80" s="473">
        <v>180</v>
      </c>
      <c r="AB80" s="473">
        <v>180</v>
      </c>
      <c r="AC80" s="468"/>
      <c r="AD80" s="468"/>
      <c r="AE80" s="468"/>
      <c r="AF80" s="468"/>
      <c r="AG80" s="468"/>
      <c r="AH80" s="468"/>
      <c r="AI80" s="468"/>
      <c r="AJ80" s="468"/>
      <c r="AK80" s="450"/>
      <c r="AL80" s="450"/>
      <c r="AM80" s="450"/>
      <c r="AN80" s="450"/>
      <c r="AO80" s="450"/>
      <c r="AP80" s="450"/>
      <c r="AQ80" s="450"/>
      <c r="AR80" s="450"/>
      <c r="AS80" s="450"/>
      <c r="AT80" s="450"/>
      <c r="AU80" s="450"/>
      <c r="AV80" s="450"/>
    </row>
    <row r="81" spans="1:66" outlineLevel="1">
      <c r="B81" s="450"/>
      <c r="C81" s="450"/>
      <c r="D81" s="450"/>
      <c r="E81" s="450"/>
      <c r="F81" s="450"/>
      <c r="G81" s="450"/>
      <c r="H81" s="450"/>
      <c r="I81" s="450"/>
      <c r="J81" s="450"/>
      <c r="K81" s="450"/>
      <c r="M81" s="450"/>
      <c r="N81" s="450"/>
      <c r="O81" s="450"/>
      <c r="P81" s="450"/>
      <c r="Q81" s="450"/>
      <c r="R81" s="450"/>
      <c r="S81" s="450"/>
      <c r="T81" s="450"/>
      <c r="U81" s="450"/>
      <c r="V81" s="450"/>
      <c r="W81" s="450"/>
      <c r="X81" s="450"/>
      <c r="Y81" s="450"/>
      <c r="Z81" s="450"/>
      <c r="AA81" s="450"/>
      <c r="AB81" s="468"/>
      <c r="AC81" s="468"/>
      <c r="AD81" s="468"/>
      <c r="AE81" s="468"/>
      <c r="AF81" s="468"/>
      <c r="AG81" s="468"/>
      <c r="AH81" s="468"/>
      <c r="AI81" s="468"/>
      <c r="AJ81" s="468"/>
      <c r="AK81" s="450"/>
      <c r="AL81" s="450"/>
      <c r="AM81" s="450"/>
      <c r="AN81" s="450"/>
      <c r="AO81" s="450"/>
      <c r="AP81" s="450"/>
      <c r="AQ81" s="450"/>
      <c r="AR81" s="450"/>
      <c r="AS81" s="450"/>
      <c r="AT81" s="450"/>
      <c r="AU81" s="450"/>
      <c r="AV81" s="450"/>
    </row>
    <row r="82" spans="1:66" s="258" customFormat="1">
      <c r="A82" s="460"/>
      <c r="B82" s="564" t="s">
        <v>322</v>
      </c>
      <c r="C82" s="564"/>
      <c r="D82" s="564"/>
      <c r="E82" s="588">
        <f>SUM(U82:X82)</f>
        <v>360.8300000000001</v>
      </c>
      <c r="F82" s="588">
        <f>SUM(Y82:AB82)</f>
        <v>482.46</v>
      </c>
      <c r="G82" s="588">
        <f ca="1">SUM(AC82:AF82)</f>
        <v>620.98878923896336</v>
      </c>
      <c r="H82" s="588">
        <f ca="1">SUM(AG82:AJ82)</f>
        <v>739.30439978416223</v>
      </c>
      <c r="I82" s="588">
        <f ca="1">SUM(AK82:AN82)</f>
        <v>894.43797371706694</v>
      </c>
      <c r="J82" s="588">
        <f ca="1">SUM(AO82:AR82)</f>
        <v>1071.6030324967869</v>
      </c>
      <c r="K82" s="588">
        <f ca="1">SUM(AS82:AV82)</f>
        <v>1252.5248918052519</v>
      </c>
      <c r="L82" s="586"/>
      <c r="M82" s="460"/>
      <c r="N82" s="460"/>
      <c r="O82" s="460"/>
      <c r="P82" s="460"/>
      <c r="Q82" s="460"/>
      <c r="R82" s="460"/>
      <c r="S82" s="460"/>
      <c r="T82" s="464"/>
      <c r="U82" s="464">
        <f t="shared" ref="U82:AA82" si="193">U37+U38-U40-U66</f>
        <v>81.080000000000041</v>
      </c>
      <c r="V82" s="464">
        <f t="shared" si="193"/>
        <v>84.04000000000002</v>
      </c>
      <c r="W82" s="464">
        <f t="shared" si="193"/>
        <v>93.240000000000009</v>
      </c>
      <c r="X82" s="464">
        <f t="shared" si="193"/>
        <v>102.47000000000003</v>
      </c>
      <c r="Y82" s="464">
        <f t="shared" si="193"/>
        <v>110.76999999999998</v>
      </c>
      <c r="Z82" s="464">
        <f t="shared" si="193"/>
        <v>115.69</v>
      </c>
      <c r="AA82" s="464">
        <f t="shared" si="193"/>
        <v>121.49000000000001</v>
      </c>
      <c r="AB82" s="464">
        <f>AB34-AB66-AB40</f>
        <v>134.51</v>
      </c>
      <c r="AC82" s="464">
        <f t="shared" ref="AC82:AR82" ca="1" si="194">AC84+AC85+AC86+AC87+AC88</f>
        <v>141.87928403710865</v>
      </c>
      <c r="AD82" s="464">
        <f t="shared" ca="1" si="194"/>
        <v>152.15990907015791</v>
      </c>
      <c r="AE82" s="464">
        <f t="shared" ca="1" si="194"/>
        <v>163.16724493538891</v>
      </c>
      <c r="AF82" s="464">
        <f t="shared" ca="1" si="194"/>
        <v>163.7823511963079</v>
      </c>
      <c r="AG82" s="464">
        <f t="shared" ca="1" si="194"/>
        <v>167.11589207806452</v>
      </c>
      <c r="AH82" s="464">
        <f t="shared" ca="1" si="194"/>
        <v>176.76885541117619</v>
      </c>
      <c r="AI82" s="464">
        <f t="shared" ca="1" si="194"/>
        <v>193.00540858083286</v>
      </c>
      <c r="AJ82" s="464">
        <f t="shared" ca="1" si="194"/>
        <v>202.41424371408871</v>
      </c>
      <c r="AK82" s="464">
        <f t="shared" ca="1" si="194"/>
        <v>203.81313334890532</v>
      </c>
      <c r="AL82" s="464">
        <f t="shared" ca="1" si="194"/>
        <v>212.68721994247466</v>
      </c>
      <c r="AM82" s="464">
        <f t="shared" ca="1" si="194"/>
        <v>232.75478466294015</v>
      </c>
      <c r="AN82" s="464">
        <f t="shared" ca="1" si="194"/>
        <v>245.18283576274678</v>
      </c>
      <c r="AO82" s="464">
        <f t="shared" ca="1" si="194"/>
        <v>245.46331652949121</v>
      </c>
      <c r="AP82" s="464">
        <f t="shared" ca="1" si="194"/>
        <v>254.46217394501002</v>
      </c>
      <c r="AQ82" s="464">
        <f t="shared" ca="1" si="194"/>
        <v>277.85328808415318</v>
      </c>
      <c r="AR82" s="464">
        <f t="shared" ca="1" si="194"/>
        <v>293.82425393813241</v>
      </c>
      <c r="AS82" s="464">
        <f t="shared" ref="AS82:AV82" ca="1" si="195">AS84+AS85+AS86+AS87+AS88</f>
        <v>288.15987460878381</v>
      </c>
      <c r="AT82" s="464">
        <f t="shared" ca="1" si="195"/>
        <v>296.57724168181477</v>
      </c>
      <c r="AU82" s="464">
        <f t="shared" ca="1" si="195"/>
        <v>322.9686888146511</v>
      </c>
      <c r="AV82" s="464">
        <f t="shared" ca="1" si="195"/>
        <v>344.81908670000217</v>
      </c>
      <c r="AW82" s="460"/>
    </row>
    <row r="83" spans="1:66">
      <c r="B83" s="565" t="s">
        <v>1047</v>
      </c>
      <c r="C83" s="565"/>
      <c r="D83" s="565"/>
      <c r="E83" s="565"/>
      <c r="F83" s="589">
        <f>F82/E82-1</f>
        <v>0.33708394534822461</v>
      </c>
      <c r="G83" s="589">
        <f t="shared" ref="G83" ca="1" si="196">G82/F82-1</f>
        <v>0.28713010247266801</v>
      </c>
      <c r="H83" s="589">
        <f t="shared" ref="H83" ca="1" si="197">H82/G82-1</f>
        <v>0.19052777215221139</v>
      </c>
      <c r="I83" s="589">
        <f t="shared" ref="I83" ca="1" si="198">I82/H82-1</f>
        <v>0.20983721181450488</v>
      </c>
      <c r="J83" s="589">
        <f t="shared" ref="J83:K83" ca="1" si="199">J82/I82-1</f>
        <v>0.19807416946248946</v>
      </c>
      <c r="K83" s="589">
        <f t="shared" ca="1" si="199"/>
        <v>0.16883291090258035</v>
      </c>
      <c r="L83" s="591"/>
      <c r="M83" s="481"/>
      <c r="N83" s="481"/>
      <c r="O83" s="481"/>
      <c r="P83" s="481"/>
      <c r="Q83" s="481"/>
      <c r="R83" s="481"/>
      <c r="S83" s="481"/>
      <c r="T83" s="481"/>
      <c r="U83" s="481"/>
      <c r="V83" s="481"/>
      <c r="W83" s="481"/>
      <c r="X83" s="481"/>
      <c r="Y83" s="483">
        <f t="shared" ref="Y83:AR83" si="200">Y82/U82-1</f>
        <v>0.36618154908732015</v>
      </c>
      <c r="Z83" s="483">
        <f t="shared" si="200"/>
        <v>0.37660637791527818</v>
      </c>
      <c r="AA83" s="483">
        <f t="shared" si="200"/>
        <v>0.30298155298155294</v>
      </c>
      <c r="AB83" s="483">
        <f t="shared" si="200"/>
        <v>0.31267688103835223</v>
      </c>
      <c r="AC83" s="483">
        <f t="shared" ca="1" si="200"/>
        <v>0.28084575279505897</v>
      </c>
      <c r="AD83" s="483">
        <f t="shared" ca="1" si="200"/>
        <v>0.31523821479953251</v>
      </c>
      <c r="AE83" s="483">
        <f t="shared" ca="1" si="200"/>
        <v>0.34305082669675602</v>
      </c>
      <c r="AF83" s="483">
        <f t="shared" ca="1" si="200"/>
        <v>0.21762211877412763</v>
      </c>
      <c r="AG83" s="483">
        <f t="shared" ca="1" si="200"/>
        <v>0.17787380456723478</v>
      </c>
      <c r="AH83" s="483">
        <f t="shared" ca="1" si="200"/>
        <v>0.16173081655609822</v>
      </c>
      <c r="AI83" s="483">
        <f t="shared" ca="1" si="200"/>
        <v>0.18286858773192671</v>
      </c>
      <c r="AJ83" s="483">
        <f t="shared" ca="1" si="200"/>
        <v>0.23587335409220622</v>
      </c>
      <c r="AK83" s="483">
        <f t="shared" ca="1" si="200"/>
        <v>0.21959157094226867</v>
      </c>
      <c r="AL83" s="483">
        <f t="shared" ca="1" si="200"/>
        <v>0.20319396450098592</v>
      </c>
      <c r="AM83" s="483">
        <f t="shared" ca="1" si="200"/>
        <v>0.20594954501215335</v>
      </c>
      <c r="AN83" s="483">
        <f t="shared" ca="1" si="200"/>
        <v>0.21129240345886413</v>
      </c>
      <c r="AO83" s="483">
        <f t="shared" ca="1" si="200"/>
        <v>0.20435475622312049</v>
      </c>
      <c r="AP83" s="483">
        <f t="shared" ca="1" si="200"/>
        <v>0.19641497036744471</v>
      </c>
      <c r="AQ83" s="483">
        <f t="shared" ca="1" si="200"/>
        <v>0.19375972651441575</v>
      </c>
      <c r="AR83" s="483">
        <f t="shared" ca="1" si="200"/>
        <v>0.19838834975566533</v>
      </c>
      <c r="AS83" s="483">
        <f t="shared" ref="AS83" ca="1" si="201">AS82/AO82-1</f>
        <v>0.17394272465214899</v>
      </c>
      <c r="AT83" s="483">
        <f t="shared" ref="AT83" ca="1" si="202">AT82/AP82-1</f>
        <v>0.16550620111382819</v>
      </c>
      <c r="AU83" s="483">
        <f t="shared" ref="AU83" ca="1" si="203">AU82/AQ82-1</f>
        <v>0.16237130408488754</v>
      </c>
      <c r="AV83" s="483">
        <f t="shared" ref="AV83" ca="1" si="204">AV82/AR82-1</f>
        <v>0.17355555941480327</v>
      </c>
    </row>
    <row r="84" spans="1:66">
      <c r="A84" s="610"/>
      <c r="B84" s="563" t="s">
        <v>342</v>
      </c>
      <c r="C84" s="563"/>
      <c r="D84" s="607"/>
      <c r="E84" s="607">
        <f>SUM(U84:X84)</f>
        <v>109.81</v>
      </c>
      <c r="F84" s="607">
        <f>SUM(Y84:AB84)</f>
        <v>189.84637336708425</v>
      </c>
      <c r="G84" s="607">
        <f>SUM(AC84:AF84)</f>
        <v>274.33774340044516</v>
      </c>
      <c r="H84" s="607">
        <f>SUM(AG84:AJ84)</f>
        <v>331.37194765004699</v>
      </c>
      <c r="I84" s="607">
        <f>SUM(AK84:AN84)</f>
        <v>420.06879722013758</v>
      </c>
      <c r="J84" s="607">
        <f>SUM(AO84:AR84)</f>
        <v>537.40460520570559</v>
      </c>
      <c r="K84" s="607">
        <f t="shared" ref="K84:K88" si="205">SUM(AS84:AV84)</f>
        <v>666.38171045507488</v>
      </c>
      <c r="L84" s="587"/>
      <c r="M84" s="450"/>
      <c r="N84" s="450"/>
      <c r="O84" s="450"/>
      <c r="P84" s="450"/>
      <c r="Q84" s="450"/>
      <c r="R84" s="450"/>
      <c r="S84" s="468">
        <f>音乐!B37</f>
        <v>14.75</v>
      </c>
      <c r="T84" s="468">
        <f>音乐!C37</f>
        <v>20.009999999999998</v>
      </c>
      <c r="U84" s="468">
        <f>音乐!D37</f>
        <v>21.05</v>
      </c>
      <c r="V84" s="468">
        <f>音乐!E37</f>
        <v>23.8</v>
      </c>
      <c r="W84" s="468">
        <f>音乐!F37</f>
        <v>29.1</v>
      </c>
      <c r="X84" s="468">
        <f>音乐!G37</f>
        <v>35.86</v>
      </c>
      <c r="Y84" s="468">
        <f>音乐!H37</f>
        <v>41.16</v>
      </c>
      <c r="Z84" s="468">
        <f>音乐!I37</f>
        <v>45.03</v>
      </c>
      <c r="AA84" s="468">
        <f>音乐!J37</f>
        <v>49.686373367084251</v>
      </c>
      <c r="AB84" s="468">
        <f>音乐!K37</f>
        <v>53.97</v>
      </c>
      <c r="AC84" s="468">
        <f>音乐!L37</f>
        <v>63.41916878211309</v>
      </c>
      <c r="AD84" s="468">
        <f>音乐!M37</f>
        <v>66.924624949107255</v>
      </c>
      <c r="AE84" s="468">
        <f>音乐!N37</f>
        <v>71.726153683210384</v>
      </c>
      <c r="AF84" s="468">
        <f>音乐!O37</f>
        <v>72.267795986014434</v>
      </c>
      <c r="AG84" s="468">
        <f>音乐!P37</f>
        <v>74.781223570338483</v>
      </c>
      <c r="AH84" s="468">
        <f>音乐!Q37</f>
        <v>76.298847430156655</v>
      </c>
      <c r="AI84" s="468">
        <f>音乐!R37</f>
        <v>85.968319734194523</v>
      </c>
      <c r="AJ84" s="468">
        <f>音乐!S37</f>
        <v>94.323556915357329</v>
      </c>
      <c r="AK84" s="468">
        <f>音乐!T37</f>
        <v>94.983853391505932</v>
      </c>
      <c r="AL84" s="468">
        <f>音乐!U37</f>
        <v>95.908884470658393</v>
      </c>
      <c r="AM84" s="468">
        <f>音乐!V37</f>
        <v>108.89051424787267</v>
      </c>
      <c r="AN84" s="468">
        <f>音乐!W37</f>
        <v>120.2855451101006</v>
      </c>
      <c r="AO84" s="468">
        <f>音乐!X37</f>
        <v>120.72273062822387</v>
      </c>
      <c r="AP84" s="468">
        <f>音乐!Y37</f>
        <v>122.43698084719682</v>
      </c>
      <c r="AQ84" s="468">
        <f>音乐!Z37</f>
        <v>139.56234651380424</v>
      </c>
      <c r="AR84" s="468">
        <f>音乐!AA37</f>
        <v>154.6825472164806</v>
      </c>
      <c r="AS84" s="468">
        <f>音乐!AB37</f>
        <v>149.69618597899759</v>
      </c>
      <c r="AT84" s="468">
        <f>音乐!AC37</f>
        <v>151.82185625052406</v>
      </c>
      <c r="AU84" s="468">
        <f>音乐!AD37</f>
        <v>173.05730967711727</v>
      </c>
      <c r="AV84" s="468">
        <f>音乐!AE37</f>
        <v>191.80635854843595</v>
      </c>
      <c r="BE84" s="264"/>
      <c r="BF84" s="259"/>
      <c r="BG84" s="259"/>
      <c r="BH84" s="259"/>
      <c r="BI84" s="259"/>
      <c r="BJ84" s="259"/>
      <c r="BK84" s="259"/>
      <c r="BL84" s="259"/>
      <c r="BM84" s="259"/>
      <c r="BN84" s="260"/>
    </row>
    <row r="85" spans="1:66">
      <c r="B85" s="563" t="s">
        <v>343</v>
      </c>
      <c r="C85" s="563"/>
      <c r="D85" s="607">
        <f>SUM(Q85:T85)</f>
        <v>19.761445999999999</v>
      </c>
      <c r="E85" s="607">
        <f>SUM(U85:X85)</f>
        <v>34.156490000000005</v>
      </c>
      <c r="F85" s="607">
        <f>SUM(Y85:AB85)</f>
        <v>38.320438000000003</v>
      </c>
      <c r="G85" s="607">
        <f>SUM(AC85:AF85)</f>
        <v>42.649600000000007</v>
      </c>
      <c r="H85" s="607">
        <f>SUM(AG85:AJ85)</f>
        <v>48.108748800000015</v>
      </c>
      <c r="I85" s="607">
        <f>SUM(AK85:AN85)</f>
        <v>53.160167424000008</v>
      </c>
      <c r="J85" s="607">
        <f>SUM(AO85:AR85)</f>
        <v>57.678781655040012</v>
      </c>
      <c r="K85" s="607">
        <f t="shared" si="205"/>
        <v>62.004690279168017</v>
      </c>
      <c r="L85" s="587"/>
      <c r="M85" s="450"/>
      <c r="N85" s="450"/>
      <c r="O85" s="450"/>
      <c r="P85" s="450"/>
      <c r="Q85" s="468">
        <f>Q34*0.0143</f>
        <v>3.569852</v>
      </c>
      <c r="R85" s="468">
        <f>R34*0.0143</f>
        <v>3.6722400000000004</v>
      </c>
      <c r="S85" s="468">
        <f>S34*0.0219</f>
        <v>6.126525</v>
      </c>
      <c r="T85" s="468">
        <f>T34*0.0219</f>
        <v>6.392828999999999</v>
      </c>
      <c r="U85" s="468">
        <f>U82*0.099</f>
        <v>8.0269200000000041</v>
      </c>
      <c r="V85" s="468">
        <f>V82*0.099</f>
        <v>8.3199600000000018</v>
      </c>
      <c r="W85" s="468">
        <f>W82*0.091</f>
        <v>8.4848400000000002</v>
      </c>
      <c r="X85" s="468">
        <f>X82*0.091</f>
        <v>9.3247700000000027</v>
      </c>
      <c r="Y85" s="468">
        <f>0.0817*Y82</f>
        <v>9.0499089999999978</v>
      </c>
      <c r="Z85" s="468">
        <f>0.0817*Z82</f>
        <v>9.4518729999999991</v>
      </c>
      <c r="AA85" s="468">
        <f>阅文!C16</f>
        <v>9.6676370731707326</v>
      </c>
      <c r="AB85" s="468">
        <f>阅文!D16</f>
        <v>10.151018926829272</v>
      </c>
      <c r="AC85" s="468">
        <f>阅文!E16</f>
        <v>10.025835921568627</v>
      </c>
      <c r="AD85" s="468">
        <f>阅文!F16</f>
        <v>10.426869358431372</v>
      </c>
      <c r="AE85" s="468">
        <f>阅文!G16</f>
        <v>10.934430896551728</v>
      </c>
      <c r="AF85" s="468">
        <f>阅文!H16</f>
        <v>11.262463823448281</v>
      </c>
      <c r="AG85" s="468">
        <f>阅文!I16</f>
        <v>11.309142919529412</v>
      </c>
      <c r="AH85" s="468">
        <f>阅文!J16</f>
        <v>11.761508636310589</v>
      </c>
      <c r="AI85" s="468">
        <f>阅文!K16</f>
        <v>12.334038051310351</v>
      </c>
      <c r="AJ85" s="468">
        <f>阅文!L16</f>
        <v>12.704059192849662</v>
      </c>
      <c r="AK85" s="468">
        <f>阅文!M16</f>
        <v>12.49660292608</v>
      </c>
      <c r="AL85" s="468">
        <f>阅文!N16</f>
        <v>12.9964670431232</v>
      </c>
      <c r="AM85" s="468">
        <f>阅文!O16</f>
        <v>13.629112046697937</v>
      </c>
      <c r="AN85" s="468">
        <f>阅文!P16</f>
        <v>14.037985408098876</v>
      </c>
      <c r="AO85" s="468">
        <f>阅文!Q16</f>
        <v>13.558814174796799</v>
      </c>
      <c r="AP85" s="468">
        <f>阅文!R16</f>
        <v>14.101166741788672</v>
      </c>
      <c r="AQ85" s="468">
        <f>阅文!S16</f>
        <v>14.787586570667262</v>
      </c>
      <c r="AR85" s="468">
        <f>阅文!T16</f>
        <v>15.231214167787281</v>
      </c>
      <c r="AS85" s="468">
        <f>阅文!U16</f>
        <v>14.575725237906559</v>
      </c>
      <c r="AT85" s="468">
        <f>阅文!V16</f>
        <v>15.158754247422822</v>
      </c>
      <c r="AU85" s="468">
        <f>阅文!W16</f>
        <v>15.896655563467306</v>
      </c>
      <c r="AV85" s="468">
        <f>阅文!X16</f>
        <v>16.373555230371327</v>
      </c>
      <c r="BE85" s="264"/>
      <c r="BF85" s="259"/>
      <c r="BG85" s="259"/>
      <c r="BH85" s="259"/>
      <c r="BI85" s="259"/>
      <c r="BJ85" s="259"/>
      <c r="BK85" s="259"/>
      <c r="BL85" s="259"/>
      <c r="BM85" s="259"/>
      <c r="BN85" s="260"/>
    </row>
    <row r="86" spans="1:66">
      <c r="B86" s="563" t="s">
        <v>344</v>
      </c>
      <c r="C86" s="563"/>
      <c r="D86" s="607"/>
      <c r="E86" s="607">
        <f>SUM(U86:X86)</f>
        <v>54.112452488687786</v>
      </c>
      <c r="F86" s="607">
        <f>SUM(Y86:AB86)</f>
        <v>122.63437500000001</v>
      </c>
      <c r="G86" s="607">
        <f ca="1">SUM(AC86:AF86)</f>
        <v>183.82986241152508</v>
      </c>
      <c r="H86" s="607">
        <f ca="1">SUM(AG86:AJ86)</f>
        <v>225.70463728895436</v>
      </c>
      <c r="I86" s="607">
        <f ca="1">SUM(AK86:AN86)</f>
        <v>271.87659202067294</v>
      </c>
      <c r="J86" s="607">
        <f ca="1">SUM(AO86:AR86)</f>
        <v>313.29924876262015</v>
      </c>
      <c r="K86" s="607">
        <f t="shared" ca="1" si="205"/>
        <v>348.03968807499234</v>
      </c>
      <c r="L86" s="587"/>
      <c r="M86" s="450"/>
      <c r="N86" s="450"/>
      <c r="O86" s="450"/>
      <c r="P86" s="450"/>
      <c r="Q86" s="450"/>
      <c r="R86" s="450"/>
      <c r="S86" s="450"/>
      <c r="T86" s="468"/>
      <c r="U86" s="468">
        <f t="shared" ref="U86:AQ86" si="206">AVERAGE(T102:U102)*U105*3</f>
        <v>8.5745022624434384</v>
      </c>
      <c r="V86" s="468">
        <f t="shared" si="206"/>
        <v>11.356052036199097</v>
      </c>
      <c r="W86" s="468">
        <f t="shared" si="206"/>
        <v>14.728398190045251</v>
      </c>
      <c r="X86" s="468">
        <f t="shared" si="206"/>
        <v>19.453499999999998</v>
      </c>
      <c r="Y86" s="468">
        <f t="shared" si="206"/>
        <v>24.371250000000003</v>
      </c>
      <c r="Z86" s="468">
        <f t="shared" si="206"/>
        <v>28.718624999999999</v>
      </c>
      <c r="AA86" s="468">
        <f t="shared" si="206"/>
        <v>32.865000000000002</v>
      </c>
      <c r="AB86" s="468">
        <f t="shared" si="206"/>
        <v>36.679499999999997</v>
      </c>
      <c r="AC86" s="468">
        <f t="shared" si="206"/>
        <v>40.555572161518633</v>
      </c>
      <c r="AD86" s="468">
        <f t="shared" si="206"/>
        <v>44.958764198603426</v>
      </c>
      <c r="AE86" s="468">
        <f t="shared" ca="1" si="206"/>
        <v>49.031549227200983</v>
      </c>
      <c r="AF86" s="468">
        <f t="shared" ca="1" si="206"/>
        <v>49.283976824202057</v>
      </c>
      <c r="AG86" s="468">
        <f t="shared" si="206"/>
        <v>50.163770625320176</v>
      </c>
      <c r="AH86" s="468">
        <f t="shared" si="206"/>
        <v>55.349866136155427</v>
      </c>
      <c r="AI86" s="468">
        <f t="shared" ca="1" si="206"/>
        <v>59.6456464103873</v>
      </c>
      <c r="AJ86" s="468">
        <f t="shared" ca="1" si="206"/>
        <v>60.545354117091463</v>
      </c>
      <c r="AK86" s="468">
        <f t="shared" si="206"/>
        <v>61.840822671513166</v>
      </c>
      <c r="AL86" s="468">
        <f t="shared" si="206"/>
        <v>66.678342955912029</v>
      </c>
      <c r="AM86" s="468">
        <f t="shared" ca="1" si="206"/>
        <v>71.252463099396707</v>
      </c>
      <c r="AN86" s="468">
        <f t="shared" ca="1" si="206"/>
        <v>72.104963293851014</v>
      </c>
      <c r="AO86" s="468">
        <f t="shared" si="206"/>
        <v>73.103925500827145</v>
      </c>
      <c r="AP86" s="468">
        <f t="shared" si="206"/>
        <v>77.303755247204151</v>
      </c>
      <c r="AQ86" s="468">
        <f t="shared" ca="1" si="206"/>
        <v>81.09747566095443</v>
      </c>
      <c r="AR86" s="468">
        <f ca="1">AVERAGE(AQ102:AR102)*AR105*3</f>
        <v>81.794092353634412</v>
      </c>
      <c r="AS86" s="468">
        <f t="shared" ref="AS86:AV86" si="207">AVERAGE(AR102:AS102)*AS105*3</f>
        <v>82.689164754572218</v>
      </c>
      <c r="AT86" s="468">
        <f t="shared" si="207"/>
        <v>85.911999482713753</v>
      </c>
      <c r="AU86" s="468">
        <f t="shared" ca="1" si="207"/>
        <v>88.598962768121595</v>
      </c>
      <c r="AV86" s="468">
        <f t="shared" ca="1" si="207"/>
        <v>90.839561069584775</v>
      </c>
      <c r="BE86" s="264"/>
      <c r="BF86" s="259"/>
      <c r="BG86" s="259"/>
      <c r="BH86" s="259"/>
      <c r="BI86" s="259"/>
      <c r="BJ86" s="259"/>
      <c r="BK86" s="259"/>
      <c r="BL86" s="259"/>
      <c r="BM86" s="259"/>
      <c r="BN86" s="260"/>
    </row>
    <row r="87" spans="1:66">
      <c r="B87" s="563" t="s">
        <v>345</v>
      </c>
      <c r="C87" s="563"/>
      <c r="D87" s="607"/>
      <c r="E87" s="607">
        <f>SUM(U87:X87)</f>
        <v>24.343511208309053</v>
      </c>
      <c r="F87" s="607">
        <f ca="1">SUM(Y87:AB87)</f>
        <v>39.963660572171712</v>
      </c>
      <c r="G87" s="607">
        <f ca="1">SUM(AC87:AF87)</f>
        <v>54.045934208993259</v>
      </c>
      <c r="H87" s="607">
        <f ca="1">SUM(AG87:AJ87)</f>
        <v>65.477501501094196</v>
      </c>
      <c r="I87" s="607">
        <f ca="1">SUM(AK87:AN87)</f>
        <v>77.903729735026715</v>
      </c>
      <c r="J87" s="607">
        <f ca="1">SUM(AO87:AR87)</f>
        <v>89.811320137221685</v>
      </c>
      <c r="K87" s="607">
        <f t="shared" ca="1" si="205"/>
        <v>101.21049661316368</v>
      </c>
      <c r="L87" s="587"/>
      <c r="M87" s="450"/>
      <c r="N87" s="450"/>
      <c r="O87" s="450"/>
      <c r="P87" s="450"/>
      <c r="Q87" s="450"/>
      <c r="R87" s="450"/>
      <c r="S87" s="450"/>
      <c r="T87" s="468"/>
      <c r="U87" s="468">
        <f t="shared" ref="U87:AV87" si="208">(U86+U123)/0.85*0.15</f>
        <v>4.2933819398606463</v>
      </c>
      <c r="V87" s="468">
        <f t="shared" si="208"/>
        <v>5.755498949640935</v>
      </c>
      <c r="W87" s="468">
        <f t="shared" si="208"/>
        <v>7.0063363176679108</v>
      </c>
      <c r="X87" s="468">
        <f t="shared" si="208"/>
        <v>7.2882940011395618</v>
      </c>
      <c r="Y87" s="468">
        <f t="shared" si="208"/>
        <v>7.9628622695705573</v>
      </c>
      <c r="Z87" s="468">
        <f t="shared" si="208"/>
        <v>9.7690923932577967</v>
      </c>
      <c r="AA87" s="468">
        <f t="shared" ca="1" si="208"/>
        <v>11.082382379931593</v>
      </c>
      <c r="AB87" s="468">
        <f t="shared" si="208"/>
        <v>11.149323529411765</v>
      </c>
      <c r="AC87" s="468">
        <f t="shared" si="208"/>
        <v>11.470764634998583</v>
      </c>
      <c r="AD87" s="468">
        <f t="shared" si="208"/>
        <v>13.441708027106145</v>
      </c>
      <c r="AE87" s="468">
        <f t="shared" ca="1" si="208"/>
        <v>14.903089166146998</v>
      </c>
      <c r="AF87" s="468">
        <f t="shared" ca="1" si="208"/>
        <v>14.230372380741539</v>
      </c>
      <c r="AG87" s="468">
        <f t="shared" si="208"/>
        <v>13.95663535915585</v>
      </c>
      <c r="AH87" s="468">
        <f t="shared" si="208"/>
        <v>16.284462408795733</v>
      </c>
      <c r="AI87" s="468">
        <f t="shared" ca="1" si="208"/>
        <v>17.812491877185298</v>
      </c>
      <c r="AJ87" s="468">
        <f t="shared" ca="1" si="208"/>
        <v>17.423911855957318</v>
      </c>
      <c r="AK87" s="468">
        <f t="shared" si="208"/>
        <v>16.900319110644975</v>
      </c>
      <c r="AL87" s="468">
        <f t="shared" si="208"/>
        <v>19.336074871128151</v>
      </c>
      <c r="AM87" s="468">
        <f t="shared" ca="1" si="208"/>
        <v>21.037570161303407</v>
      </c>
      <c r="AN87" s="468">
        <f t="shared" ca="1" si="208"/>
        <v>20.629765591950182</v>
      </c>
      <c r="AO87" s="468">
        <f t="shared" si="208"/>
        <v>19.862646985103563</v>
      </c>
      <c r="AP87" s="468">
        <f t="shared" si="208"/>
        <v>22.313995872077832</v>
      </c>
      <c r="AQ87" s="468">
        <f t="shared" ca="1" si="208"/>
        <v>24.008072725801011</v>
      </c>
      <c r="AR87" s="468">
        <f t="shared" ca="1" si="208"/>
        <v>23.626604554239282</v>
      </c>
      <c r="AS87" s="468">
        <f t="shared" si="208"/>
        <v>22.616554013086631</v>
      </c>
      <c r="AT87" s="468">
        <f t="shared" si="208"/>
        <v>25.009475853812194</v>
      </c>
      <c r="AU87" s="468">
        <f t="shared" ca="1" si="208"/>
        <v>26.647229179366274</v>
      </c>
      <c r="AV87" s="468">
        <f t="shared" ca="1" si="208"/>
        <v>26.937237566898592</v>
      </c>
      <c r="BE87" s="264"/>
      <c r="BF87" s="259"/>
      <c r="BG87" s="259"/>
      <c r="BH87" s="259"/>
      <c r="BI87" s="259"/>
      <c r="BJ87" s="259"/>
      <c r="BK87" s="259"/>
      <c r="BL87" s="259"/>
      <c r="BM87" s="259"/>
      <c r="BN87" s="260"/>
    </row>
    <row r="88" spans="1:66">
      <c r="B88" s="563" t="s">
        <v>346</v>
      </c>
      <c r="C88" s="563"/>
      <c r="D88" s="607"/>
      <c r="E88" s="607">
        <f>SUM(U88:X88)</f>
        <v>138.40754630300324</v>
      </c>
      <c r="F88" s="607">
        <f ca="1">SUM(Y88:AB88)</f>
        <v>86.050400194211591</v>
      </c>
      <c r="G88" s="607">
        <f ca="1">SUM(AC88:AF88)</f>
        <v>66.125649217999808</v>
      </c>
      <c r="H88" s="607">
        <f ca="1">SUM(AG88:AJ88)</f>
        <v>68.641564544066739</v>
      </c>
      <c r="I88" s="607">
        <f ca="1">SUM(AK88:AN88)</f>
        <v>71.428687317229688</v>
      </c>
      <c r="J88" s="607">
        <f ca="1">SUM(AO88:AR88)</f>
        <v>73.409076736199495</v>
      </c>
      <c r="K88" s="607">
        <f t="shared" ca="1" si="205"/>
        <v>74.888306382852932</v>
      </c>
      <c r="L88" s="587"/>
      <c r="M88" s="450"/>
      <c r="N88" s="450"/>
      <c r="O88" s="450"/>
      <c r="P88" s="450"/>
      <c r="Q88" s="450"/>
      <c r="R88" s="450"/>
      <c r="S88" s="450"/>
      <c r="T88" s="468"/>
      <c r="U88" s="468">
        <f t="shared" ref="U88:AA88" si="209">U82-SUM(U84:U87)</f>
        <v>39.13519579769595</v>
      </c>
      <c r="V88" s="468">
        <f t="shared" si="209"/>
        <v>34.808489014159981</v>
      </c>
      <c r="W88" s="468">
        <f t="shared" si="209"/>
        <v>33.920425492286846</v>
      </c>
      <c r="X88" s="468">
        <f t="shared" si="209"/>
        <v>30.54343599886046</v>
      </c>
      <c r="Y88" s="468">
        <f t="shared" si="209"/>
        <v>28.225978730429432</v>
      </c>
      <c r="Z88" s="468">
        <f t="shared" si="209"/>
        <v>22.720409606742209</v>
      </c>
      <c r="AA88" s="468">
        <f t="shared" ca="1" si="209"/>
        <v>18.188607179813445</v>
      </c>
      <c r="AB88" s="468">
        <f ca="1">AA88*(1+AB94)</f>
        <v>16.915404677226501</v>
      </c>
      <c r="AC88" s="468">
        <f t="shared" ref="AC88:AQ88" ca="1" si="210">AB88*(1+AC94)</f>
        <v>16.407942536909705</v>
      </c>
      <c r="AD88" s="468">
        <f t="shared" ca="1" si="210"/>
        <v>16.407942536909705</v>
      </c>
      <c r="AE88" s="468">
        <f t="shared" ca="1" si="210"/>
        <v>16.5720219622788</v>
      </c>
      <c r="AF88" s="468">
        <f t="shared" ca="1" si="210"/>
        <v>16.737742181901588</v>
      </c>
      <c r="AG88" s="468">
        <f t="shared" ca="1" si="210"/>
        <v>16.905119603720603</v>
      </c>
      <c r="AH88" s="468">
        <f t="shared" ca="1" si="210"/>
        <v>17.074170799757809</v>
      </c>
      <c r="AI88" s="468">
        <f t="shared" ca="1" si="210"/>
        <v>17.244912507755387</v>
      </c>
      <c r="AJ88" s="468">
        <f t="shared" ca="1" si="210"/>
        <v>17.417361632832943</v>
      </c>
      <c r="AK88" s="468">
        <f t="shared" ca="1" si="210"/>
        <v>17.591535249161272</v>
      </c>
      <c r="AL88" s="468">
        <f t="shared" ca="1" si="210"/>
        <v>17.767450601652886</v>
      </c>
      <c r="AM88" s="468">
        <f t="shared" ca="1" si="210"/>
        <v>17.945125107669416</v>
      </c>
      <c r="AN88" s="468">
        <f t="shared" ca="1" si="210"/>
        <v>18.124576358746111</v>
      </c>
      <c r="AO88" s="468">
        <f t="shared" ca="1" si="210"/>
        <v>18.215199240539839</v>
      </c>
      <c r="AP88" s="468">
        <f t="shared" ca="1" si="210"/>
        <v>18.306275236742536</v>
      </c>
      <c r="AQ88" s="468">
        <f t="shared" ca="1" si="210"/>
        <v>18.397806612926246</v>
      </c>
      <c r="AR88" s="468">
        <f ca="1">AQ88*(1+AR94)</f>
        <v>18.489795645990874</v>
      </c>
      <c r="AS88" s="468">
        <f t="shared" ref="AS88:AV88" ca="1" si="211">AR88*(1+AS94)</f>
        <v>18.582244624220827</v>
      </c>
      <c r="AT88" s="468">
        <f t="shared" ca="1" si="211"/>
        <v>18.67515584734193</v>
      </c>
      <c r="AU88" s="468">
        <f t="shared" ca="1" si="211"/>
        <v>18.768531626578639</v>
      </c>
      <c r="AV88" s="468">
        <f t="shared" ca="1" si="211"/>
        <v>18.862374284711532</v>
      </c>
      <c r="BE88" s="264"/>
      <c r="BF88" s="259"/>
      <c r="BG88" s="259"/>
      <c r="BH88" s="259"/>
      <c r="BI88" s="259"/>
      <c r="BJ88" s="259"/>
      <c r="BK88" s="259"/>
      <c r="BL88" s="259"/>
      <c r="BM88" s="259"/>
      <c r="BN88" s="260"/>
    </row>
    <row r="89" spans="1:66">
      <c r="B89" s="563" t="s">
        <v>1045</v>
      </c>
      <c r="C89" s="563"/>
      <c r="D89" s="563"/>
      <c r="E89" s="563"/>
      <c r="F89" s="563"/>
      <c r="G89" s="563"/>
      <c r="H89" s="563"/>
      <c r="I89" s="563"/>
      <c r="J89" s="563"/>
      <c r="K89" s="563"/>
      <c r="L89" s="587"/>
      <c r="M89" s="450"/>
      <c r="N89" s="450"/>
      <c r="O89" s="450"/>
      <c r="P89" s="450"/>
      <c r="Q89" s="450"/>
      <c r="R89" s="450"/>
      <c r="S89" s="450"/>
      <c r="T89" s="468"/>
      <c r="U89" s="468"/>
      <c r="V89" s="468"/>
      <c r="W89" s="468"/>
      <c r="X89" s="468"/>
      <c r="Y89" s="468"/>
      <c r="Z89" s="468"/>
      <c r="AA89" s="468"/>
      <c r="AB89" s="468"/>
      <c r="AC89" s="468"/>
      <c r="AD89" s="468"/>
      <c r="AE89" s="468"/>
      <c r="AF89" s="468"/>
      <c r="AG89" s="468"/>
      <c r="AH89" s="468"/>
      <c r="AI89" s="468"/>
      <c r="AJ89" s="468"/>
      <c r="AK89" s="468"/>
      <c r="AL89" s="468"/>
      <c r="AM89" s="468"/>
      <c r="AN89" s="468"/>
      <c r="AO89" s="468"/>
      <c r="AP89" s="468"/>
      <c r="AQ89" s="468"/>
      <c r="AR89" s="468"/>
      <c r="AS89" s="468"/>
      <c r="AT89" s="468"/>
      <c r="AU89" s="468"/>
      <c r="AV89" s="468"/>
      <c r="BE89" s="264"/>
      <c r="BF89" s="259"/>
      <c r="BG89" s="259"/>
      <c r="BH89" s="259"/>
      <c r="BI89" s="259"/>
      <c r="BJ89" s="259"/>
      <c r="BK89" s="259"/>
      <c r="BL89" s="259"/>
      <c r="BM89" s="259"/>
      <c r="BN89" s="260"/>
    </row>
    <row r="90" spans="1:66" s="267" customFormat="1">
      <c r="A90" s="465"/>
      <c r="B90" s="570" t="s">
        <v>342</v>
      </c>
      <c r="C90" s="570"/>
      <c r="D90" s="570"/>
      <c r="E90" s="570"/>
      <c r="F90" s="467">
        <f>F84/E84-1</f>
        <v>0.72886233828507652</v>
      </c>
      <c r="G90" s="467">
        <f t="shared" ref="G90:K90" si="212">G84/F84-1</f>
        <v>0.44505127243062792</v>
      </c>
      <c r="H90" s="467">
        <f t="shared" si="212"/>
        <v>0.20789776697386531</v>
      </c>
      <c r="I90" s="467">
        <f t="shared" si="212"/>
        <v>0.26766553475359633</v>
      </c>
      <c r="J90" s="467">
        <f t="shared" si="212"/>
        <v>0.27932521711218183</v>
      </c>
      <c r="K90" s="467">
        <f t="shared" si="212"/>
        <v>0.24</v>
      </c>
      <c r="L90" s="598"/>
      <c r="M90" s="465"/>
      <c r="N90" s="465"/>
      <c r="O90" s="465"/>
      <c r="P90" s="465"/>
      <c r="Q90" s="465"/>
      <c r="R90" s="465"/>
      <c r="S90" s="465"/>
      <c r="T90" s="467">
        <f>T84/S84-1</f>
        <v>0.35661016949152535</v>
      </c>
      <c r="U90" s="467">
        <f t="shared" ref="U90:AQ94" si="213">U84/T84-1</f>
        <v>5.1974012993503349E-2</v>
      </c>
      <c r="V90" s="467">
        <f t="shared" si="213"/>
        <v>0.13064133016627077</v>
      </c>
      <c r="W90" s="467">
        <f t="shared" si="213"/>
        <v>0.2226890756302522</v>
      </c>
      <c r="X90" s="467">
        <f t="shared" si="213"/>
        <v>0.23230240549828163</v>
      </c>
      <c r="Y90" s="467">
        <f t="shared" si="213"/>
        <v>0.14779698828778565</v>
      </c>
      <c r="Z90" s="467">
        <f t="shared" si="213"/>
        <v>9.4023323615160415E-2</v>
      </c>
      <c r="AA90" s="467">
        <f t="shared" si="213"/>
        <v>0.1034060263620753</v>
      </c>
      <c r="AB90" s="467">
        <f t="shared" si="213"/>
        <v>8.6213308451156268E-2</v>
      </c>
      <c r="AC90" s="467">
        <f t="shared" si="213"/>
        <v>0.17508187478438186</v>
      </c>
      <c r="AD90" s="467">
        <f t="shared" si="213"/>
        <v>5.5274394702928609E-2</v>
      </c>
      <c r="AE90" s="467">
        <f t="shared" si="213"/>
        <v>7.1745321512887816E-2</v>
      </c>
      <c r="AF90" s="467">
        <f t="shared" si="213"/>
        <v>7.5515314148351109E-3</v>
      </c>
      <c r="AG90" s="467">
        <f t="shared" si="213"/>
        <v>3.477935849614755E-2</v>
      </c>
      <c r="AH90" s="467">
        <f t="shared" si="213"/>
        <v>2.0294183317162595E-2</v>
      </c>
      <c r="AI90" s="467">
        <f t="shared" si="213"/>
        <v>0.12673156449563971</v>
      </c>
      <c r="AJ90" s="467">
        <f t="shared" si="213"/>
        <v>9.7189722993265004E-2</v>
      </c>
      <c r="AK90" s="467">
        <f t="shared" si="213"/>
        <v>7.000334781067874E-3</v>
      </c>
      <c r="AL90" s="467">
        <f t="shared" si="213"/>
        <v>9.7388245067260293E-3</v>
      </c>
      <c r="AM90" s="467">
        <f t="shared" si="213"/>
        <v>0.1353537771694735</v>
      </c>
      <c r="AN90" s="467">
        <f t="shared" si="213"/>
        <v>0.10464668057576509</v>
      </c>
      <c r="AO90" s="467">
        <f t="shared" si="213"/>
        <v>3.634564051092859E-3</v>
      </c>
      <c r="AP90" s="467">
        <f t="shared" si="213"/>
        <v>1.4199895993507017E-2</v>
      </c>
      <c r="AQ90" s="467">
        <f t="shared" si="213"/>
        <v>0.13987085885415729</v>
      </c>
      <c r="AR90" s="467">
        <f>AR84/AQ84-1</f>
        <v>0.10834011522714548</v>
      </c>
      <c r="AS90" s="467">
        <f t="shared" ref="AS90:AV90" si="214">AS84/AR84-1</f>
        <v>-3.2236094680445859E-2</v>
      </c>
      <c r="AT90" s="467">
        <f t="shared" si="214"/>
        <v>1.4199895993507239E-2</v>
      </c>
      <c r="AU90" s="467">
        <f t="shared" si="214"/>
        <v>0.13987085885415729</v>
      </c>
      <c r="AV90" s="467">
        <f t="shared" si="214"/>
        <v>0.10834011522714548</v>
      </c>
      <c r="AW90" s="465"/>
      <c r="BH90" s="269"/>
      <c r="BI90" s="269"/>
      <c r="BJ90" s="269"/>
      <c r="BK90" s="269"/>
      <c r="BL90" s="269"/>
      <c r="BM90" s="269"/>
    </row>
    <row r="91" spans="1:66" s="267" customFormat="1">
      <c r="A91" s="611"/>
      <c r="B91" s="570" t="s">
        <v>343</v>
      </c>
      <c r="C91" s="570"/>
      <c r="D91" s="570"/>
      <c r="E91" s="467">
        <f t="shared" ref="E91:K91" si="215">E85/D85-1</f>
        <v>0.72844082361179474</v>
      </c>
      <c r="F91" s="467">
        <f t="shared" si="215"/>
        <v>0.12190795951223321</v>
      </c>
      <c r="G91" s="467">
        <f t="shared" si="215"/>
        <v>0.11297266487402902</v>
      </c>
      <c r="H91" s="467">
        <f t="shared" si="215"/>
        <v>0.12800000000000011</v>
      </c>
      <c r="I91" s="467">
        <f t="shared" si="215"/>
        <v>0.10499999999999976</v>
      </c>
      <c r="J91" s="467">
        <f t="shared" si="215"/>
        <v>8.4999999999999964E-2</v>
      </c>
      <c r="K91" s="467">
        <f t="shared" si="215"/>
        <v>7.4999999999999956E-2</v>
      </c>
      <c r="L91" s="598"/>
      <c r="M91" s="465"/>
      <c r="N91" s="465"/>
      <c r="O91" s="465"/>
      <c r="P91" s="465"/>
      <c r="Q91" s="465"/>
      <c r="R91" s="467">
        <f t="shared" ref="R91:AJ93" si="216">R85/Q85-1</f>
        <v>2.8681301073546051E-2</v>
      </c>
      <c r="S91" s="467">
        <f t="shared" si="216"/>
        <v>0.66833458597477269</v>
      </c>
      <c r="T91" s="467">
        <f t="shared" si="216"/>
        <v>4.3467381590705845E-2</v>
      </c>
      <c r="U91" s="467">
        <f t="shared" si="216"/>
        <v>0.25561312526895463</v>
      </c>
      <c r="V91" s="467">
        <f t="shared" si="216"/>
        <v>3.6507153428712025E-2</v>
      </c>
      <c r="W91" s="467">
        <f t="shared" si="216"/>
        <v>1.9817402968283382E-2</v>
      </c>
      <c r="X91" s="467">
        <f t="shared" si="216"/>
        <v>9.8991848991849318E-2</v>
      </c>
      <c r="Y91" s="467">
        <f t="shared" si="216"/>
        <v>-2.947643748853912E-2</v>
      </c>
      <c r="Z91" s="467">
        <f t="shared" si="216"/>
        <v>4.4416358219734775E-2</v>
      </c>
      <c r="AA91" s="467">
        <f t="shared" si="216"/>
        <v>2.2827652590204472E-2</v>
      </c>
      <c r="AB91" s="467">
        <f t="shared" si="216"/>
        <v>5.0000000000000266E-2</v>
      </c>
      <c r="AC91" s="467">
        <f t="shared" si="216"/>
        <v>-1.2332063033572371E-2</v>
      </c>
      <c r="AD91" s="467">
        <f t="shared" si="216"/>
        <v>4.0000000000000036E-2</v>
      </c>
      <c r="AE91" s="467">
        <f t="shared" si="216"/>
        <v>4.8678229358453784E-2</v>
      </c>
      <c r="AF91" s="467">
        <f t="shared" si="216"/>
        <v>3.0000000000000027E-2</v>
      </c>
      <c r="AG91" s="467">
        <f t="shared" si="216"/>
        <v>4.1446611339115424E-3</v>
      </c>
      <c r="AH91" s="467">
        <f t="shared" si="216"/>
        <v>4.0000000000000036E-2</v>
      </c>
      <c r="AI91" s="467">
        <f t="shared" si="216"/>
        <v>4.8678229358453784E-2</v>
      </c>
      <c r="AJ91" s="467">
        <f t="shared" si="216"/>
        <v>3.0000000000000027E-2</v>
      </c>
      <c r="AK91" s="467">
        <f t="shared" si="213"/>
        <v>-1.6329919722542496E-2</v>
      </c>
      <c r="AL91" s="467">
        <f t="shared" si="213"/>
        <v>4.0000000000000036E-2</v>
      </c>
      <c r="AM91" s="467">
        <f t="shared" si="213"/>
        <v>4.8678229358453784E-2</v>
      </c>
      <c r="AN91" s="467">
        <f t="shared" si="213"/>
        <v>3.0000000000000027E-2</v>
      </c>
      <c r="AO91" s="467">
        <f t="shared" si="213"/>
        <v>-3.4133903075980632E-2</v>
      </c>
      <c r="AP91" s="467">
        <f t="shared" si="213"/>
        <v>4.0000000000000036E-2</v>
      </c>
      <c r="AQ91" s="467">
        <f t="shared" si="213"/>
        <v>4.8678229358453784E-2</v>
      </c>
      <c r="AR91" s="467">
        <f>AR85/AQ85-1</f>
        <v>3.0000000000000027E-2</v>
      </c>
      <c r="AS91" s="467">
        <f t="shared" ref="AS91:AV91" si="217">AS85/AR85-1</f>
        <v>-4.3035894752699644E-2</v>
      </c>
      <c r="AT91" s="467">
        <f t="shared" si="217"/>
        <v>4.0000000000000036E-2</v>
      </c>
      <c r="AU91" s="467">
        <f t="shared" si="217"/>
        <v>4.8678229358453784E-2</v>
      </c>
      <c r="AV91" s="467">
        <f t="shared" si="217"/>
        <v>3.0000000000000027E-2</v>
      </c>
      <c r="AW91" s="465"/>
      <c r="BH91" s="269"/>
      <c r="BI91" s="269"/>
      <c r="BJ91" s="269"/>
      <c r="BK91" s="269"/>
      <c r="BL91" s="269"/>
      <c r="BM91" s="269"/>
    </row>
    <row r="92" spans="1:66" s="267" customFormat="1">
      <c r="A92" s="611"/>
      <c r="B92" s="570" t="s">
        <v>348</v>
      </c>
      <c r="C92" s="570"/>
      <c r="D92" s="570"/>
      <c r="E92" s="570"/>
      <c r="F92" s="467">
        <f t="shared" ref="F92:K92" si="218">F86/E86-1</f>
        <v>1.266287506108446</v>
      </c>
      <c r="G92" s="467">
        <f t="shared" ca="1" si="218"/>
        <v>0.4990076184717791</v>
      </c>
      <c r="H92" s="467">
        <f t="shared" ca="1" si="218"/>
        <v>0.22779092758981445</v>
      </c>
      <c r="I92" s="467">
        <f t="shared" ca="1" si="218"/>
        <v>0.20456803761903997</v>
      </c>
      <c r="J92" s="467">
        <f t="shared" ca="1" si="218"/>
        <v>0.15235830504598025</v>
      </c>
      <c r="K92" s="467">
        <f t="shared" ca="1" si="218"/>
        <v>0.11088580470454379</v>
      </c>
      <c r="L92" s="598"/>
      <c r="M92" s="465"/>
      <c r="N92" s="465"/>
      <c r="O92" s="465"/>
      <c r="P92" s="465"/>
      <c r="Q92" s="465"/>
      <c r="R92" s="465"/>
      <c r="S92" s="465"/>
      <c r="T92" s="467"/>
      <c r="U92" s="467"/>
      <c r="V92" s="467">
        <f t="shared" si="216"/>
        <v>0.32439781209679364</v>
      </c>
      <c r="W92" s="467">
        <f t="shared" si="216"/>
        <v>0.29696466193500193</v>
      </c>
      <c r="X92" s="467">
        <f t="shared" si="216"/>
        <v>0.32081572951689941</v>
      </c>
      <c r="Y92" s="467">
        <f t="shared" si="216"/>
        <v>0.25279512684092875</v>
      </c>
      <c r="Z92" s="467">
        <f t="shared" si="216"/>
        <v>0.17838128942914278</v>
      </c>
      <c r="AA92" s="467">
        <f t="shared" si="216"/>
        <v>0.14437930088923134</v>
      </c>
      <c r="AB92" s="467">
        <f t="shared" si="216"/>
        <v>0.11606572341396615</v>
      </c>
      <c r="AC92" s="467">
        <f t="shared" si="216"/>
        <v>0.10567407302494947</v>
      </c>
      <c r="AD92" s="467">
        <f t="shared" si="216"/>
        <v>0.10857181399262283</v>
      </c>
      <c r="AE92" s="467">
        <f t="shared" ca="1" si="216"/>
        <v>9.0589345619159101E-2</v>
      </c>
      <c r="AF92" s="467">
        <f t="shared" ca="1" si="216"/>
        <v>5.1482688387303188E-3</v>
      </c>
      <c r="AG92" s="467">
        <f t="shared" ca="1" si="216"/>
        <v>1.7851518035088443E-2</v>
      </c>
      <c r="AH92" s="467">
        <f t="shared" si="216"/>
        <v>0.10338328730451463</v>
      </c>
      <c r="AI92" s="467">
        <f t="shared" ca="1" si="216"/>
        <v>7.7611394102826914E-2</v>
      </c>
      <c r="AJ92" s="467">
        <f t="shared" ca="1" si="216"/>
        <v>1.5084214202555346E-2</v>
      </c>
      <c r="AK92" s="467">
        <f t="shared" ca="1" si="213"/>
        <v>2.1396663266950888E-2</v>
      </c>
      <c r="AL92" s="467">
        <f t="shared" si="213"/>
        <v>7.8225354634993582E-2</v>
      </c>
      <c r="AM92" s="467">
        <f t="shared" ca="1" si="213"/>
        <v>6.8599787287892067E-2</v>
      </c>
      <c r="AN92" s="467">
        <f t="shared" ca="1" si="213"/>
        <v>1.1964501399271965E-2</v>
      </c>
      <c r="AO92" s="467">
        <f t="shared" ca="1" si="213"/>
        <v>1.3854278004484133E-2</v>
      </c>
      <c r="AP92" s="467">
        <f t="shared" si="213"/>
        <v>5.7450126208742125E-2</v>
      </c>
      <c r="AQ92" s="467">
        <f t="shared" ca="1" si="213"/>
        <v>4.9075499652230459E-2</v>
      </c>
      <c r="AR92" s="467">
        <f ca="1">AR86/AQ86-1</f>
        <v>8.589869006432993E-3</v>
      </c>
      <c r="AS92" s="467">
        <f t="shared" ref="AS92:AV92" ca="1" si="219">AS86/AR86-1</f>
        <v>1.0942995700325087E-2</v>
      </c>
      <c r="AT92" s="467">
        <f t="shared" si="219"/>
        <v>3.8975296675291871E-2</v>
      </c>
      <c r="AU92" s="467">
        <f t="shared" ca="1" si="219"/>
        <v>3.1275762426510534E-2</v>
      </c>
      <c r="AV92" s="467">
        <f t="shared" ca="1" si="219"/>
        <v>2.5289215939550136E-2</v>
      </c>
      <c r="AW92" s="465"/>
      <c r="BH92" s="269"/>
      <c r="BI92" s="269"/>
      <c r="BJ92" s="269"/>
      <c r="BK92" s="269"/>
      <c r="BL92" s="269"/>
      <c r="BM92" s="269"/>
    </row>
    <row r="93" spans="1:66" s="267" customFormat="1">
      <c r="A93" s="611"/>
      <c r="B93" s="570" t="s">
        <v>349</v>
      </c>
      <c r="C93" s="570"/>
      <c r="D93" s="570"/>
      <c r="E93" s="570"/>
      <c r="F93" s="467">
        <f t="shared" ref="F93:K93" ca="1" si="220">F87/E87-1</f>
        <v>0.64165556193599182</v>
      </c>
      <c r="G93" s="467">
        <f t="shared" ca="1" si="220"/>
        <v>0.35237697035760518</v>
      </c>
      <c r="H93" s="467">
        <f t="shared" ca="1" si="220"/>
        <v>0.21151576819628226</v>
      </c>
      <c r="I93" s="467">
        <f t="shared" ca="1" si="220"/>
        <v>0.18977859492278992</v>
      </c>
      <c r="J93" s="467">
        <f t="shared" ca="1" si="220"/>
        <v>0.15285006818924018</v>
      </c>
      <c r="K93" s="467">
        <f t="shared" ca="1" si="220"/>
        <v>0.12692360449134177</v>
      </c>
      <c r="L93" s="598"/>
      <c r="M93" s="465"/>
      <c r="N93" s="465"/>
      <c r="O93" s="465"/>
      <c r="P93" s="465"/>
      <c r="Q93" s="465"/>
      <c r="R93" s="465"/>
      <c r="S93" s="465"/>
      <c r="T93" s="467"/>
      <c r="U93" s="467"/>
      <c r="V93" s="467">
        <f t="shared" si="216"/>
        <v>0.34055134862465697</v>
      </c>
      <c r="W93" s="467">
        <f t="shared" si="216"/>
        <v>0.21732909326740657</v>
      </c>
      <c r="X93" s="467">
        <f t="shared" si="216"/>
        <v>4.0243241358630888E-2</v>
      </c>
      <c r="Y93" s="467">
        <f t="shared" si="216"/>
        <v>9.2555029795110322E-2</v>
      </c>
      <c r="Z93" s="467">
        <f t="shared" si="216"/>
        <v>0.22683176759060664</v>
      </c>
      <c r="AA93" s="467">
        <f t="shared" ca="1" si="216"/>
        <v>0.13443316265287564</v>
      </c>
      <c r="AB93" s="467">
        <f t="shared" ca="1" si="216"/>
        <v>6.040321222031908E-3</v>
      </c>
      <c r="AC93" s="467">
        <f t="shared" si="216"/>
        <v>2.883054785690442E-2</v>
      </c>
      <c r="AD93" s="467">
        <f t="shared" si="216"/>
        <v>0.17182319181181649</v>
      </c>
      <c r="AE93" s="467">
        <f t="shared" ca="1" si="216"/>
        <v>0.1087198989960112</v>
      </c>
      <c r="AF93" s="467">
        <f t="shared" ca="1" si="216"/>
        <v>-4.5139418942319987E-2</v>
      </c>
      <c r="AG93" s="467">
        <f t="shared" ca="1" si="216"/>
        <v>-1.9236110922588812E-2</v>
      </c>
      <c r="AH93" s="467">
        <f t="shared" si="216"/>
        <v>0.16678998839879977</v>
      </c>
      <c r="AI93" s="467">
        <f t="shared" ca="1" si="216"/>
        <v>9.383358381939777E-2</v>
      </c>
      <c r="AJ93" s="467">
        <f t="shared" ca="1" si="216"/>
        <v>-2.1815028683644377E-2</v>
      </c>
      <c r="AK93" s="467">
        <f t="shared" ca="1" si="213"/>
        <v>-3.005024070604001E-2</v>
      </c>
      <c r="AL93" s="467">
        <f t="shared" si="213"/>
        <v>0.14412483838538703</v>
      </c>
      <c r="AM93" s="467">
        <f t="shared" ca="1" si="213"/>
        <v>8.7995898935820716E-2</v>
      </c>
      <c r="AN93" s="467">
        <f t="shared" ca="1" si="213"/>
        <v>-1.938458511255936E-2</v>
      </c>
      <c r="AO93" s="467">
        <f t="shared" ca="1" si="213"/>
        <v>-3.718503748515456E-2</v>
      </c>
      <c r="AP93" s="467">
        <f t="shared" si="213"/>
        <v>0.12341501557233103</v>
      </c>
      <c r="AQ93" s="467">
        <f t="shared" ca="1" si="213"/>
        <v>7.5919923237192544E-2</v>
      </c>
      <c r="AR93" s="467">
        <f ca="1">AR87/AQ87-1</f>
        <v>-1.5889162612864438E-2</v>
      </c>
      <c r="AS93" s="467">
        <f t="shared" ref="AS93:AV93" ca="1" si="221">AS87/AR87-1</f>
        <v>-4.2750558542337003E-2</v>
      </c>
      <c r="AT93" s="467">
        <f t="shared" si="221"/>
        <v>0.10580399822806541</v>
      </c>
      <c r="AU93" s="467">
        <f t="shared" ca="1" si="221"/>
        <v>6.548531185248474E-2</v>
      </c>
      <c r="AV93" s="467">
        <f t="shared" ca="1" si="221"/>
        <v>1.0883247394325002E-2</v>
      </c>
      <c r="AW93" s="465"/>
      <c r="BH93" s="269"/>
      <c r="BI93" s="269"/>
      <c r="BJ93" s="269"/>
      <c r="BK93" s="269"/>
      <c r="BL93" s="269"/>
      <c r="BM93" s="269"/>
    </row>
    <row r="94" spans="1:66" s="267" customFormat="1">
      <c r="A94" s="611"/>
      <c r="B94" s="570" t="s">
        <v>350</v>
      </c>
      <c r="C94" s="570"/>
      <c r="D94" s="570"/>
      <c r="E94" s="570"/>
      <c r="F94" s="467">
        <f t="shared" ref="F94:K94" ca="1" si="222">F88/E88-1</f>
        <v>-0.37828245285246831</v>
      </c>
      <c r="G94" s="467">
        <f t="shared" ca="1" si="222"/>
        <v>-0.23154745278630406</v>
      </c>
      <c r="H94" s="467">
        <f t="shared" ca="1" si="222"/>
        <v>3.8047495273318077E-2</v>
      </c>
      <c r="I94" s="467">
        <f t="shared" ca="1" si="222"/>
        <v>4.0604010000000246E-2</v>
      </c>
      <c r="J94" s="467">
        <f t="shared" ca="1" si="222"/>
        <v>2.7725406882734394E-2</v>
      </c>
      <c r="K94" s="467">
        <f t="shared" ca="1" si="222"/>
        <v>2.0150500624999568E-2</v>
      </c>
      <c r="L94" s="598"/>
      <c r="M94" s="465"/>
      <c r="N94" s="465"/>
      <c r="O94" s="465"/>
      <c r="P94" s="465"/>
      <c r="Q94" s="465"/>
      <c r="R94" s="465"/>
      <c r="S94" s="465"/>
      <c r="T94" s="467"/>
      <c r="U94" s="467"/>
      <c r="V94" s="467">
        <f t="shared" si="213"/>
        <v>-0.11055794395158491</v>
      </c>
      <c r="W94" s="467">
        <f t="shared" si="213"/>
        <v>-2.5512843189254064E-2</v>
      </c>
      <c r="X94" s="467">
        <f t="shared" si="213"/>
        <v>-9.9556224440471075E-2</v>
      </c>
      <c r="Y94" s="467">
        <f t="shared" si="213"/>
        <v>-7.5874150783739269E-2</v>
      </c>
      <c r="Z94" s="467">
        <f t="shared" si="213"/>
        <v>-0.19505325842791288</v>
      </c>
      <c r="AA94" s="467">
        <f t="shared" ca="1" si="213"/>
        <v>-0.19945953903859048</v>
      </c>
      <c r="AB94" s="475">
        <v>-7.0000000000000007E-2</v>
      </c>
      <c r="AC94" s="475">
        <v>-0.03</v>
      </c>
      <c r="AD94" s="475">
        <v>0</v>
      </c>
      <c r="AE94" s="475">
        <v>0.01</v>
      </c>
      <c r="AF94" s="475">
        <v>0.01</v>
      </c>
      <c r="AG94" s="475">
        <v>0.01</v>
      </c>
      <c r="AH94" s="475">
        <v>0.01</v>
      </c>
      <c r="AI94" s="475">
        <v>0.01</v>
      </c>
      <c r="AJ94" s="475">
        <v>0.01</v>
      </c>
      <c r="AK94" s="475">
        <v>0.01</v>
      </c>
      <c r="AL94" s="475">
        <v>0.01</v>
      </c>
      <c r="AM94" s="475">
        <v>0.01</v>
      </c>
      <c r="AN94" s="475">
        <v>0.01</v>
      </c>
      <c r="AO94" s="475">
        <v>5.0000000000000001E-3</v>
      </c>
      <c r="AP94" s="475">
        <v>5.0000000000000001E-3</v>
      </c>
      <c r="AQ94" s="475">
        <v>5.0000000000000001E-3</v>
      </c>
      <c r="AR94" s="475">
        <v>5.0000000000000001E-3</v>
      </c>
      <c r="AS94" s="475">
        <v>5.0000000000000001E-3</v>
      </c>
      <c r="AT94" s="475">
        <v>5.0000000000000001E-3</v>
      </c>
      <c r="AU94" s="475">
        <v>5.0000000000000001E-3</v>
      </c>
      <c r="AV94" s="475">
        <v>5.0000000000000001E-3</v>
      </c>
      <c r="AW94" s="465"/>
      <c r="BH94" s="269"/>
      <c r="BI94" s="269"/>
      <c r="BJ94" s="269"/>
      <c r="BK94" s="269"/>
      <c r="BL94" s="269"/>
      <c r="BM94" s="269"/>
    </row>
    <row r="95" spans="1:66" s="267" customFormat="1">
      <c r="A95" s="611"/>
      <c r="B95" s="563" t="s">
        <v>351</v>
      </c>
      <c r="C95" s="563"/>
      <c r="D95" s="563"/>
      <c r="E95" s="563"/>
      <c r="F95" s="563"/>
      <c r="G95" s="563"/>
      <c r="H95" s="563"/>
      <c r="I95" s="563"/>
      <c r="J95" s="563"/>
      <c r="K95" s="563"/>
      <c r="L95" s="587"/>
      <c r="M95" s="465"/>
      <c r="N95" s="465"/>
      <c r="O95" s="465"/>
      <c r="P95" s="465"/>
      <c r="Q95" s="465"/>
      <c r="R95" s="465"/>
      <c r="S95" s="465"/>
      <c r="T95" s="467"/>
      <c r="U95" s="467"/>
      <c r="V95" s="467"/>
      <c r="W95" s="467"/>
      <c r="X95" s="467"/>
      <c r="Y95" s="467"/>
      <c r="Z95" s="467"/>
      <c r="AA95" s="467"/>
      <c r="AB95" s="476"/>
      <c r="AC95" s="467"/>
      <c r="AD95" s="467"/>
      <c r="AE95" s="467"/>
      <c r="AF95" s="467"/>
      <c r="AG95" s="467"/>
      <c r="AH95" s="467"/>
      <c r="AI95" s="467"/>
      <c r="AJ95" s="467"/>
      <c r="AK95" s="467"/>
      <c r="AL95" s="467"/>
      <c r="AM95" s="467"/>
      <c r="AN95" s="467"/>
      <c r="AO95" s="467"/>
      <c r="AP95" s="467"/>
      <c r="AQ95" s="467"/>
      <c r="AR95" s="467"/>
      <c r="AS95" s="467"/>
      <c r="AT95" s="467"/>
      <c r="AU95" s="467"/>
      <c r="AV95" s="467"/>
      <c r="AW95" s="467"/>
      <c r="AX95" s="269"/>
      <c r="AY95" s="269"/>
      <c r="AZ95" s="269"/>
      <c r="BA95" s="269"/>
      <c r="BB95" s="269"/>
      <c r="BC95" s="269"/>
      <c r="BD95" s="269"/>
      <c r="BH95" s="269"/>
      <c r="BI95" s="269"/>
      <c r="BJ95" s="269"/>
      <c r="BK95" s="269"/>
      <c r="BL95" s="269"/>
      <c r="BM95" s="269"/>
    </row>
    <row r="96" spans="1:66" s="267" customFormat="1">
      <c r="A96" s="465"/>
      <c r="B96" s="570" t="s">
        <v>342</v>
      </c>
      <c r="C96" s="570"/>
      <c r="D96" s="570"/>
      <c r="E96" s="476">
        <f t="shared" ref="E96:J96" si="223">E84/E$82</f>
        <v>0.30432613696200417</v>
      </c>
      <c r="F96" s="476">
        <f t="shared" si="223"/>
        <v>0.39349660773345824</v>
      </c>
      <c r="G96" s="476">
        <f t="shared" ca="1" si="223"/>
        <v>0.44177567800644618</v>
      </c>
      <c r="H96" s="476">
        <f t="shared" ca="1" si="223"/>
        <v>0.44822125736948149</v>
      </c>
      <c r="I96" s="476">
        <f t="shared" ca="1" si="223"/>
        <v>0.469645531119876</v>
      </c>
      <c r="J96" s="476">
        <f t="shared" ca="1" si="223"/>
        <v>0.50149597277041758</v>
      </c>
      <c r="K96" s="476">
        <f t="shared" ref="K96" ca="1" si="224">K84/K$82</f>
        <v>0.53203071237540478</v>
      </c>
      <c r="L96" s="598"/>
      <c r="M96" s="465"/>
      <c r="N96" s="465"/>
      <c r="O96" s="465"/>
      <c r="P96" s="465"/>
      <c r="Q96" s="465"/>
      <c r="R96" s="465"/>
      <c r="S96" s="465"/>
      <c r="T96" s="465"/>
      <c r="U96" s="476">
        <f t="shared" ref="U96:AR96" si="225">U84/U$82</f>
        <v>0.25962012826837677</v>
      </c>
      <c r="V96" s="476">
        <f t="shared" si="225"/>
        <v>0.28319847691575434</v>
      </c>
      <c r="W96" s="476">
        <f t="shared" si="225"/>
        <v>0.31209781209781207</v>
      </c>
      <c r="X96" s="476">
        <f t="shared" si="225"/>
        <v>0.34995608470771922</v>
      </c>
      <c r="Y96" s="476">
        <f t="shared" si="225"/>
        <v>0.37158075291143816</v>
      </c>
      <c r="Z96" s="476">
        <f t="shared" si="225"/>
        <v>0.38922983836113756</v>
      </c>
      <c r="AA96" s="476">
        <f t="shared" si="225"/>
        <v>0.40897500507930074</v>
      </c>
      <c r="AB96" s="476">
        <f t="shared" si="225"/>
        <v>0.40123410898817935</v>
      </c>
      <c r="AC96" s="476">
        <f t="shared" ca="1" si="225"/>
        <v>0.44699385969219968</v>
      </c>
      <c r="AD96" s="476">
        <f t="shared" ca="1" si="225"/>
        <v>0.43983086844675784</v>
      </c>
      <c r="AE96" s="476">
        <f t="shared" ca="1" si="225"/>
        <v>0.43958671798137283</v>
      </c>
      <c r="AF96" s="476">
        <f t="shared" ca="1" si="225"/>
        <v>0.44124287786902616</v>
      </c>
      <c r="AG96" s="476">
        <f t="shared" ca="1" si="225"/>
        <v>0.44748122180627847</v>
      </c>
      <c r="AH96" s="476">
        <f t="shared" ca="1" si="225"/>
        <v>0.43163060174078988</v>
      </c>
      <c r="AI96" s="476">
        <f t="shared" ca="1" si="225"/>
        <v>0.44541922615702251</v>
      </c>
      <c r="AJ96" s="476">
        <f t="shared" ca="1" si="225"/>
        <v>0.46599268502363844</v>
      </c>
      <c r="AK96" s="476">
        <f t="shared" ca="1" si="225"/>
        <v>0.46603401768473957</v>
      </c>
      <c r="AL96" s="476">
        <f t="shared" ca="1" si="225"/>
        <v>0.4509386341906147</v>
      </c>
      <c r="AM96" s="476">
        <f t="shared" ca="1" si="225"/>
        <v>0.46783362329397699</v>
      </c>
      <c r="AN96" s="476">
        <f t="shared" ca="1" si="225"/>
        <v>0.49059529283891601</v>
      </c>
      <c r="AO96" s="476">
        <f t="shared" ca="1" si="225"/>
        <v>0.491815772454617</v>
      </c>
      <c r="AP96" s="476">
        <f t="shared" ca="1" si="225"/>
        <v>0.48115984764657316</v>
      </c>
      <c r="AQ96" s="476">
        <f t="shared" ca="1" si="225"/>
        <v>0.50228790696021963</v>
      </c>
      <c r="AR96" s="476">
        <f t="shared" ca="1" si="225"/>
        <v>0.52644580950437991</v>
      </c>
      <c r="AS96" s="476">
        <f t="shared" ref="AS96:AV96" ca="1" si="226">AS84/AS$82</f>
        <v>0.51949004413688926</v>
      </c>
      <c r="AT96" s="476">
        <f t="shared" ca="1" si="226"/>
        <v>0.51191337335791709</v>
      </c>
      <c r="AU96" s="476">
        <f t="shared" ca="1" si="226"/>
        <v>0.53583308744964231</v>
      </c>
      <c r="AV96" s="476">
        <f t="shared" ca="1" si="226"/>
        <v>0.55625215061053268</v>
      </c>
      <c r="AW96" s="465"/>
    </row>
    <row r="97" spans="1:65" s="267" customFormat="1">
      <c r="A97" s="611"/>
      <c r="B97" s="570" t="s">
        <v>343</v>
      </c>
      <c r="C97" s="570"/>
      <c r="D97" s="570"/>
      <c r="E97" s="476">
        <f t="shared" ref="E97:J97" si="227">E85/E$82</f>
        <v>9.4660892941274277E-2</v>
      </c>
      <c r="F97" s="476">
        <f t="shared" si="227"/>
        <v>7.9427181528002336E-2</v>
      </c>
      <c r="G97" s="476">
        <f t="shared" ca="1" si="227"/>
        <v>6.8680144857797054E-2</v>
      </c>
      <c r="H97" s="476">
        <f t="shared" ca="1" si="227"/>
        <v>6.5072991333536265E-2</v>
      </c>
      <c r="I97" s="476">
        <f t="shared" ca="1" si="227"/>
        <v>5.9434157522493446E-2</v>
      </c>
      <c r="J97" s="476">
        <f t="shared" ca="1" si="227"/>
        <v>5.3824765240399745E-2</v>
      </c>
      <c r="K97" s="476">
        <f t="shared" ref="K97" ca="1" si="228">K85/K$82</f>
        <v>4.9503758915163169E-2</v>
      </c>
      <c r="L97" s="598"/>
      <c r="M97" s="465"/>
      <c r="N97" s="465"/>
      <c r="O97" s="465"/>
      <c r="P97" s="465"/>
      <c r="Q97" s="465"/>
      <c r="R97" s="465"/>
      <c r="S97" s="465"/>
      <c r="T97" s="465"/>
      <c r="U97" s="476">
        <f t="shared" ref="U97:AR97" si="229">U85/U$82</f>
        <v>9.9000000000000005E-2</v>
      </c>
      <c r="V97" s="476">
        <f t="shared" si="229"/>
        <v>9.8999999999999991E-2</v>
      </c>
      <c r="W97" s="476">
        <f t="shared" si="229"/>
        <v>9.0999999999999998E-2</v>
      </c>
      <c r="X97" s="476">
        <f t="shared" si="229"/>
        <v>9.0999999999999998E-2</v>
      </c>
      <c r="Y97" s="476">
        <f t="shared" si="229"/>
        <v>8.1699999999999995E-2</v>
      </c>
      <c r="Z97" s="476">
        <f t="shared" si="229"/>
        <v>8.1699999999999995E-2</v>
      </c>
      <c r="AA97" s="476">
        <f t="shared" si="229"/>
        <v>7.9575578839169742E-2</v>
      </c>
      <c r="AB97" s="476">
        <f t="shared" si="229"/>
        <v>7.5466648775773346E-2</v>
      </c>
      <c r="AC97" s="476">
        <f t="shared" ca="1" si="229"/>
        <v>7.0664551133105241E-2</v>
      </c>
      <c r="AD97" s="476">
        <f t="shared" ca="1" si="229"/>
        <v>6.8525733369252675E-2</v>
      </c>
      <c r="AE97" s="476">
        <f t="shared" ca="1" si="229"/>
        <v>6.7013639293116406E-2</v>
      </c>
      <c r="AF97" s="476">
        <f t="shared" ca="1" si="229"/>
        <v>6.876481953754103E-2</v>
      </c>
      <c r="AG97" s="476">
        <f t="shared" ca="1" si="229"/>
        <v>6.7672456394790956E-2</v>
      </c>
      <c r="AH97" s="476">
        <f t="shared" ca="1" si="229"/>
        <v>6.6536090924798563E-2</v>
      </c>
      <c r="AI97" s="476">
        <f t="shared" ca="1" si="229"/>
        <v>6.3905142047585239E-2</v>
      </c>
      <c r="AJ97" s="476">
        <f t="shared" ca="1" si="229"/>
        <v>6.2762674008229477E-2</v>
      </c>
      <c r="AK97" s="476">
        <f t="shared" ca="1" si="229"/>
        <v>6.1314021921674747E-2</v>
      </c>
      <c r="AL97" s="476">
        <f t="shared" ca="1" si="229"/>
        <v>6.1106008375295631E-2</v>
      </c>
      <c r="AM97" s="476">
        <f t="shared" ca="1" si="229"/>
        <v>5.8555668646875302E-2</v>
      </c>
      <c r="AN97" s="476">
        <f t="shared" ca="1" si="229"/>
        <v>5.7255171898259835E-2</v>
      </c>
      <c r="AO97" s="476">
        <f t="shared" ca="1" si="229"/>
        <v>5.5237639442420612E-2</v>
      </c>
      <c r="AP97" s="476">
        <f t="shared" ca="1" si="229"/>
        <v>5.5415571293657082E-2</v>
      </c>
      <c r="AQ97" s="476">
        <f t="shared" ca="1" si="229"/>
        <v>5.3220844254283431E-2</v>
      </c>
      <c r="AR97" s="476">
        <f t="shared" ca="1" si="229"/>
        <v>5.1837838311994358E-2</v>
      </c>
      <c r="AS97" s="476">
        <f t="shared" ref="AS97:AV97" ca="1" si="230">AS85/AS$82</f>
        <v>5.0582077944387946E-2</v>
      </c>
      <c r="AT97" s="476">
        <f t="shared" ca="1" si="230"/>
        <v>5.111233134903187E-2</v>
      </c>
      <c r="AU97" s="476">
        <f t="shared" ca="1" si="230"/>
        <v>4.9220423260876091E-2</v>
      </c>
      <c r="AV97" s="476">
        <f t="shared" ca="1" si="230"/>
        <v>4.7484480592620351E-2</v>
      </c>
      <c r="AW97" s="465"/>
    </row>
    <row r="98" spans="1:65" s="267" customFormat="1">
      <c r="A98" s="611"/>
      <c r="B98" s="570" t="s">
        <v>348</v>
      </c>
      <c r="C98" s="570"/>
      <c r="D98" s="570"/>
      <c r="E98" s="476">
        <f t="shared" ref="E98:J98" si="231">E86/E$82</f>
        <v>0.14996661166945036</v>
      </c>
      <c r="F98" s="476">
        <f t="shared" si="231"/>
        <v>0.25418558015172243</v>
      </c>
      <c r="G98" s="476">
        <f t="shared" ca="1" si="231"/>
        <v>0.29602766683890219</v>
      </c>
      <c r="H98" s="476">
        <f t="shared" ca="1" si="231"/>
        <v>0.30529324234354371</v>
      </c>
      <c r="I98" s="476">
        <f t="shared" ca="1" si="231"/>
        <v>0.30396360620828727</v>
      </c>
      <c r="J98" s="476">
        <f t="shared" ca="1" si="231"/>
        <v>0.29236502628463729</v>
      </c>
      <c r="K98" s="476">
        <f t="shared" ref="K98" ca="1" si="232">K86/K$82</f>
        <v>0.27787047614947291</v>
      </c>
      <c r="L98" s="598"/>
      <c r="M98" s="465"/>
      <c r="N98" s="465"/>
      <c r="O98" s="465"/>
      <c r="P98" s="465"/>
      <c r="Q98" s="465"/>
      <c r="R98" s="465"/>
      <c r="S98" s="465"/>
      <c r="T98" s="465"/>
      <c r="U98" s="476">
        <f t="shared" ref="U98:AR98" si="233">U86/U$82</f>
        <v>0.10575360461819726</v>
      </c>
      <c r="V98" s="476">
        <f t="shared" si="233"/>
        <v>0.1351267495977998</v>
      </c>
      <c r="W98" s="476">
        <f t="shared" si="233"/>
        <v>0.15796222855046385</v>
      </c>
      <c r="X98" s="476">
        <f t="shared" si="233"/>
        <v>0.18984580852932559</v>
      </c>
      <c r="Y98" s="476">
        <f t="shared" si="233"/>
        <v>0.2200167012729079</v>
      </c>
      <c r="Z98" s="476">
        <f t="shared" si="233"/>
        <v>0.24823774742847265</v>
      </c>
      <c r="AA98" s="476">
        <f t="shared" si="233"/>
        <v>0.27051609185941228</v>
      </c>
      <c r="AB98" s="476">
        <f t="shared" si="233"/>
        <v>0.2726897628429113</v>
      </c>
      <c r="AC98" s="476">
        <f t="shared" ca="1" si="233"/>
        <v>0.2858456217675252</v>
      </c>
      <c r="AD98" s="476">
        <f t="shared" ca="1" si="233"/>
        <v>0.29547049859154317</v>
      </c>
      <c r="AE98" s="476">
        <f t="shared" ca="1" si="233"/>
        <v>0.30049872599501531</v>
      </c>
      <c r="AF98" s="476">
        <f t="shared" ca="1" si="233"/>
        <v>0.30091140140692429</v>
      </c>
      <c r="AG98" s="476">
        <f t="shared" ca="1" si="233"/>
        <v>0.30017355023235776</v>
      </c>
      <c r="AH98" s="476">
        <f t="shared" ca="1" si="233"/>
        <v>0.31312001204854745</v>
      </c>
      <c r="AI98" s="476">
        <f t="shared" ca="1" si="233"/>
        <v>0.30903613970697108</v>
      </c>
      <c r="AJ98" s="476">
        <f t="shared" ca="1" si="233"/>
        <v>0.29911607506540955</v>
      </c>
      <c r="AK98" s="476">
        <f t="shared" ca="1" si="233"/>
        <v>0.30341922355733858</v>
      </c>
      <c r="AL98" s="476">
        <f t="shared" ca="1" si="233"/>
        <v>0.31350422923364396</v>
      </c>
      <c r="AM98" s="476">
        <f t="shared" ca="1" si="233"/>
        <v>0.30612673850112143</v>
      </c>
      <c r="AN98" s="476">
        <f t="shared" ca="1" si="233"/>
        <v>0.29408650515660073</v>
      </c>
      <c r="AO98" s="476">
        <f t="shared" ca="1" si="233"/>
        <v>0.29782016528748428</v>
      </c>
      <c r="AP98" s="476">
        <f t="shared" ca="1" si="233"/>
        <v>0.30379271719933393</v>
      </c>
      <c r="AQ98" s="476">
        <f t="shared" ca="1" si="233"/>
        <v>0.29187157085718024</v>
      </c>
      <c r="AR98" s="476">
        <f t="shared" ca="1" si="233"/>
        <v>0.27837760585569959</v>
      </c>
      <c r="AS98" s="476">
        <f t="shared" ref="AS98:AV98" ca="1" si="234">AS86/AS$82</f>
        <v>0.28695586041198134</v>
      </c>
      <c r="AT98" s="476">
        <f t="shared" ca="1" si="234"/>
        <v>0.28967832796450754</v>
      </c>
      <c r="AU98" s="476">
        <f t="shared" ca="1" si="234"/>
        <v>0.27432678719814774</v>
      </c>
      <c r="AV98" s="476">
        <f t="shared" ca="1" si="234"/>
        <v>0.26344122055115982</v>
      </c>
      <c r="AW98" s="465"/>
    </row>
    <row r="99" spans="1:65" s="267" customFormat="1">
      <c r="A99" s="611"/>
      <c r="B99" s="570" t="s">
        <v>349</v>
      </c>
      <c r="C99" s="570"/>
      <c r="D99" s="570"/>
      <c r="E99" s="476">
        <f>E87/E82</f>
        <v>6.7465319425516299E-2</v>
      </c>
      <c r="F99" s="476">
        <f t="shared" ref="F99:J99" ca="1" si="235">F87/F82</f>
        <v>8.2833106521103747E-2</v>
      </c>
      <c r="G99" s="476">
        <f t="shared" ca="1" si="235"/>
        <v>8.7032061038054886E-2</v>
      </c>
      <c r="H99" s="476">
        <f t="shared" ca="1" si="235"/>
        <v>8.8566362543236812E-2</v>
      </c>
      <c r="I99" s="476">
        <f t="shared" ca="1" si="235"/>
        <v>8.7097967689450551E-2</v>
      </c>
      <c r="J99" s="476">
        <f t="shared" ca="1" si="235"/>
        <v>8.3810251943730832E-2</v>
      </c>
      <c r="K99" s="476">
        <f t="shared" ref="K99" ca="1" si="236">K87/K82</f>
        <v>8.0805177825480162E-2</v>
      </c>
      <c r="L99" s="598"/>
      <c r="M99" s="465"/>
      <c r="N99" s="465"/>
      <c r="O99" s="465"/>
      <c r="P99" s="465"/>
      <c r="Q99" s="465"/>
      <c r="R99" s="465"/>
      <c r="S99" s="465"/>
      <c r="T99" s="465"/>
      <c r="U99" s="476">
        <f>U87/U82</f>
        <v>5.2952416623836263E-2</v>
      </c>
      <c r="V99" s="476">
        <f t="shared" ref="V99:AR99" si="237">V87/V82</f>
        <v>6.8485232623047759E-2</v>
      </c>
      <c r="W99" s="476">
        <f t="shared" si="237"/>
        <v>7.5143032150020481E-2</v>
      </c>
      <c r="X99" s="476">
        <f t="shared" si="237"/>
        <v>7.1126124730550994E-2</v>
      </c>
      <c r="Y99" s="476">
        <f t="shared" si="237"/>
        <v>7.1886451833263143E-2</v>
      </c>
      <c r="Z99" s="476">
        <f t="shared" si="237"/>
        <v>8.444197764074507E-2</v>
      </c>
      <c r="AA99" s="476">
        <f t="shared" ca="1" si="237"/>
        <v>9.1220531565820995E-2</v>
      </c>
      <c r="AB99" s="476">
        <f t="shared" si="237"/>
        <v>8.2888436022688028E-2</v>
      </c>
      <c r="AC99" s="476">
        <f t="shared" ca="1" si="237"/>
        <v>8.0848763178128211E-2</v>
      </c>
      <c r="AD99" s="476">
        <f t="shared" ca="1" si="237"/>
        <v>8.8339353705242041E-2</v>
      </c>
      <c r="AE99" s="476">
        <f t="shared" ca="1" si="237"/>
        <v>9.1336279974870788E-2</v>
      </c>
      <c r="AF99" s="476">
        <f t="shared" ca="1" si="237"/>
        <v>8.6885871870804668E-2</v>
      </c>
      <c r="AG99" s="476">
        <f t="shared" ca="1" si="237"/>
        <v>8.3514710573643791E-2</v>
      </c>
      <c r="AH99" s="476">
        <f t="shared" ca="1" si="237"/>
        <v>9.2122915945328621E-2</v>
      </c>
      <c r="AI99" s="476">
        <f t="shared" ca="1" si="237"/>
        <v>9.2290117713075506E-2</v>
      </c>
      <c r="AJ99" s="476">
        <f t="shared" ca="1" si="237"/>
        <v>8.6080463193927662E-2</v>
      </c>
      <c r="AK99" s="476">
        <f t="shared" ca="1" si="237"/>
        <v>8.2920657923027538E-2</v>
      </c>
      <c r="AL99" s="476">
        <f t="shared" ca="1" si="237"/>
        <v>9.0913195801599941E-2</v>
      </c>
      <c r="AM99" s="476">
        <f t="shared" ca="1" si="237"/>
        <v>9.038512437786661E-2</v>
      </c>
      <c r="AN99" s="476">
        <f t="shared" ca="1" si="237"/>
        <v>8.4140333591347913E-2</v>
      </c>
      <c r="AO99" s="476">
        <f t="shared" ca="1" si="237"/>
        <v>8.0919003564091277E-2</v>
      </c>
      <c r="AP99" s="476">
        <f t="shared" ca="1" si="237"/>
        <v>8.7690816776956199E-2</v>
      </c>
      <c r="AQ99" s="476">
        <f t="shared" ca="1" si="237"/>
        <v>8.6405573572084948E-2</v>
      </c>
      <c r="AR99" s="476">
        <f t="shared" ca="1" si="237"/>
        <v>8.0410668069675742E-2</v>
      </c>
      <c r="AS99" s="476">
        <f t="shared" ref="AS99:AV99" ca="1" si="238">AS87/AS82</f>
        <v>7.8486132199327457E-2</v>
      </c>
      <c r="AT99" s="476">
        <f t="shared" ca="1" si="238"/>
        <v>8.4327022909747765E-2</v>
      </c>
      <c r="AU99" s="476">
        <f t="shared" ca="1" si="238"/>
        <v>8.2507159679057571E-2</v>
      </c>
      <c r="AV99" s="476">
        <f t="shared" ca="1" si="238"/>
        <v>7.8119914488186074E-2</v>
      </c>
      <c r="AW99" s="465"/>
    </row>
    <row r="100" spans="1:65" s="267" customFormat="1">
      <c r="A100" s="611"/>
      <c r="B100" s="570" t="s">
        <v>350</v>
      </c>
      <c r="C100" s="570"/>
      <c r="D100" s="570"/>
      <c r="E100" s="476">
        <f>E88/E82</f>
        <v>0.38358103900175489</v>
      </c>
      <c r="F100" s="476">
        <f t="shared" ref="F100:J100" ca="1" si="239">F88/F82</f>
        <v>0.17835758445096297</v>
      </c>
      <c r="G100" s="476">
        <f t="shared" ca="1" si="239"/>
        <v>0.10648444925879963</v>
      </c>
      <c r="H100" s="476">
        <f t="shared" ca="1" si="239"/>
        <v>9.2846146410201863E-2</v>
      </c>
      <c r="I100" s="476">
        <f t="shared" ca="1" si="239"/>
        <v>7.9858737459892734E-2</v>
      </c>
      <c r="J100" s="476">
        <f t="shared" ca="1" si="239"/>
        <v>6.8503983760814527E-2</v>
      </c>
      <c r="K100" s="476">
        <f t="shared" ref="K100" ca="1" si="240">K88/K82</f>
        <v>5.9789874734479047E-2</v>
      </c>
      <c r="L100" s="598"/>
      <c r="M100" s="465"/>
      <c r="N100" s="465"/>
      <c r="O100" s="465"/>
      <c r="P100" s="465"/>
      <c r="Q100" s="465"/>
      <c r="R100" s="465"/>
      <c r="S100" s="465"/>
      <c r="T100" s="465"/>
      <c r="U100" s="476">
        <f>U88/U82</f>
        <v>0.48267385048958966</v>
      </c>
      <c r="V100" s="476">
        <f t="shared" ref="V100:AR100" si="241">V88/V82</f>
        <v>0.41418954086339804</v>
      </c>
      <c r="W100" s="476">
        <f t="shared" si="241"/>
        <v>0.36379692720170359</v>
      </c>
      <c r="X100" s="476">
        <f t="shared" si="241"/>
        <v>0.29807198203240415</v>
      </c>
      <c r="Y100" s="476">
        <f t="shared" si="241"/>
        <v>0.25481609398239086</v>
      </c>
      <c r="Z100" s="476">
        <f t="shared" si="241"/>
        <v>0.19639043656964481</v>
      </c>
      <c r="AA100" s="476">
        <f t="shared" ca="1" si="241"/>
        <v>0.14971279265629636</v>
      </c>
      <c r="AB100" s="476">
        <f t="shared" ca="1" si="241"/>
        <v>0.12575574066780537</v>
      </c>
      <c r="AC100" s="476">
        <f t="shared" ca="1" si="241"/>
        <v>0.11564720422904159</v>
      </c>
      <c r="AD100" s="476">
        <f t="shared" ca="1" si="241"/>
        <v>0.10783354588720429</v>
      </c>
      <c r="AE100" s="476">
        <f t="shared" ca="1" si="241"/>
        <v>0.10156463675562459</v>
      </c>
      <c r="AF100" s="476">
        <f t="shared" ca="1" si="241"/>
        <v>0.10219502931570384</v>
      </c>
      <c r="AG100" s="476">
        <f t="shared" ca="1" si="241"/>
        <v>0.10115806099292908</v>
      </c>
      <c r="AH100" s="476">
        <f t="shared" ca="1" si="241"/>
        <v>9.6590379340535659E-2</v>
      </c>
      <c r="AI100" s="476">
        <f t="shared" ca="1" si="241"/>
        <v>8.9349374375345667E-2</v>
      </c>
      <c r="AJ100" s="476">
        <f t="shared" ca="1" si="241"/>
        <v>8.6048102708794871E-2</v>
      </c>
      <c r="AK100" s="476">
        <f t="shared" ca="1" si="241"/>
        <v>8.6312078913219625E-2</v>
      </c>
      <c r="AL100" s="476">
        <f t="shared" ca="1" si="241"/>
        <v>8.3537932398845757E-2</v>
      </c>
      <c r="AM100" s="476">
        <f t="shared" ca="1" si="241"/>
        <v>7.7098845180159623E-2</v>
      </c>
      <c r="AN100" s="476">
        <f t="shared" ca="1" si="241"/>
        <v>7.3922696514875569E-2</v>
      </c>
      <c r="AO100" s="476">
        <f t="shared" ca="1" si="241"/>
        <v>7.420741925138688E-2</v>
      </c>
      <c r="AP100" s="476">
        <f t="shared" ca="1" si="241"/>
        <v>7.1941047083479578E-2</v>
      </c>
      <c r="AQ100" s="476">
        <f t="shared" ca="1" si="241"/>
        <v>6.6214104356231762E-2</v>
      </c>
      <c r="AR100" s="476">
        <f t="shared" ca="1" si="241"/>
        <v>6.292807825825053E-2</v>
      </c>
      <c r="AS100" s="476">
        <f t="shared" ref="AS100:AV100" ca="1" si="242">AS88/AS82</f>
        <v>6.4485885307413976E-2</v>
      </c>
      <c r="AT100" s="476">
        <f t="shared" ca="1" si="242"/>
        <v>6.2968944418795691E-2</v>
      </c>
      <c r="AU100" s="476">
        <f t="shared" ca="1" si="242"/>
        <v>5.8112542412276175E-2</v>
      </c>
      <c r="AV100" s="476">
        <f t="shared" ca="1" si="242"/>
        <v>5.4702233757501023E-2</v>
      </c>
      <c r="AW100" s="465"/>
    </row>
    <row r="101" spans="1:65" s="267" customFormat="1">
      <c r="A101" s="558"/>
      <c r="B101" s="563" t="s">
        <v>352</v>
      </c>
      <c r="C101" s="563"/>
      <c r="D101" s="448">
        <f>T101</f>
        <v>5</v>
      </c>
      <c r="E101" s="448">
        <f t="shared" ref="E101" si="243">X101</f>
        <v>5.8768333333333338</v>
      </c>
      <c r="F101" s="448">
        <f t="shared" ref="F101" si="244">AB101</f>
        <v>5.4489999999999998</v>
      </c>
      <c r="G101" s="448">
        <f>AF101</f>
        <v>5.5579799999999997</v>
      </c>
      <c r="H101" s="448">
        <f>AJ101</f>
        <v>5.8358790000000003</v>
      </c>
      <c r="I101" s="448">
        <f>AN101</f>
        <v>5.9525965800000007</v>
      </c>
      <c r="J101" s="448">
        <f>AR101</f>
        <v>6.0716485116000012</v>
      </c>
      <c r="K101" s="448">
        <f>AV101</f>
        <v>6.3752309371800013</v>
      </c>
      <c r="L101" s="587"/>
      <c r="M101" s="465"/>
      <c r="N101" s="465"/>
      <c r="O101" s="465"/>
      <c r="P101" s="465"/>
      <c r="Q101" s="465"/>
      <c r="R101" s="465"/>
      <c r="S101" s="477"/>
      <c r="T101" s="477">
        <v>5</v>
      </c>
      <c r="U101" s="477">
        <f>(V101+T101)/2</f>
        <v>5.2513500000000004</v>
      </c>
      <c r="V101" s="477">
        <f t="shared" ref="V101:AV101" si="245">V9</f>
        <v>5.5026999999999999</v>
      </c>
      <c r="W101" s="477">
        <f t="shared" si="245"/>
        <v>5.5535666666666668</v>
      </c>
      <c r="X101" s="477">
        <f t="shared" si="245"/>
        <v>5.8768333333333338</v>
      </c>
      <c r="Y101" s="477">
        <f t="shared" si="245"/>
        <v>6.0147333333333339</v>
      </c>
      <c r="Z101" s="477">
        <f t="shared" si="245"/>
        <v>5.9961666666666664</v>
      </c>
      <c r="AA101" s="477">
        <f t="shared" ca="1" si="245"/>
        <v>6.0515949130023037</v>
      </c>
      <c r="AB101" s="477">
        <f t="shared" si="245"/>
        <v>5.4489999999999998</v>
      </c>
      <c r="AC101" s="477">
        <f t="shared" si="245"/>
        <v>5.7139966666666666</v>
      </c>
      <c r="AD101" s="477">
        <f t="shared" si="245"/>
        <v>6.0561283333333336</v>
      </c>
      <c r="AE101" s="477">
        <f t="shared" ca="1" si="245"/>
        <v>6.1726268112623499</v>
      </c>
      <c r="AF101" s="477">
        <f t="shared" si="245"/>
        <v>5.5579799999999997</v>
      </c>
      <c r="AG101" s="477">
        <f t="shared" si="245"/>
        <v>5.8282765999999997</v>
      </c>
      <c r="AH101" s="477">
        <f t="shared" si="245"/>
        <v>6.1772509000000007</v>
      </c>
      <c r="AI101" s="477">
        <f t="shared" ca="1" si="245"/>
        <v>6.2034899453186609</v>
      </c>
      <c r="AJ101" s="477">
        <f t="shared" si="245"/>
        <v>5.8358790000000003</v>
      </c>
      <c r="AK101" s="477">
        <f t="shared" si="245"/>
        <v>5.9448421319999998</v>
      </c>
      <c r="AL101" s="477">
        <f t="shared" si="245"/>
        <v>6.2390234090000005</v>
      </c>
      <c r="AM101" s="477">
        <f t="shared" ca="1" si="245"/>
        <v>6.2655248447718472</v>
      </c>
      <c r="AN101" s="477">
        <f t="shared" si="245"/>
        <v>5.9525965800000007</v>
      </c>
      <c r="AO101" s="477">
        <f t="shared" si="245"/>
        <v>6.0637389746399997</v>
      </c>
      <c r="AP101" s="477">
        <f t="shared" si="245"/>
        <v>6.2702185260450003</v>
      </c>
      <c r="AQ101" s="477">
        <f t="shared" ca="1" si="245"/>
        <v>6.2968524689957057</v>
      </c>
      <c r="AR101" s="477">
        <f t="shared" si="245"/>
        <v>6.0716485116000012</v>
      </c>
      <c r="AS101" s="477">
        <f t="shared" si="245"/>
        <v>6.1850137541327994</v>
      </c>
      <c r="AT101" s="477">
        <f t="shared" si="245"/>
        <v>6.3015696186752246</v>
      </c>
      <c r="AU101" s="477">
        <f t="shared" ca="1" si="245"/>
        <v>6.3283367313406833</v>
      </c>
      <c r="AV101" s="477">
        <f t="shared" si="245"/>
        <v>6.3752309371800013</v>
      </c>
      <c r="AW101" s="465"/>
      <c r="BE101" s="264"/>
      <c r="BF101" s="262"/>
      <c r="BG101" s="262"/>
      <c r="BH101" s="262"/>
      <c r="BI101" s="262"/>
      <c r="BJ101" s="262"/>
      <c r="BK101" s="262"/>
      <c r="BL101" s="262"/>
      <c r="BM101" s="262"/>
    </row>
    <row r="102" spans="1:65" s="267" customFormat="1">
      <c r="A102" s="611"/>
      <c r="B102" s="563" t="s">
        <v>353</v>
      </c>
      <c r="C102" s="563"/>
      <c r="D102" s="448">
        <f>T102</f>
        <v>0.2</v>
      </c>
      <c r="E102" s="448">
        <f t="shared" ref="E102" si="246">X102</f>
        <v>0.56000000000000005</v>
      </c>
      <c r="F102" s="448">
        <f t="shared" ref="F102" si="247">AB102</f>
        <v>0.89</v>
      </c>
      <c r="G102" s="448">
        <f>AF102</f>
        <v>1.0189596000000001</v>
      </c>
      <c r="H102" s="448">
        <f>AJ102</f>
        <v>1.1866251600000002</v>
      </c>
      <c r="I102" s="448">
        <f>AN102</f>
        <v>1.3175044016400004</v>
      </c>
      <c r="J102" s="448">
        <f>AR102</f>
        <v>1.4045709747888007</v>
      </c>
      <c r="K102" s="448">
        <f>AV102</f>
        <v>1.5003004472769608</v>
      </c>
      <c r="L102" s="587"/>
      <c r="M102" s="465"/>
      <c r="N102" s="465"/>
      <c r="O102" s="465"/>
      <c r="P102" s="465"/>
      <c r="Q102" s="465"/>
      <c r="R102" s="465"/>
      <c r="S102" s="465"/>
      <c r="T102" s="477">
        <v>0.2</v>
      </c>
      <c r="U102" s="477">
        <f>(V102+T102)/2</f>
        <v>0.26855203619909507</v>
      </c>
      <c r="V102" s="477">
        <f>Z102/2.21</f>
        <v>0.33710407239819007</v>
      </c>
      <c r="W102" s="477">
        <v>0.43</v>
      </c>
      <c r="X102" s="477">
        <v>0.56000000000000005</v>
      </c>
      <c r="Y102" s="477">
        <f>(Z102+X102)/2</f>
        <v>0.65250000000000008</v>
      </c>
      <c r="Z102" s="477">
        <v>0.745</v>
      </c>
      <c r="AA102" s="477">
        <v>0.82</v>
      </c>
      <c r="AB102" s="477">
        <v>0.89</v>
      </c>
      <c r="AC102" s="477">
        <f t="shared" ref="AC102:AV102" si="248">AC101*AC103</f>
        <v>0.96185261011500589</v>
      </c>
      <c r="AD102" s="477">
        <f t="shared" si="248"/>
        <v>1.049725206377317</v>
      </c>
      <c r="AE102" s="477">
        <f t="shared" ca="1" si="248"/>
        <v>1.1007813386753569</v>
      </c>
      <c r="AF102" s="477">
        <f t="shared" si="248"/>
        <v>1.0189596000000001</v>
      </c>
      <c r="AG102" s="477">
        <f t="shared" si="248"/>
        <v>1.0976551943173061</v>
      </c>
      <c r="AH102" s="477">
        <f t="shared" si="248"/>
        <v>1.1942647285048635</v>
      </c>
      <c r="AI102" s="477">
        <f t="shared" ca="1" si="248"/>
        <v>1.230355044275107</v>
      </c>
      <c r="AJ102" s="477">
        <f t="shared" si="248"/>
        <v>1.1866251600000002</v>
      </c>
      <c r="AK102" s="477">
        <f t="shared" si="248"/>
        <v>1.2385051408436523</v>
      </c>
      <c r="AL102" s="477">
        <f t="shared" si="248"/>
        <v>1.3309878439699123</v>
      </c>
      <c r="AM102" s="477">
        <f t="shared" ca="1" si="248"/>
        <v>1.3679690916132949</v>
      </c>
      <c r="AN102" s="477">
        <f t="shared" si="248"/>
        <v>1.3175044016400004</v>
      </c>
      <c r="AO102" s="477">
        <f t="shared" si="248"/>
        <v>1.3602950672547653</v>
      </c>
      <c r="AP102" s="477">
        <f t="shared" si="248"/>
        <v>1.425425842554392</v>
      </c>
      <c r="AQ102" s="477">
        <f t="shared" ca="1" si="248"/>
        <v>1.4503711666993098</v>
      </c>
      <c r="AR102" s="477">
        <f t="shared" si="248"/>
        <v>1.4045709747888007</v>
      </c>
      <c r="AS102" s="477">
        <f t="shared" si="248"/>
        <v>1.4369810786329231</v>
      </c>
      <c r="AT102" s="477">
        <f t="shared" si="248"/>
        <v>1.470362389479215</v>
      </c>
      <c r="AU102" s="477">
        <f t="shared" ca="1" si="248"/>
        <v>1.482936369458169</v>
      </c>
      <c r="AV102" s="477">
        <f t="shared" si="248"/>
        <v>1.5003004472769608</v>
      </c>
      <c r="AW102" s="465"/>
      <c r="BE102" s="264"/>
      <c r="BF102" s="262"/>
      <c r="BG102" s="262"/>
      <c r="BH102" s="262"/>
      <c r="BI102" s="262"/>
      <c r="BJ102" s="262"/>
      <c r="BK102" s="262"/>
      <c r="BL102" s="262"/>
      <c r="BM102" s="262"/>
    </row>
    <row r="103" spans="1:65" s="267" customFormat="1">
      <c r="A103" s="611"/>
      <c r="B103" s="563" t="s">
        <v>354</v>
      </c>
      <c r="C103" s="563"/>
      <c r="D103" s="474">
        <f>D102/D101</f>
        <v>0.04</v>
      </c>
      <c r="E103" s="474">
        <f t="shared" ref="E103:K103" si="249">E102/E101</f>
        <v>9.5289413232750059E-2</v>
      </c>
      <c r="F103" s="474">
        <f t="shared" si="249"/>
        <v>0.16333272160029363</v>
      </c>
      <c r="G103" s="474">
        <f t="shared" si="249"/>
        <v>0.18333272160029365</v>
      </c>
      <c r="H103" s="474">
        <f t="shared" si="249"/>
        <v>0.20333272160029364</v>
      </c>
      <c r="I103" s="474">
        <f t="shared" si="249"/>
        <v>0.22133272160029366</v>
      </c>
      <c r="J103" s="474">
        <f t="shared" si="249"/>
        <v>0.23133272160029369</v>
      </c>
      <c r="K103" s="474">
        <f t="shared" si="249"/>
        <v>0.2353327216002937</v>
      </c>
      <c r="L103" s="587"/>
      <c r="M103" s="465"/>
      <c r="N103" s="465"/>
      <c r="O103" s="465"/>
      <c r="P103" s="465"/>
      <c r="Q103" s="465"/>
      <c r="R103" s="465"/>
      <c r="S103" s="465"/>
      <c r="T103" s="474">
        <f t="shared" ref="T103" si="250">T102/T101</f>
        <v>0.04</v>
      </c>
      <c r="U103" s="474">
        <f>U102/U101</f>
        <v>5.1139618612184495E-2</v>
      </c>
      <c r="V103" s="474">
        <f>V102/V101</f>
        <v>6.1261575662527497E-2</v>
      </c>
      <c r="W103" s="474">
        <f>W102/W101</f>
        <v>7.742771912344619E-2</v>
      </c>
      <c r="X103" s="474">
        <f t="shared" ref="X103:AB103" si="251">X102/X101</f>
        <v>9.5289413232750059E-2</v>
      </c>
      <c r="Y103" s="474">
        <f t="shared" si="251"/>
        <v>0.1084836124627304</v>
      </c>
      <c r="Z103" s="474">
        <f t="shared" si="251"/>
        <v>0.12424604608499876</v>
      </c>
      <c r="AA103" s="474">
        <f t="shared" ca="1" si="251"/>
        <v>0.13550146891659398</v>
      </c>
      <c r="AB103" s="474">
        <f t="shared" si="251"/>
        <v>0.16333272160029363</v>
      </c>
      <c r="AC103" s="475">
        <f t="shared" ref="AC103:AM103" si="252">AB103+0.005</f>
        <v>0.16833272160029364</v>
      </c>
      <c r="AD103" s="475">
        <f t="shared" si="252"/>
        <v>0.17333272160029364</v>
      </c>
      <c r="AE103" s="475">
        <f t="shared" si="252"/>
        <v>0.17833272160029365</v>
      </c>
      <c r="AF103" s="475">
        <f t="shared" si="252"/>
        <v>0.18333272160029365</v>
      </c>
      <c r="AG103" s="475">
        <f t="shared" si="252"/>
        <v>0.18833272160029366</v>
      </c>
      <c r="AH103" s="475">
        <f t="shared" si="252"/>
        <v>0.19333272160029366</v>
      </c>
      <c r="AI103" s="475">
        <f t="shared" si="252"/>
        <v>0.19833272160029367</v>
      </c>
      <c r="AJ103" s="475">
        <f t="shared" si="252"/>
        <v>0.20333272160029367</v>
      </c>
      <c r="AK103" s="475">
        <f t="shared" si="252"/>
        <v>0.20833272160029367</v>
      </c>
      <c r="AL103" s="475">
        <f t="shared" si="252"/>
        <v>0.21333272160029368</v>
      </c>
      <c r="AM103" s="475">
        <f t="shared" si="252"/>
        <v>0.21833272160029368</v>
      </c>
      <c r="AN103" s="475">
        <f>AM103+0.003</f>
        <v>0.22133272160029369</v>
      </c>
      <c r="AO103" s="475">
        <f t="shared" ref="AO103:AQ103" si="253">AN103+0.003</f>
        <v>0.22433272160029369</v>
      </c>
      <c r="AP103" s="475">
        <f t="shared" si="253"/>
        <v>0.22733272160029369</v>
      </c>
      <c r="AQ103" s="475">
        <f t="shared" si="253"/>
        <v>0.23033272160029369</v>
      </c>
      <c r="AR103" s="475">
        <f>AQ103+0.001</f>
        <v>0.23133272160029369</v>
      </c>
      <c r="AS103" s="475">
        <f t="shared" ref="AS103:AV103" si="254">AR103+0.001</f>
        <v>0.2323327216002937</v>
      </c>
      <c r="AT103" s="475">
        <f t="shared" si="254"/>
        <v>0.2333327216002937</v>
      </c>
      <c r="AU103" s="475">
        <f t="shared" si="254"/>
        <v>0.2343327216002937</v>
      </c>
      <c r="AV103" s="475">
        <f t="shared" si="254"/>
        <v>0.2353327216002937</v>
      </c>
      <c r="AW103" s="465"/>
      <c r="BE103" s="264"/>
      <c r="BG103" s="266"/>
      <c r="BH103" s="266"/>
      <c r="BI103" s="266"/>
      <c r="BJ103" s="266"/>
      <c r="BK103" s="266"/>
      <c r="BL103" s="266"/>
      <c r="BM103" s="266"/>
    </row>
    <row r="104" spans="1:65" s="628" customFormat="1">
      <c r="A104" s="623"/>
      <c r="B104" s="624" t="s">
        <v>1044</v>
      </c>
      <c r="C104" s="624"/>
      <c r="D104" s="624"/>
      <c r="E104" s="625">
        <f>(E86+E87)/3/E102</f>
        <v>46.699978391069536</v>
      </c>
      <c r="F104" s="625">
        <f t="shared" ref="F104:K104" ca="1" si="255">(F86+F87)/3/F102</f>
        <v>60.898140663734722</v>
      </c>
      <c r="G104" s="625">
        <f t="shared" ca="1" si="255"/>
        <v>77.816561330635139</v>
      </c>
      <c r="H104" s="625">
        <f t="shared" ca="1" si="255"/>
        <v>81.795596622960673</v>
      </c>
      <c r="I104" s="625">
        <f t="shared" ca="1" si="255"/>
        <v>88.495674428184287</v>
      </c>
      <c r="J104" s="625">
        <f t="shared" ca="1" si="255"/>
        <v>95.666357944984071</v>
      </c>
      <c r="K104" s="625">
        <f t="shared" ca="1" si="255"/>
        <v>99.813381935941194</v>
      </c>
      <c r="L104" s="626"/>
      <c r="M104" s="623"/>
      <c r="N104" s="623"/>
      <c r="O104" s="623"/>
      <c r="P104" s="623"/>
      <c r="Q104" s="623"/>
      <c r="R104" s="623"/>
      <c r="S104" s="623"/>
      <c r="T104" s="627"/>
      <c r="U104" s="625">
        <f>(U86+U87)/U102</f>
        <v>47.915794586507197</v>
      </c>
      <c r="V104" s="625">
        <f t="shared" ref="V104:AV104" si="256">(V86+V87)/V102</f>
        <v>50.760439837189892</v>
      </c>
      <c r="W104" s="625">
        <f t="shared" si="256"/>
        <v>50.545894203984105</v>
      </c>
      <c r="X104" s="625">
        <f t="shared" si="256"/>
        <v>47.753203573463495</v>
      </c>
      <c r="Y104" s="625">
        <f t="shared" si="256"/>
        <v>49.55419504915028</v>
      </c>
      <c r="Z104" s="625">
        <f t="shared" si="256"/>
        <v>51.661365628533957</v>
      </c>
      <c r="AA104" s="625">
        <f t="shared" ca="1" si="256"/>
        <v>53.594368756014148</v>
      </c>
      <c r="AB104" s="625">
        <f t="shared" si="256"/>
        <v>53.740251156642429</v>
      </c>
      <c r="AC104" s="625">
        <f t="shared" si="256"/>
        <v>54.089718372024358</v>
      </c>
      <c r="AD104" s="625">
        <f t="shared" si="256"/>
        <v>55.634057247471574</v>
      </c>
      <c r="AE104" s="625">
        <f t="shared" ca="1" si="256"/>
        <v>58.081143045434224</v>
      </c>
      <c r="AF104" s="625">
        <f t="shared" ca="1" si="256"/>
        <v>62.332549008757162</v>
      </c>
      <c r="AG104" s="625">
        <f t="shared" si="256"/>
        <v>58.415799712364262</v>
      </c>
      <c r="AH104" s="625">
        <f t="shared" si="256"/>
        <v>59.981951099428649</v>
      </c>
      <c r="AI104" s="625">
        <f t="shared" ca="1" si="256"/>
        <v>62.955923696975539</v>
      </c>
      <c r="AJ104" s="625">
        <f t="shared" ca="1" si="256"/>
        <v>65.706735876937557</v>
      </c>
      <c r="AK104" s="625">
        <f t="shared" si="256"/>
        <v>63.577565554972814</v>
      </c>
      <c r="AL104" s="625">
        <f t="shared" si="256"/>
        <v>64.624495420248621</v>
      </c>
      <c r="AM104" s="625">
        <f t="shared" ca="1" si="256"/>
        <v>67.464998899835649</v>
      </c>
      <c r="AN104" s="625">
        <f t="shared" ca="1" si="256"/>
        <v>70.386655839909949</v>
      </c>
      <c r="AO104" s="625">
        <f t="shared" si="256"/>
        <v>68.342946117968467</v>
      </c>
      <c r="AP104" s="625">
        <f t="shared" si="256"/>
        <v>69.886309161313477</v>
      </c>
      <c r="AQ104" s="625">
        <f t="shared" ca="1" si="256"/>
        <v>72.46803494166943</v>
      </c>
      <c r="AR104" s="625">
        <f t="shared" ca="1" si="256"/>
        <v>75.055443121146197</v>
      </c>
      <c r="AS104" s="625">
        <f t="shared" si="256"/>
        <v>73.282606384658735</v>
      </c>
      <c r="AT104" s="625">
        <f t="shared" si="256"/>
        <v>75.438188660288716</v>
      </c>
      <c r="AU104" s="625">
        <f t="shared" ca="1" si="256"/>
        <v>77.714859734403973</v>
      </c>
      <c r="AV104" s="625">
        <f t="shared" ca="1" si="256"/>
        <v>78.502141921138374</v>
      </c>
      <c r="AW104" s="623"/>
      <c r="BF104" s="629"/>
      <c r="BG104" s="629"/>
      <c r="BH104" s="629"/>
      <c r="BI104" s="629"/>
      <c r="BJ104" s="629"/>
      <c r="BK104" s="629"/>
      <c r="BL104" s="629"/>
      <c r="BM104" s="629"/>
    </row>
    <row r="105" spans="1:65">
      <c r="B105" s="563" t="s">
        <v>355</v>
      </c>
      <c r="C105" s="563"/>
      <c r="D105" s="563"/>
      <c r="E105" s="477">
        <f>E86/12/AVERAGE(D102:E102)</f>
        <v>11.866765896642057</v>
      </c>
      <c r="F105" s="477">
        <f t="shared" ref="F105:K105" si="257">F86/12/AVERAGE(E102:F102)</f>
        <v>14.095905172413794</v>
      </c>
      <c r="G105" s="477">
        <f t="shared" ca="1" si="257"/>
        <v>16.049742698546812</v>
      </c>
      <c r="H105" s="477">
        <f t="shared" ca="1" si="257"/>
        <v>17.05554020429442</v>
      </c>
      <c r="I105" s="477">
        <f t="shared" ca="1" si="257"/>
        <v>18.095216010749326</v>
      </c>
      <c r="J105" s="477">
        <f t="shared" ca="1" si="257"/>
        <v>19.182621433849363</v>
      </c>
      <c r="K105" s="477">
        <f t="shared" ca="1" si="257"/>
        <v>19.968737424500098</v>
      </c>
      <c r="L105" s="587"/>
      <c r="M105" s="450"/>
      <c r="N105" s="450"/>
      <c r="O105" s="450"/>
      <c r="P105" s="450"/>
      <c r="Q105" s="450"/>
      <c r="R105" s="450"/>
      <c r="S105" s="450"/>
      <c r="T105" s="451"/>
      <c r="U105" s="477">
        <v>12.2</v>
      </c>
      <c r="V105" s="477">
        <v>12.5</v>
      </c>
      <c r="W105" s="477">
        <v>12.8</v>
      </c>
      <c r="X105" s="477">
        <v>13.1</v>
      </c>
      <c r="Y105" s="477">
        <v>13.4</v>
      </c>
      <c r="Z105" s="477">
        <v>13.7</v>
      </c>
      <c r="AA105" s="477">
        <v>14</v>
      </c>
      <c r="AB105" s="478">
        <f>AA105+0.3</f>
        <v>14.3</v>
      </c>
      <c r="AC105" s="478">
        <f t="shared" ref="AC105:AQ105" si="258">AB105+0.3</f>
        <v>14.600000000000001</v>
      </c>
      <c r="AD105" s="478">
        <f t="shared" si="258"/>
        <v>14.900000000000002</v>
      </c>
      <c r="AE105" s="478">
        <f t="shared" si="258"/>
        <v>15.200000000000003</v>
      </c>
      <c r="AF105" s="478">
        <f t="shared" si="258"/>
        <v>15.500000000000004</v>
      </c>
      <c r="AG105" s="478">
        <f t="shared" si="258"/>
        <v>15.800000000000004</v>
      </c>
      <c r="AH105" s="478">
        <f t="shared" si="258"/>
        <v>16.100000000000005</v>
      </c>
      <c r="AI105" s="478">
        <f t="shared" si="258"/>
        <v>16.400000000000006</v>
      </c>
      <c r="AJ105" s="478">
        <f t="shared" si="258"/>
        <v>16.700000000000006</v>
      </c>
      <c r="AK105" s="478">
        <f t="shared" si="258"/>
        <v>17.000000000000007</v>
      </c>
      <c r="AL105" s="478">
        <f t="shared" si="258"/>
        <v>17.300000000000008</v>
      </c>
      <c r="AM105" s="478">
        <f t="shared" si="258"/>
        <v>17.600000000000009</v>
      </c>
      <c r="AN105" s="478">
        <f t="shared" si="258"/>
        <v>17.900000000000009</v>
      </c>
      <c r="AO105" s="478">
        <f t="shared" si="258"/>
        <v>18.20000000000001</v>
      </c>
      <c r="AP105" s="478">
        <f t="shared" si="258"/>
        <v>18.500000000000011</v>
      </c>
      <c r="AQ105" s="478">
        <f t="shared" si="258"/>
        <v>18.800000000000011</v>
      </c>
      <c r="AR105" s="478">
        <f>AQ105+0.3</f>
        <v>19.100000000000012</v>
      </c>
      <c r="AS105" s="478">
        <f t="shared" ref="AS105:AV105" si="259">AR105+0.3</f>
        <v>19.400000000000013</v>
      </c>
      <c r="AT105" s="478">
        <f t="shared" si="259"/>
        <v>19.700000000000014</v>
      </c>
      <c r="AU105" s="478">
        <f t="shared" si="259"/>
        <v>20.000000000000014</v>
      </c>
      <c r="AV105" s="478">
        <f t="shared" si="259"/>
        <v>20.300000000000015</v>
      </c>
      <c r="BF105" s="259"/>
      <c r="BG105" s="259"/>
      <c r="BH105" s="259"/>
      <c r="BI105" s="259"/>
      <c r="BJ105" s="259"/>
      <c r="BK105" s="259"/>
      <c r="BL105" s="259"/>
      <c r="BM105" s="259"/>
    </row>
    <row r="106" spans="1:65">
      <c r="B106" s="571" t="s">
        <v>1048</v>
      </c>
      <c r="C106" s="571"/>
      <c r="D106" s="571"/>
      <c r="E106" s="479">
        <f>E82/E10/3</f>
        <v>89.358593363051043</v>
      </c>
      <c r="F106" s="479">
        <f t="shared" ref="F106:J106" si="260">F82/F10/3</f>
        <v>100.32439176543978</v>
      </c>
      <c r="G106" s="479">
        <f t="shared" ca="1" si="260"/>
        <v>109.43266496064291</v>
      </c>
      <c r="H106" s="479">
        <f t="shared" ca="1" si="260"/>
        <v>112.31260932437378</v>
      </c>
      <c r="I106" s="479">
        <f t="shared" ca="1" si="260"/>
        <v>119.19295975141415</v>
      </c>
      <c r="J106" s="479">
        <f t="shared" ca="1" si="260"/>
        <v>127.50179130352807</v>
      </c>
      <c r="K106" s="479">
        <f t="shared" ref="K106" ca="1" si="261">K82/K10/3</f>
        <v>135.48026352235999</v>
      </c>
      <c r="L106" s="587"/>
      <c r="M106" s="455"/>
      <c r="N106" s="455"/>
      <c r="O106" s="455"/>
      <c r="P106" s="455"/>
      <c r="Q106" s="455"/>
      <c r="R106" s="455"/>
      <c r="S106" s="455"/>
      <c r="T106" s="455"/>
      <c r="U106" s="479">
        <f t="shared" ref="U106:AV106" si="262">U82/U10</f>
        <v>68.134453781512647</v>
      </c>
      <c r="V106" s="479">
        <f t="shared" si="262"/>
        <v>71.160033869602046</v>
      </c>
      <c r="W106" s="479">
        <f t="shared" si="262"/>
        <v>74.413407821229058</v>
      </c>
      <c r="X106" s="479">
        <f t="shared" si="262"/>
        <v>76.129271916790501</v>
      </c>
      <c r="Y106" s="479">
        <f t="shared" si="262"/>
        <v>75.302515295717185</v>
      </c>
      <c r="Z106" s="479">
        <f t="shared" si="262"/>
        <v>75.172189733593243</v>
      </c>
      <c r="AA106" s="479">
        <f t="shared" si="262"/>
        <v>78.838416612589242</v>
      </c>
      <c r="AB106" s="479">
        <f t="shared" si="262"/>
        <v>83.911416094822201</v>
      </c>
      <c r="AC106" s="479">
        <f t="shared" ca="1" si="262"/>
        <v>81.73805668754602</v>
      </c>
      <c r="AD106" s="479">
        <f t="shared" ca="1" si="262"/>
        <v>83.78757341337537</v>
      </c>
      <c r="AE106" s="479">
        <f t="shared" ca="1" si="262"/>
        <v>89.732203904238347</v>
      </c>
      <c r="AF106" s="479">
        <f t="shared" ca="1" si="262"/>
        <v>86.586776487046492</v>
      </c>
      <c r="AG106" s="479">
        <f t="shared" ca="1" si="262"/>
        <v>82.997513628010495</v>
      </c>
      <c r="AH106" s="479">
        <f t="shared" ca="1" si="262"/>
        <v>83.912591447219469</v>
      </c>
      <c r="AI106" s="479">
        <f t="shared" ca="1" si="262"/>
        <v>91.50121147093077</v>
      </c>
      <c r="AJ106" s="479">
        <f t="shared" ca="1" si="262"/>
        <v>92.250249894033047</v>
      </c>
      <c r="AK106" s="479">
        <f t="shared" ca="1" si="262"/>
        <v>88.792164938497933</v>
      </c>
      <c r="AL106" s="479">
        <f t="shared" ca="1" si="262"/>
        <v>88.564143486782015</v>
      </c>
      <c r="AM106" s="479">
        <f t="shared" ca="1" si="262"/>
        <v>96.794600299499805</v>
      </c>
      <c r="AN106" s="479">
        <f t="shared" ca="1" si="262"/>
        <v>98.019321854231663</v>
      </c>
      <c r="AO106" s="479">
        <f t="shared" ca="1" si="262"/>
        <v>95.479701927703374</v>
      </c>
      <c r="AP106" s="479">
        <f t="shared" ca="1" si="262"/>
        <v>94.606667058353949</v>
      </c>
      <c r="AQ106" s="479">
        <f t="shared" ca="1" si="262"/>
        <v>103.16919248357418</v>
      </c>
      <c r="AR106" s="479">
        <f t="shared" ca="1" si="262"/>
        <v>104.87965478666258</v>
      </c>
      <c r="AS106" s="479">
        <f t="shared" ca="1" si="262"/>
        <v>101.89791039089376</v>
      </c>
      <c r="AT106" s="479">
        <f t="shared" ca="1" si="262"/>
        <v>100.24059738474804</v>
      </c>
      <c r="AU106" s="479">
        <f t="shared" ca="1" si="262"/>
        <v>109.01900800774263</v>
      </c>
      <c r="AV106" s="479">
        <f t="shared" ca="1" si="262"/>
        <v>111.89281994944839</v>
      </c>
      <c r="BF106" s="259"/>
      <c r="BG106" s="259"/>
      <c r="BH106" s="259"/>
      <c r="BI106" s="259"/>
      <c r="BJ106" s="259"/>
      <c r="BK106" s="259"/>
      <c r="BL106" s="259"/>
      <c r="BM106" s="259"/>
    </row>
    <row r="107" spans="1:65">
      <c r="B107" s="264"/>
      <c r="C107" s="264"/>
      <c r="D107" s="264"/>
      <c r="E107" s="264"/>
      <c r="F107" s="264"/>
      <c r="G107" s="264"/>
      <c r="H107" s="264"/>
      <c r="I107" s="264"/>
      <c r="J107" s="264"/>
      <c r="K107" s="264"/>
      <c r="L107" s="590"/>
      <c r="U107" s="275"/>
      <c r="V107" s="275"/>
      <c r="W107" s="275"/>
      <c r="X107" s="621"/>
      <c r="Y107" s="621"/>
      <c r="Z107" s="621"/>
      <c r="AA107" s="621"/>
      <c r="AB107" s="621"/>
      <c r="AC107" s="621"/>
      <c r="AD107" s="621"/>
      <c r="AE107" s="621"/>
      <c r="AF107" s="621"/>
      <c r="AG107" s="275"/>
      <c r="AH107" s="275"/>
      <c r="AI107" s="275"/>
      <c r="AJ107" s="275"/>
      <c r="AK107" s="275"/>
      <c r="AL107" s="275"/>
      <c r="AM107" s="275"/>
      <c r="AN107" s="275"/>
      <c r="AO107" s="275"/>
      <c r="AP107" s="275"/>
      <c r="AQ107" s="275"/>
      <c r="AR107" s="275"/>
      <c r="AS107" s="275"/>
      <c r="AT107" s="275"/>
      <c r="AU107" s="275"/>
      <c r="AV107" s="275"/>
      <c r="BF107" s="259"/>
      <c r="BG107" s="259"/>
      <c r="BH107" s="259"/>
      <c r="BI107" s="259"/>
      <c r="BJ107" s="259"/>
      <c r="BK107" s="259"/>
      <c r="BL107" s="259"/>
      <c r="BM107" s="259"/>
    </row>
    <row r="108" spans="1:65">
      <c r="B108" s="572" t="s">
        <v>356</v>
      </c>
      <c r="C108" s="572"/>
      <c r="D108" s="572"/>
      <c r="E108" s="572"/>
      <c r="F108" s="572"/>
      <c r="G108" s="572"/>
      <c r="H108" s="572"/>
      <c r="I108" s="572"/>
      <c r="J108" s="572"/>
      <c r="K108" s="572"/>
      <c r="L108" s="606"/>
      <c r="M108" s="485"/>
      <c r="N108" s="485"/>
      <c r="O108" s="485"/>
      <c r="P108" s="485"/>
      <c r="Q108" s="485"/>
      <c r="R108" s="485"/>
      <c r="S108" s="485"/>
      <c r="T108" s="485"/>
      <c r="U108" s="485"/>
      <c r="V108" s="485"/>
      <c r="W108" s="485"/>
      <c r="X108" s="485"/>
      <c r="Y108" s="485"/>
      <c r="Z108" s="485"/>
      <c r="AA108" s="485"/>
      <c r="AB108" s="486"/>
      <c r="AC108" s="486"/>
      <c r="AD108" s="486"/>
      <c r="AE108" s="486"/>
      <c r="AF108" s="486"/>
      <c r="AG108" s="486"/>
      <c r="AH108" s="486"/>
      <c r="AI108" s="486"/>
      <c r="AJ108" s="486"/>
      <c r="AK108" s="486"/>
      <c r="AL108" s="486"/>
      <c r="AM108" s="486"/>
      <c r="AN108" s="486"/>
      <c r="AO108" s="486"/>
      <c r="AP108" s="486"/>
      <c r="AQ108" s="486"/>
      <c r="AR108" s="486"/>
      <c r="AS108" s="486"/>
      <c r="AT108" s="486"/>
      <c r="AU108" s="486"/>
      <c r="AV108" s="486"/>
      <c r="BF108" s="259"/>
      <c r="BG108" s="259"/>
      <c r="BH108" s="259"/>
      <c r="BI108" s="259"/>
      <c r="BJ108" s="259"/>
      <c r="BK108" s="259"/>
      <c r="BL108" s="259"/>
      <c r="BM108" s="259"/>
    </row>
    <row r="109" spans="1:65" s="258" customFormat="1">
      <c r="A109" s="460"/>
      <c r="B109" s="573" t="s">
        <v>372</v>
      </c>
      <c r="C109" s="588">
        <f>SUM(M109:P109)</f>
        <v>174.68</v>
      </c>
      <c r="D109" s="588">
        <f>SUM(Q109:T109)</f>
        <v>269.7</v>
      </c>
      <c r="E109" s="588">
        <f>SUM(U109:X109)</f>
        <v>404.39000000000004</v>
      </c>
      <c r="F109" s="588">
        <f>SUM(Y109:AB109)</f>
        <v>580.79000000000008</v>
      </c>
      <c r="G109" s="588">
        <f ca="1">SUM(AC109:AF109)</f>
        <v>759.18023442322954</v>
      </c>
      <c r="H109" s="588">
        <f ca="1">SUM(AG109:AJ109)</f>
        <v>927.70629512957839</v>
      </c>
      <c r="I109" s="588">
        <f ca="1">SUM(AK109:AN109)</f>
        <v>1115.0785752849458</v>
      </c>
      <c r="J109" s="588">
        <f ca="1">SUM(AO109:AR109)</f>
        <v>1320.1331455097366</v>
      </c>
      <c r="K109" s="588">
        <f ca="1">SUM(AS109:AV109)</f>
        <v>1540.8371023048035</v>
      </c>
      <c r="L109" s="599"/>
      <c r="M109" s="461">
        <v>27.24</v>
      </c>
      <c r="N109" s="461">
        <v>40.729999999999997</v>
      </c>
      <c r="O109" s="461">
        <v>49.38</v>
      </c>
      <c r="P109" s="461">
        <v>57.33</v>
      </c>
      <c r="Q109" s="461">
        <v>47.01</v>
      </c>
      <c r="R109" s="461">
        <v>65.319999999999993</v>
      </c>
      <c r="S109" s="461">
        <v>74.489999999999995</v>
      </c>
      <c r="T109" s="461">
        <v>82.88</v>
      </c>
      <c r="U109" s="461">
        <f t="shared" ref="U109:Z109" si="263">U115+U121</f>
        <v>68.88</v>
      </c>
      <c r="V109" s="461">
        <f t="shared" si="263"/>
        <v>101.48</v>
      </c>
      <c r="W109" s="461">
        <f t="shared" si="263"/>
        <v>110.42</v>
      </c>
      <c r="X109" s="461">
        <f t="shared" si="263"/>
        <v>123.61000000000001</v>
      </c>
      <c r="Y109" s="461">
        <f t="shared" si="263"/>
        <v>106.89000000000001</v>
      </c>
      <c r="Z109" s="461">
        <f t="shared" si="263"/>
        <v>141.1</v>
      </c>
      <c r="AA109" s="461">
        <f t="shared" ref="AA109:AR109" si="264">AA121+AA115</f>
        <v>162.47</v>
      </c>
      <c r="AB109" s="461">
        <v>170.33</v>
      </c>
      <c r="AC109" s="461">
        <f t="shared" si="264"/>
        <v>144.36266676838218</v>
      </c>
      <c r="AD109" s="461">
        <f t="shared" si="264"/>
        <v>182.65698159297304</v>
      </c>
      <c r="AE109" s="461">
        <f t="shared" ca="1" si="264"/>
        <v>207.39404912257251</v>
      </c>
      <c r="AF109" s="461">
        <f t="shared" ca="1" si="264"/>
        <v>224.76653693930177</v>
      </c>
      <c r="AG109" s="461">
        <f t="shared" si="264"/>
        <v>179.28385202308229</v>
      </c>
      <c r="AH109" s="461">
        <f t="shared" si="264"/>
        <v>224.33306929972849</v>
      </c>
      <c r="AI109" s="461">
        <f t="shared" ca="1" si="264"/>
        <v>254.60153583080182</v>
      </c>
      <c r="AJ109" s="461">
        <f t="shared" ca="1" si="264"/>
        <v>269.48783797596587</v>
      </c>
      <c r="AK109" s="461">
        <f t="shared" si="264"/>
        <v>217.31072759353776</v>
      </c>
      <c r="AL109" s="461">
        <f t="shared" si="264"/>
        <v>268.72845432195197</v>
      </c>
      <c r="AM109" s="461">
        <f t="shared" ca="1" si="264"/>
        <v>305.42390246095891</v>
      </c>
      <c r="AN109" s="461">
        <f t="shared" ca="1" si="264"/>
        <v>323.61549090849718</v>
      </c>
      <c r="AO109" s="461">
        <f t="shared" si="264"/>
        <v>258.4028345379711</v>
      </c>
      <c r="AP109" s="461">
        <f t="shared" si="264"/>
        <v>317.34872899583524</v>
      </c>
      <c r="AQ109" s="461">
        <f t="shared" ca="1" si="264"/>
        <v>361.08306287858608</v>
      </c>
      <c r="AR109" s="461">
        <f t="shared" ca="1" si="264"/>
        <v>383.29851909734418</v>
      </c>
      <c r="AS109" s="461">
        <f t="shared" ref="AS109:AV109" si="265">AS121+AS115</f>
        <v>301.31855928022981</v>
      </c>
      <c r="AT109" s="461">
        <f t="shared" si="265"/>
        <v>369.50352801207714</v>
      </c>
      <c r="AU109" s="461">
        <f t="shared" ca="1" si="265"/>
        <v>420.76236854517742</v>
      </c>
      <c r="AV109" s="461">
        <f t="shared" ca="1" si="265"/>
        <v>449.25264646731921</v>
      </c>
      <c r="AW109" s="460"/>
      <c r="BF109" s="259"/>
      <c r="BG109" s="259"/>
      <c r="BH109" s="259"/>
      <c r="BI109" s="259"/>
      <c r="BJ109" s="259"/>
      <c r="BK109" s="259"/>
      <c r="BL109" s="259"/>
      <c r="BM109" s="259"/>
    </row>
    <row r="110" spans="1:65" s="278" customFormat="1">
      <c r="A110" s="612"/>
      <c r="B110" s="562" t="s">
        <v>315</v>
      </c>
      <c r="C110" s="559"/>
      <c r="D110" s="452">
        <f>D109/C109-1</f>
        <v>0.54396610945729318</v>
      </c>
      <c r="E110" s="452">
        <f t="shared" ref="E110" si="266">E109/D109-1</f>
        <v>0.49940674823878406</v>
      </c>
      <c r="F110" s="452">
        <f t="shared" ref="F110" si="267">F109/E109-1</f>
        <v>0.43621256707633727</v>
      </c>
      <c r="G110" s="452">
        <f t="shared" ref="G110" ca="1" si="268">G109/F109-1</f>
        <v>0.30715100883835711</v>
      </c>
      <c r="H110" s="452">
        <f t="shared" ref="H110" ca="1" si="269">H109/G109-1</f>
        <v>0.22198425757802132</v>
      </c>
      <c r="I110" s="452">
        <f t="shared" ref="I110" ca="1" si="270">I109/H109-1</f>
        <v>0.2019737077769812</v>
      </c>
      <c r="J110" s="452">
        <f t="shared" ref="J110:K110" ca="1" si="271">J109/I109-1</f>
        <v>0.18389248504069888</v>
      </c>
      <c r="K110" s="452">
        <f t="shared" ca="1" si="271"/>
        <v>0.16718310387536528</v>
      </c>
      <c r="L110" s="593"/>
      <c r="M110" s="487"/>
      <c r="N110" s="487"/>
      <c r="O110" s="487"/>
      <c r="P110" s="487"/>
      <c r="Q110" s="487">
        <f t="shared" ref="Q110:AQ110" si="272">Q109/M109-1</f>
        <v>0.72577092511013208</v>
      </c>
      <c r="R110" s="487">
        <f t="shared" si="272"/>
        <v>0.60373189295359686</v>
      </c>
      <c r="S110" s="487">
        <f t="shared" si="272"/>
        <v>0.50850546780072881</v>
      </c>
      <c r="T110" s="487">
        <f t="shared" si="272"/>
        <v>0.44566544566544564</v>
      </c>
      <c r="U110" s="487">
        <f t="shared" si="272"/>
        <v>0.46522016592214421</v>
      </c>
      <c r="V110" s="487">
        <f t="shared" si="272"/>
        <v>0.55358236374770375</v>
      </c>
      <c r="W110" s="487">
        <f t="shared" si="272"/>
        <v>0.4823466237078804</v>
      </c>
      <c r="X110" s="487">
        <f t="shared" si="272"/>
        <v>0.491433397683398</v>
      </c>
      <c r="Y110" s="487">
        <f t="shared" si="272"/>
        <v>0.55182926829268331</v>
      </c>
      <c r="Z110" s="487">
        <f t="shared" si="272"/>
        <v>0.39042175798186829</v>
      </c>
      <c r="AA110" s="487">
        <f t="shared" si="272"/>
        <v>0.47138199601521458</v>
      </c>
      <c r="AB110" s="487">
        <f t="shared" si="272"/>
        <v>0.37796294798155494</v>
      </c>
      <c r="AC110" s="487">
        <f t="shared" si="272"/>
        <v>0.35057224032540146</v>
      </c>
      <c r="AD110" s="487">
        <f t="shared" si="272"/>
        <v>0.2945214854214957</v>
      </c>
      <c r="AE110" s="487">
        <f t="shared" ca="1" si="272"/>
        <v>0.27650673430524098</v>
      </c>
      <c r="AF110" s="487">
        <f t="shared" ca="1" si="272"/>
        <v>0.31959453378325464</v>
      </c>
      <c r="AG110" s="487">
        <f t="shared" si="272"/>
        <v>0.24189900364426098</v>
      </c>
      <c r="AH110" s="487">
        <f t="shared" si="272"/>
        <v>0.22816586228072633</v>
      </c>
      <c r="AI110" s="487">
        <f t="shared" ca="1" si="272"/>
        <v>0.22762218543854695</v>
      </c>
      <c r="AJ110" s="487">
        <f t="shared" ca="1" si="272"/>
        <v>0.1989677896258244</v>
      </c>
      <c r="AK110" s="487">
        <f t="shared" si="272"/>
        <v>0.21210429796856234</v>
      </c>
      <c r="AL110" s="487">
        <f t="shared" si="272"/>
        <v>0.19789942321391485</v>
      </c>
      <c r="AM110" s="487">
        <f t="shared" ca="1" si="272"/>
        <v>0.19961531836136159</v>
      </c>
      <c r="AN110" s="487">
        <f t="shared" ca="1" si="272"/>
        <v>0.20085378746241833</v>
      </c>
      <c r="AO110" s="487">
        <f t="shared" si="272"/>
        <v>0.18909378013446632</v>
      </c>
      <c r="AP110" s="487">
        <f t="shared" si="272"/>
        <v>0.18092715487297606</v>
      </c>
      <c r="AQ110" s="487">
        <f t="shared" ca="1" si="272"/>
        <v>0.1822357712318925</v>
      </c>
      <c r="AR110" s="487">
        <f ca="1">AR109/AN109-1</f>
        <v>0.18442574557014169</v>
      </c>
      <c r="AS110" s="487">
        <f t="shared" ref="AS110:AV110" si="273">AS109/AO109-1</f>
        <v>0.16608070425772525</v>
      </c>
      <c r="AT110" s="487">
        <f t="shared" si="273"/>
        <v>0.16434538490597306</v>
      </c>
      <c r="AU110" s="487">
        <f t="shared" ca="1" si="273"/>
        <v>0.1652786070629364</v>
      </c>
      <c r="AV110" s="487">
        <f t="shared" ca="1" si="273"/>
        <v>0.17206987265511731</v>
      </c>
      <c r="AW110" s="612"/>
    </row>
    <row r="111" spans="1:65" s="278" customFormat="1">
      <c r="A111" s="612"/>
      <c r="B111" s="562" t="s">
        <v>1022</v>
      </c>
      <c r="C111" s="562"/>
      <c r="D111" s="562"/>
      <c r="E111" s="562"/>
      <c r="F111" s="562"/>
      <c r="G111" s="562"/>
      <c r="H111" s="562"/>
      <c r="I111" s="562"/>
      <c r="J111" s="562"/>
      <c r="K111" s="562"/>
      <c r="L111" s="593"/>
      <c r="M111" s="487"/>
      <c r="N111" s="487">
        <f>N109/M109-1</f>
        <v>0.49522760646108654</v>
      </c>
      <c r="O111" s="487">
        <f t="shared" ref="O111:AR111" si="274">O109/N109-1</f>
        <v>0.21237417137245296</v>
      </c>
      <c r="P111" s="487">
        <f t="shared" si="274"/>
        <v>0.16099635479951391</v>
      </c>
      <c r="Q111" s="487">
        <f t="shared" si="274"/>
        <v>-0.18001046572475143</v>
      </c>
      <c r="R111" s="487">
        <f t="shared" si="274"/>
        <v>0.38949159753243978</v>
      </c>
      <c r="S111" s="487">
        <f t="shared" si="274"/>
        <v>0.14038579301898357</v>
      </c>
      <c r="T111" s="487">
        <f t="shared" si="274"/>
        <v>0.11263256812995026</v>
      </c>
      <c r="U111" s="487">
        <f t="shared" si="274"/>
        <v>-0.16891891891891897</v>
      </c>
      <c r="V111" s="487">
        <f t="shared" si="274"/>
        <v>0.47328687572590034</v>
      </c>
      <c r="W111" s="487">
        <f t="shared" si="274"/>
        <v>8.8096176586519581E-2</v>
      </c>
      <c r="X111" s="487">
        <f t="shared" si="274"/>
        <v>0.11945299764535422</v>
      </c>
      <c r="Y111" s="487">
        <f t="shared" si="274"/>
        <v>-0.13526413720572772</v>
      </c>
      <c r="Z111" s="487">
        <f t="shared" si="274"/>
        <v>0.32004864814295053</v>
      </c>
      <c r="AA111" s="487">
        <f t="shared" si="274"/>
        <v>0.15145287030474841</v>
      </c>
      <c r="AB111" s="487">
        <f t="shared" si="274"/>
        <v>4.8378162122238111E-2</v>
      </c>
      <c r="AC111" s="487">
        <f t="shared" si="274"/>
        <v>-0.15245308067643881</v>
      </c>
      <c r="AD111" s="487">
        <f t="shared" si="274"/>
        <v>0.26526466767222368</v>
      </c>
      <c r="AE111" s="487">
        <f t="shared" ca="1" si="274"/>
        <v>0.13542908304880874</v>
      </c>
      <c r="AF111" s="487">
        <f t="shared" ca="1" si="274"/>
        <v>8.3765604125226822E-2</v>
      </c>
      <c r="AG111" s="487">
        <f t="shared" ca="1" si="274"/>
        <v>-0.2023552328365591</v>
      </c>
      <c r="AH111" s="487">
        <f t="shared" si="274"/>
        <v>0.25127314461564687</v>
      </c>
      <c r="AI111" s="487">
        <f t="shared" ca="1" si="274"/>
        <v>0.13492645834855499</v>
      </c>
      <c r="AJ111" s="487">
        <f t="shared" ca="1" si="274"/>
        <v>5.8469019429077118E-2</v>
      </c>
      <c r="AK111" s="487">
        <f t="shared" ca="1" si="274"/>
        <v>-0.19361582613268613</v>
      </c>
      <c r="AL111" s="487">
        <f t="shared" si="274"/>
        <v>0.23660924289290919</v>
      </c>
      <c r="AM111" s="487">
        <f t="shared" ca="1" si="274"/>
        <v>0.13655214975874386</v>
      </c>
      <c r="AN111" s="487">
        <f t="shared" ca="1" si="274"/>
        <v>5.9561770709362305E-2</v>
      </c>
      <c r="AO111" s="487">
        <f t="shared" ca="1" si="274"/>
        <v>-0.20151277736258011</v>
      </c>
      <c r="AP111" s="487">
        <f t="shared" si="274"/>
        <v>0.22811628426313679</v>
      </c>
      <c r="AQ111" s="487">
        <f t="shared" ca="1" si="274"/>
        <v>0.13781159301042845</v>
      </c>
      <c r="AR111" s="487">
        <f t="shared" ca="1" si="274"/>
        <v>6.152450364648665E-2</v>
      </c>
      <c r="AS111" s="487">
        <f t="shared" ref="AS111" ca="1" si="275">AS109/AR109-1</f>
        <v>-0.21388018928477615</v>
      </c>
      <c r="AT111" s="487">
        <f t="shared" ref="AT111" si="276">AT109/AS109-1</f>
        <v>0.2262886457930875</v>
      </c>
      <c r="AU111" s="487">
        <f t="shared" ref="AU111" ca="1" si="277">AU109/AT109-1</f>
        <v>0.13872354834843392</v>
      </c>
      <c r="AV111" s="487">
        <f t="shared" ref="AV111" ca="1" si="278">AV109/AU109-1</f>
        <v>6.7711088376675388E-2</v>
      </c>
      <c r="AW111" s="612"/>
    </row>
    <row r="112" spans="1:65">
      <c r="B112" s="562" t="s">
        <v>374</v>
      </c>
      <c r="C112" s="608">
        <f>C115/C109</f>
        <v>0.53141584611861692</v>
      </c>
      <c r="D112" s="608">
        <f t="shared" ref="D112:J112" si="279">D115/D109</f>
        <v>0.58372944753429734</v>
      </c>
      <c r="E112" s="608">
        <f t="shared" si="279"/>
        <v>0.63329953757511315</v>
      </c>
      <c r="F112" s="608">
        <f t="shared" si="279"/>
        <v>0.68480862273799459</v>
      </c>
      <c r="G112" s="608">
        <f t="shared" ca="1" si="279"/>
        <v>0.71397192510858676</v>
      </c>
      <c r="H112" s="608">
        <f t="shared" ca="1" si="279"/>
        <v>0.72724443022409324</v>
      </c>
      <c r="I112" s="608">
        <f t="shared" ca="1" si="279"/>
        <v>0.73795747853438098</v>
      </c>
      <c r="J112" s="608">
        <f t="shared" ca="1" si="279"/>
        <v>0.74695683639017652</v>
      </c>
      <c r="K112" s="608">
        <f t="shared" ref="K112" ca="1" si="280">K115/K109</f>
        <v>0.75325210984363833</v>
      </c>
      <c r="L112" s="593"/>
      <c r="M112" s="475">
        <v>0.50770000000000004</v>
      </c>
      <c r="N112" s="475">
        <v>0.52100000000000002</v>
      </c>
      <c r="O112" s="475">
        <v>0.5343</v>
      </c>
      <c r="P112" s="475">
        <v>0.54759999999999998</v>
      </c>
      <c r="Q112" s="475">
        <v>0.56089999999999995</v>
      </c>
      <c r="R112" s="475">
        <v>0.57420000000000004</v>
      </c>
      <c r="S112" s="475">
        <v>0.58750000000000002</v>
      </c>
      <c r="T112" s="475">
        <v>0.6008</v>
      </c>
      <c r="U112" s="487">
        <f t="shared" ref="U112:AJ112" si="281">U115/U109</f>
        <v>0.63574332171893155</v>
      </c>
      <c r="V112" s="487">
        <f t="shared" si="281"/>
        <v>0.59824595979503348</v>
      </c>
      <c r="W112" s="487">
        <f t="shared" si="281"/>
        <v>0.62669806194529976</v>
      </c>
      <c r="X112" s="487">
        <f t="shared" si="281"/>
        <v>0.66661273359760531</v>
      </c>
      <c r="Y112" s="487">
        <f t="shared" si="281"/>
        <v>0.69136495462625125</v>
      </c>
      <c r="Z112" s="487">
        <f t="shared" si="281"/>
        <v>0.66477675407512404</v>
      </c>
      <c r="AA112" s="487">
        <f t="shared" si="281"/>
        <v>0.68671139287253025</v>
      </c>
      <c r="AB112" s="487">
        <f t="shared" si="281"/>
        <v>0.69547349263194969</v>
      </c>
      <c r="AC112" s="487">
        <f t="shared" si="281"/>
        <v>0.70540536746515259</v>
      </c>
      <c r="AD112" s="487">
        <f t="shared" si="281"/>
        <v>0.69763169679413028</v>
      </c>
      <c r="AE112" s="487">
        <f t="shared" ca="1" si="281"/>
        <v>0.71473556077008293</v>
      </c>
      <c r="AF112" s="487">
        <f t="shared" ca="1" si="281"/>
        <v>0.73204834543486919</v>
      </c>
      <c r="AG112" s="487">
        <f t="shared" si="281"/>
        <v>0.71568683153617374</v>
      </c>
      <c r="AH112" s="487">
        <f t="shared" si="281"/>
        <v>0.71571435500434399</v>
      </c>
      <c r="AI112" s="487">
        <f t="shared" ca="1" si="281"/>
        <v>0.73358629165584255</v>
      </c>
      <c r="AJ112" s="487">
        <f t="shared" ca="1" si="281"/>
        <v>0.73854000607836301</v>
      </c>
      <c r="AK112" s="487">
        <f t="shared" ref="AK112:AV112" si="282">AK115/AK109</f>
        <v>0.72015990385563389</v>
      </c>
      <c r="AL112" s="487">
        <f t="shared" si="282"/>
        <v>0.72872769415785288</v>
      </c>
      <c r="AM112" s="487">
        <f t="shared" ca="1" si="282"/>
        <v>0.74585620449477641</v>
      </c>
      <c r="AN112" s="487">
        <f t="shared" ca="1" si="282"/>
        <v>0.75011836080156291</v>
      </c>
      <c r="AO112" s="487">
        <f t="shared" si="282"/>
        <v>0.7257537058933502</v>
      </c>
      <c r="AP112" s="487">
        <f t="shared" si="282"/>
        <v>0.73946665900328956</v>
      </c>
      <c r="AQ112" s="487">
        <f t="shared" ca="1" si="282"/>
        <v>0.75600983093321761</v>
      </c>
      <c r="AR112" s="487">
        <f t="shared" ca="1" si="282"/>
        <v>0.75892417794974776</v>
      </c>
      <c r="AS112" s="487">
        <f t="shared" si="282"/>
        <v>0.73256218355345593</v>
      </c>
      <c r="AT112" s="487">
        <f t="shared" si="282"/>
        <v>0.74751620804538033</v>
      </c>
      <c r="AU112" s="487">
        <f t="shared" ca="1" si="282"/>
        <v>0.7636274156339643</v>
      </c>
      <c r="AV112" s="487">
        <f t="shared" ca="1" si="282"/>
        <v>0.7621294231434077</v>
      </c>
    </row>
    <row r="113" spans="1:65">
      <c r="B113" s="562" t="s">
        <v>375</v>
      </c>
      <c r="C113" s="608">
        <f>C121/C109</f>
        <v>0.46858415388138303</v>
      </c>
      <c r="D113" s="608">
        <f t="shared" ref="D113:J113" si="283">D121/D109</f>
        <v>0.4162705524657026</v>
      </c>
      <c r="E113" s="608">
        <f t="shared" si="283"/>
        <v>0.3667004624248868</v>
      </c>
      <c r="F113" s="608">
        <f t="shared" si="283"/>
        <v>0.31519137726200513</v>
      </c>
      <c r="G113" s="608">
        <f t="shared" ca="1" si="283"/>
        <v>0.2860280748914133</v>
      </c>
      <c r="H113" s="608">
        <f t="shared" ca="1" si="283"/>
        <v>0.27275556977590687</v>
      </c>
      <c r="I113" s="608">
        <f t="shared" ca="1" si="283"/>
        <v>0.26204252146561902</v>
      </c>
      <c r="J113" s="608">
        <f t="shared" ca="1" si="283"/>
        <v>0.25304316360982354</v>
      </c>
      <c r="K113" s="608">
        <f t="shared" ref="K113" ca="1" si="284">K121/K109</f>
        <v>0.2467478901563617</v>
      </c>
      <c r="L113" s="593"/>
      <c r="M113" s="475">
        <v>0.49229999999999996</v>
      </c>
      <c r="N113" s="475">
        <v>0.47899999999999998</v>
      </c>
      <c r="O113" s="475">
        <v>0.4657</v>
      </c>
      <c r="P113" s="475">
        <v>0.45240000000000002</v>
      </c>
      <c r="Q113" s="475">
        <v>0.43909999999999999</v>
      </c>
      <c r="R113" s="475">
        <v>0.42580000000000001</v>
      </c>
      <c r="S113" s="475">
        <v>0.41249999999999998</v>
      </c>
      <c r="T113" s="475">
        <v>0.3992</v>
      </c>
      <c r="U113" s="487">
        <f t="shared" ref="U113:AJ113" si="285">U121/U109</f>
        <v>0.36425667828106856</v>
      </c>
      <c r="V113" s="487">
        <f t="shared" si="285"/>
        <v>0.40175404020496652</v>
      </c>
      <c r="W113" s="487">
        <f t="shared" si="285"/>
        <v>0.37330193805470024</v>
      </c>
      <c r="X113" s="487">
        <f t="shared" si="285"/>
        <v>0.33338726640239458</v>
      </c>
      <c r="Y113" s="487">
        <f t="shared" si="285"/>
        <v>0.3086350453737487</v>
      </c>
      <c r="Z113" s="487">
        <f t="shared" si="285"/>
        <v>0.33522324592487596</v>
      </c>
      <c r="AA113" s="487">
        <f t="shared" si="285"/>
        <v>0.3132886071274697</v>
      </c>
      <c r="AB113" s="487">
        <f t="shared" si="285"/>
        <v>0.3045265073680502</v>
      </c>
      <c r="AC113" s="487">
        <f t="shared" si="285"/>
        <v>0.29459463253484741</v>
      </c>
      <c r="AD113" s="487">
        <f t="shared" si="285"/>
        <v>0.30236830320586972</v>
      </c>
      <c r="AE113" s="487">
        <f t="shared" ca="1" si="285"/>
        <v>0.28526443922991701</v>
      </c>
      <c r="AF113" s="487">
        <f t="shared" ca="1" si="285"/>
        <v>0.2679516545651307</v>
      </c>
      <c r="AG113" s="487">
        <f t="shared" si="285"/>
        <v>0.28431316846382626</v>
      </c>
      <c r="AH113" s="487">
        <f t="shared" si="285"/>
        <v>0.28428564499565606</v>
      </c>
      <c r="AI113" s="487">
        <f t="shared" ca="1" si="285"/>
        <v>0.26641370834415751</v>
      </c>
      <c r="AJ113" s="487">
        <f t="shared" ca="1" si="285"/>
        <v>0.26145999392163705</v>
      </c>
      <c r="AK113" s="487">
        <f t="shared" ref="AK113:AV113" si="286">AK121/AK109</f>
        <v>0.27984009614436617</v>
      </c>
      <c r="AL113" s="487">
        <f t="shared" si="286"/>
        <v>0.27127230584214707</v>
      </c>
      <c r="AM113" s="487">
        <f t="shared" ca="1" si="286"/>
        <v>0.2541437955052237</v>
      </c>
      <c r="AN113" s="487">
        <f t="shared" ca="1" si="286"/>
        <v>0.24988163919843703</v>
      </c>
      <c r="AO113" s="487">
        <f t="shared" si="286"/>
        <v>0.27424629410664964</v>
      </c>
      <c r="AP113" s="487">
        <f t="shared" si="286"/>
        <v>0.26053334099671033</v>
      </c>
      <c r="AQ113" s="487">
        <f t="shared" ca="1" si="286"/>
        <v>0.24399016906678236</v>
      </c>
      <c r="AR113" s="487">
        <f t="shared" ca="1" si="286"/>
        <v>0.24107582205025221</v>
      </c>
      <c r="AS113" s="487">
        <f t="shared" si="286"/>
        <v>0.26743781644654396</v>
      </c>
      <c r="AT113" s="487">
        <f t="shared" si="286"/>
        <v>0.25248379195461962</v>
      </c>
      <c r="AU113" s="487">
        <f t="shared" ca="1" si="286"/>
        <v>0.23637258436603559</v>
      </c>
      <c r="AV113" s="487">
        <f t="shared" ca="1" si="286"/>
        <v>0.23787057685659224</v>
      </c>
    </row>
    <row r="114" spans="1:65">
      <c r="B114" s="450"/>
      <c r="C114" s="450"/>
      <c r="D114" s="450"/>
      <c r="E114" s="450"/>
      <c r="F114" s="450"/>
      <c r="G114" s="450"/>
      <c r="H114" s="450"/>
      <c r="I114" s="450"/>
      <c r="J114" s="450"/>
      <c r="K114" s="450"/>
      <c r="M114" s="450"/>
      <c r="N114" s="450"/>
      <c r="O114" s="450"/>
      <c r="P114" s="450"/>
      <c r="Q114" s="450"/>
      <c r="R114" s="450"/>
      <c r="S114" s="450"/>
      <c r="T114" s="450"/>
      <c r="U114" s="450"/>
      <c r="V114" s="450"/>
      <c r="W114" s="450"/>
      <c r="X114" s="450"/>
      <c r="Y114" s="450"/>
      <c r="Z114" s="450"/>
      <c r="AA114" s="450"/>
      <c r="AB114" s="450"/>
      <c r="AC114" s="450"/>
      <c r="AD114" s="450"/>
      <c r="AE114" s="450"/>
      <c r="AF114" s="450"/>
      <c r="AG114" s="450"/>
      <c r="AH114" s="450"/>
      <c r="AI114" s="450"/>
      <c r="AJ114" s="450"/>
      <c r="AK114" s="450"/>
      <c r="AL114" s="450"/>
      <c r="AM114" s="450"/>
      <c r="AN114" s="450"/>
      <c r="AO114" s="450"/>
      <c r="AP114" s="450"/>
      <c r="AQ114" s="450"/>
      <c r="AR114" s="450"/>
      <c r="AS114" s="450"/>
      <c r="AT114" s="450"/>
      <c r="AU114" s="450"/>
      <c r="AV114" s="450"/>
    </row>
    <row r="115" spans="1:65" s="258" customFormat="1">
      <c r="A115" s="573"/>
      <c r="B115" s="574" t="s">
        <v>357</v>
      </c>
      <c r="C115" s="588">
        <f>SUM(M115:P115)</f>
        <v>92.827719999999999</v>
      </c>
      <c r="D115" s="588">
        <f>SUM(Q115:T115)</f>
        <v>157.43183199999999</v>
      </c>
      <c r="E115" s="588">
        <f>SUM(U115:X115)</f>
        <v>256.10000000000002</v>
      </c>
      <c r="F115" s="588">
        <f>SUM(Y115:AB115)</f>
        <v>397.72999999999996</v>
      </c>
      <c r="G115" s="588">
        <f ca="1">SUM(AC115:AF115)</f>
        <v>542.03337347554134</v>
      </c>
      <c r="H115" s="588">
        <f ca="1">SUM(AG115:AJ115)</f>
        <v>674.66923601681469</v>
      </c>
      <c r="I115" s="588">
        <f ca="1">SUM(AK115:AN115)</f>
        <v>822.88057378498854</v>
      </c>
      <c r="J115" s="588">
        <f ca="1">SUM(AO115:AR115)</f>
        <v>986.08247798376533</v>
      </c>
      <c r="K115" s="588">
        <f ca="1">SUM(AS115:AV115)</f>
        <v>1160.6387982364513</v>
      </c>
      <c r="L115" s="600"/>
      <c r="M115" s="488">
        <f t="shared" ref="M115:T115" si="287">M109*M112</f>
        <v>13.829748</v>
      </c>
      <c r="N115" s="488">
        <f t="shared" si="287"/>
        <v>21.220330000000001</v>
      </c>
      <c r="O115" s="488">
        <f t="shared" si="287"/>
        <v>26.383734</v>
      </c>
      <c r="P115" s="488">
        <f t="shared" si="287"/>
        <v>31.393907999999996</v>
      </c>
      <c r="Q115" s="488">
        <f t="shared" si="287"/>
        <v>26.367908999999997</v>
      </c>
      <c r="R115" s="488">
        <f t="shared" si="287"/>
        <v>37.506743999999998</v>
      </c>
      <c r="S115" s="488">
        <f t="shared" si="287"/>
        <v>43.762875000000001</v>
      </c>
      <c r="T115" s="488">
        <f t="shared" si="287"/>
        <v>49.794303999999997</v>
      </c>
      <c r="U115" s="461">
        <v>43.79</v>
      </c>
      <c r="V115" s="461">
        <v>60.71</v>
      </c>
      <c r="W115" s="461">
        <v>69.2</v>
      </c>
      <c r="X115" s="461">
        <v>82.4</v>
      </c>
      <c r="Y115" s="461">
        <v>73.900000000000006</v>
      </c>
      <c r="Z115" s="461">
        <v>93.8</v>
      </c>
      <c r="AA115" s="489">
        <v>111.57</v>
      </c>
      <c r="AB115" s="461">
        <v>118.46</v>
      </c>
      <c r="AC115" s="461">
        <f t="shared" ref="AC115:AR115" si="288">AC117*AC118</f>
        <v>101.83420000000001</v>
      </c>
      <c r="AD115" s="461">
        <f t="shared" si="288"/>
        <v>127.4273</v>
      </c>
      <c r="AE115" s="461">
        <f t="shared" si="288"/>
        <v>148.23190199999999</v>
      </c>
      <c r="AF115" s="461">
        <f t="shared" ca="1" si="288"/>
        <v>164.53997147554128</v>
      </c>
      <c r="AG115" s="461">
        <f t="shared" si="288"/>
        <v>128.311092</v>
      </c>
      <c r="AH115" s="461">
        <f t="shared" si="288"/>
        <v>160.55839799999998</v>
      </c>
      <c r="AI115" s="461">
        <f t="shared" si="288"/>
        <v>186.77219652000002</v>
      </c>
      <c r="AJ115" s="461">
        <f t="shared" ca="1" si="288"/>
        <v>199.02754949681474</v>
      </c>
      <c r="AK115" s="461">
        <f t="shared" si="288"/>
        <v>156.49847269055999</v>
      </c>
      <c r="AL115" s="461">
        <f t="shared" si="288"/>
        <v>195.82986687263997</v>
      </c>
      <c r="AM115" s="461">
        <f t="shared" si="288"/>
        <v>227.8023126515136</v>
      </c>
      <c r="AN115" s="461">
        <f t="shared" ca="1" si="288"/>
        <v>242.74992157027501</v>
      </c>
      <c r="AO115" s="461">
        <f t="shared" si="288"/>
        <v>187.53681477927873</v>
      </c>
      <c r="AP115" s="461">
        <f t="shared" si="288"/>
        <v>234.66880436949066</v>
      </c>
      <c r="AQ115" s="461">
        <f t="shared" si="288"/>
        <v>272.98234531968825</v>
      </c>
      <c r="AR115" s="461">
        <f t="shared" ca="1" si="288"/>
        <v>290.89451351530761</v>
      </c>
      <c r="AS115" s="461">
        <f t="shared" ref="AS115:AV115" si="289">AS117*AS118</f>
        <v>220.73458173150661</v>
      </c>
      <c r="AT115" s="461">
        <f t="shared" si="289"/>
        <v>276.20987611897789</v>
      </c>
      <c r="AU115" s="461">
        <f t="shared" si="289"/>
        <v>321.30568008817949</v>
      </c>
      <c r="AV115" s="461">
        <f t="shared" ca="1" si="289"/>
        <v>342.38866029778728</v>
      </c>
      <c r="AW115" s="460"/>
      <c r="BF115" s="259"/>
      <c r="BG115" s="259"/>
      <c r="BH115" s="259"/>
      <c r="BI115" s="259"/>
      <c r="BJ115" s="259"/>
      <c r="BK115" s="259"/>
      <c r="BL115" s="259"/>
      <c r="BM115" s="259"/>
    </row>
    <row r="116" spans="1:65" s="267" customFormat="1">
      <c r="A116" s="465"/>
      <c r="B116" s="575" t="s">
        <v>358</v>
      </c>
      <c r="C116" s="575"/>
      <c r="D116" s="495">
        <f>D115/C115-1</f>
        <v>0.69595711281069916</v>
      </c>
      <c r="E116" s="495">
        <f t="shared" ref="E116:K116" si="290">E115/D115-1</f>
        <v>0.62673581795071809</v>
      </c>
      <c r="F116" s="495">
        <f t="shared" si="290"/>
        <v>0.55302616165560292</v>
      </c>
      <c r="G116" s="495">
        <f t="shared" ca="1" si="290"/>
        <v>0.36281742256189231</v>
      </c>
      <c r="H116" s="495">
        <f t="shared" ca="1" si="290"/>
        <v>0.24470054618741743</v>
      </c>
      <c r="I116" s="495">
        <f t="shared" ca="1" si="290"/>
        <v>0.2196800000000001</v>
      </c>
      <c r="J116" s="495">
        <f t="shared" ca="1" si="290"/>
        <v>0.19833000000000012</v>
      </c>
      <c r="K116" s="495">
        <f t="shared" ca="1" si="290"/>
        <v>0.17701999999999973</v>
      </c>
      <c r="L116" s="597"/>
      <c r="M116" s="495"/>
      <c r="N116" s="495"/>
      <c r="O116" s="495"/>
      <c r="P116" s="495"/>
      <c r="Q116" s="495">
        <f t="shared" ref="Q116:AQ116" si="291">Q115/M115-1</f>
        <v>0.90660805966963376</v>
      </c>
      <c r="R116" s="495">
        <f t="shared" si="291"/>
        <v>0.76749108048743797</v>
      </c>
      <c r="S116" s="495">
        <f t="shared" si="291"/>
        <v>0.65870664857370076</v>
      </c>
      <c r="T116" s="495">
        <f t="shared" si="291"/>
        <v>0.58611358611358622</v>
      </c>
      <c r="U116" s="495">
        <f t="shared" si="291"/>
        <v>0.66073085279534305</v>
      </c>
      <c r="V116" s="495">
        <f t="shared" si="291"/>
        <v>0.61864223671348295</v>
      </c>
      <c r="W116" s="495">
        <f t="shared" si="291"/>
        <v>0.58124894673853134</v>
      </c>
      <c r="X116" s="495">
        <f t="shared" si="291"/>
        <v>0.65480774668524355</v>
      </c>
      <c r="Y116" s="495">
        <f t="shared" si="291"/>
        <v>0.68759990865494425</v>
      </c>
      <c r="Z116" s="495">
        <f t="shared" si="291"/>
        <v>0.54505023884038861</v>
      </c>
      <c r="AA116" s="495">
        <f t="shared" si="291"/>
        <v>0.61228323699421949</v>
      </c>
      <c r="AB116" s="495">
        <f t="shared" si="291"/>
        <v>0.4376213592233007</v>
      </c>
      <c r="AC116" s="495">
        <f t="shared" si="291"/>
        <v>0.37800000000000011</v>
      </c>
      <c r="AD116" s="495">
        <f t="shared" si="291"/>
        <v>0.35850000000000004</v>
      </c>
      <c r="AE116" s="495">
        <f t="shared" si="291"/>
        <v>0.3286</v>
      </c>
      <c r="AF116" s="495">
        <f t="shared" ca="1" si="291"/>
        <v>0.38899182403799837</v>
      </c>
      <c r="AG116" s="495">
        <f t="shared" si="291"/>
        <v>0.26</v>
      </c>
      <c r="AH116" s="495">
        <f t="shared" si="291"/>
        <v>0.25999999999999979</v>
      </c>
      <c r="AI116" s="495">
        <f t="shared" si="291"/>
        <v>0.26000000000000023</v>
      </c>
      <c r="AJ116" s="495">
        <f t="shared" ca="1" si="291"/>
        <v>0.20960000000000001</v>
      </c>
      <c r="AK116" s="495">
        <f t="shared" si="291"/>
        <v>0.21967999999999988</v>
      </c>
      <c r="AL116" s="495">
        <f t="shared" si="291"/>
        <v>0.21967999999999988</v>
      </c>
      <c r="AM116" s="495">
        <f t="shared" si="291"/>
        <v>0.21967999999999988</v>
      </c>
      <c r="AN116" s="495">
        <f t="shared" ca="1" si="291"/>
        <v>0.2196800000000001</v>
      </c>
      <c r="AO116" s="495">
        <f t="shared" si="291"/>
        <v>0.1983299999999999</v>
      </c>
      <c r="AP116" s="495">
        <f t="shared" si="291"/>
        <v>0.19833000000000012</v>
      </c>
      <c r="AQ116" s="495">
        <f t="shared" si="291"/>
        <v>0.1983299999999999</v>
      </c>
      <c r="AR116" s="495">
        <f ca="1">AR115/AN115-1</f>
        <v>0.1983299999999999</v>
      </c>
      <c r="AS116" s="495">
        <f t="shared" ref="AS116:AV116" si="292">AS115/AO115-1</f>
        <v>0.17701999999999973</v>
      </c>
      <c r="AT116" s="495">
        <f t="shared" si="292"/>
        <v>0.17701999999999996</v>
      </c>
      <c r="AU116" s="495">
        <f t="shared" si="292"/>
        <v>0.17702000000000018</v>
      </c>
      <c r="AV116" s="495">
        <f t="shared" ca="1" si="292"/>
        <v>0.17701999999999973</v>
      </c>
      <c r="AW116" s="465"/>
      <c r="BG116" s="269"/>
      <c r="BH116" s="269"/>
      <c r="BI116" s="269"/>
      <c r="BJ116" s="269"/>
      <c r="BK116" s="269"/>
      <c r="BL116" s="269"/>
      <c r="BM116" s="269"/>
    </row>
    <row r="117" spans="1:65" s="276" customFormat="1">
      <c r="A117" s="499"/>
      <c r="B117" s="563" t="s">
        <v>359</v>
      </c>
      <c r="C117" s="448">
        <f>P117</f>
        <v>6.97</v>
      </c>
      <c r="D117" s="448">
        <f>T117</f>
        <v>8.8930000000000007</v>
      </c>
      <c r="E117" s="448">
        <f t="shared" ref="E117" si="293">X117</f>
        <v>9.8859999999999992</v>
      </c>
      <c r="F117" s="448">
        <f t="shared" ref="F117" si="294">AB117</f>
        <v>10.976000000000001</v>
      </c>
      <c r="G117" s="448">
        <f>AF117</f>
        <v>11.085760000000001</v>
      </c>
      <c r="H117" s="448">
        <f>AJ117</f>
        <v>11.174446080000001</v>
      </c>
      <c r="I117" s="448">
        <f>AN117</f>
        <v>11.263841648640001</v>
      </c>
      <c r="J117" s="448">
        <f>AR117</f>
        <v>11.342688540180481</v>
      </c>
      <c r="K117" s="448">
        <f>AV117</f>
        <v>11.410744671421563</v>
      </c>
      <c r="L117" s="587"/>
      <c r="M117" s="468">
        <f t="shared" ref="M117:AR117" si="295">M6</f>
        <v>5.4939999999999998</v>
      </c>
      <c r="N117" s="468">
        <f t="shared" si="295"/>
        <v>6</v>
      </c>
      <c r="O117" s="468">
        <f t="shared" si="295"/>
        <v>6.4950000000000001</v>
      </c>
      <c r="P117" s="468">
        <f t="shared" si="295"/>
        <v>6.97</v>
      </c>
      <c r="Q117" s="468">
        <f t="shared" si="295"/>
        <v>7.6239999999999997</v>
      </c>
      <c r="R117" s="468">
        <f t="shared" si="295"/>
        <v>8.0570000000000004</v>
      </c>
      <c r="S117" s="468">
        <f t="shared" si="295"/>
        <v>8.4610000000000003</v>
      </c>
      <c r="T117" s="468">
        <f t="shared" si="295"/>
        <v>8.8930000000000007</v>
      </c>
      <c r="U117" s="468">
        <f t="shared" si="295"/>
        <v>9.8859999999999992</v>
      </c>
      <c r="V117" s="468">
        <f t="shared" si="295"/>
        <v>10.4</v>
      </c>
      <c r="W117" s="468">
        <f t="shared" si="295"/>
        <v>9.8000000000000007</v>
      </c>
      <c r="X117" s="468">
        <f t="shared" si="295"/>
        <v>9.8859999999999992</v>
      </c>
      <c r="Y117" s="468">
        <f t="shared" si="295"/>
        <v>10.4</v>
      </c>
      <c r="Z117" s="468">
        <f t="shared" si="295"/>
        <v>10.577</v>
      </c>
      <c r="AA117" s="468">
        <f t="shared" si="295"/>
        <v>10.824999999999999</v>
      </c>
      <c r="AB117" s="468">
        <f t="shared" si="295"/>
        <v>10.976000000000001</v>
      </c>
      <c r="AC117" s="468">
        <f t="shared" si="295"/>
        <v>11.024000000000001</v>
      </c>
      <c r="AD117" s="468">
        <f t="shared" si="295"/>
        <v>11.052964999999999</v>
      </c>
      <c r="AE117" s="468">
        <f t="shared" si="295"/>
        <v>11.06315</v>
      </c>
      <c r="AF117" s="468">
        <f t="shared" si="295"/>
        <v>11.085760000000001</v>
      </c>
      <c r="AG117" s="468">
        <f t="shared" si="295"/>
        <v>11.112192</v>
      </c>
      <c r="AH117" s="468">
        <f t="shared" si="295"/>
        <v>11.141388719999998</v>
      </c>
      <c r="AI117" s="468">
        <f t="shared" si="295"/>
        <v>11.1516552</v>
      </c>
      <c r="AJ117" s="468">
        <f t="shared" si="295"/>
        <v>11.174446080000001</v>
      </c>
      <c r="AK117" s="468">
        <f t="shared" si="295"/>
        <v>11.201089536</v>
      </c>
      <c r="AL117" s="468">
        <f t="shared" si="295"/>
        <v>11.230519829759999</v>
      </c>
      <c r="AM117" s="468">
        <f t="shared" si="295"/>
        <v>11.2408684416</v>
      </c>
      <c r="AN117" s="468">
        <f t="shared" si="295"/>
        <v>11.263841648640001</v>
      </c>
      <c r="AO117" s="468">
        <f t="shared" si="295"/>
        <v>11.279497162751998</v>
      </c>
      <c r="AP117" s="468">
        <f t="shared" si="295"/>
        <v>11.309133468568318</v>
      </c>
      <c r="AQ117" s="468">
        <f t="shared" si="295"/>
        <v>11.319554520691199</v>
      </c>
      <c r="AR117" s="468">
        <f t="shared" si="295"/>
        <v>11.342688540180481</v>
      </c>
      <c r="AS117" s="468">
        <f t="shared" ref="AS117:AV117" si="296">AS6</f>
        <v>11.347174145728509</v>
      </c>
      <c r="AT117" s="468">
        <f t="shared" si="296"/>
        <v>11.376988269379728</v>
      </c>
      <c r="AU117" s="468">
        <f t="shared" si="296"/>
        <v>11.387471847815346</v>
      </c>
      <c r="AV117" s="468">
        <f t="shared" si="296"/>
        <v>11.410744671421563</v>
      </c>
      <c r="AW117" s="499"/>
    </row>
    <row r="118" spans="1:65">
      <c r="B118" s="563" t="s">
        <v>360</v>
      </c>
      <c r="C118" s="468">
        <f>C115/4/C117</f>
        <v>3.3295451936872311</v>
      </c>
      <c r="D118" s="468">
        <f t="shared" ref="D118:J118" si="297">D115/4/D117</f>
        <v>4.425723377937703</v>
      </c>
      <c r="E118" s="468">
        <f t="shared" si="297"/>
        <v>6.4763301638680977</v>
      </c>
      <c r="F118" s="468">
        <f t="shared" si="297"/>
        <v>9.0590834548104944</v>
      </c>
      <c r="G118" s="468">
        <f t="shared" ca="1" si="297"/>
        <v>12.223640361047446</v>
      </c>
      <c r="H118" s="468">
        <f t="shared" ca="1" si="297"/>
        <v>15.094019676383249</v>
      </c>
      <c r="I118" s="468">
        <f t="shared" ca="1" si="297"/>
        <v>18.263763808423729</v>
      </c>
      <c r="J118" s="468">
        <f t="shared" ca="1" si="297"/>
        <v>21.73387893202424</v>
      </c>
      <c r="K118" s="468">
        <f t="shared" ref="K118" ca="1" si="298">K115/4/K117</f>
        <v>25.428638350468358</v>
      </c>
      <c r="L118" s="587"/>
      <c r="M118" s="468">
        <f>M115/M117</f>
        <v>2.5172457226064799</v>
      </c>
      <c r="N118" s="468">
        <f t="shared" ref="N118:AA118" si="299">N115/N117</f>
        <v>3.5367216666666668</v>
      </c>
      <c r="O118" s="468">
        <f t="shared" si="299"/>
        <v>4.0621607390300234</v>
      </c>
      <c r="P118" s="468">
        <f t="shared" si="299"/>
        <v>4.5041474892395978</v>
      </c>
      <c r="Q118" s="468">
        <f t="shared" si="299"/>
        <v>3.4585400052465896</v>
      </c>
      <c r="R118" s="468">
        <f t="shared" si="299"/>
        <v>4.6551748789872152</v>
      </c>
      <c r="S118" s="468">
        <f t="shared" si="299"/>
        <v>5.1723052830634675</v>
      </c>
      <c r="T118" s="468">
        <f t="shared" si="299"/>
        <v>5.5992695378387491</v>
      </c>
      <c r="U118" s="468">
        <f t="shared" si="299"/>
        <v>4.4294962573336036</v>
      </c>
      <c r="V118" s="468">
        <f t="shared" si="299"/>
        <v>5.8374999999999995</v>
      </c>
      <c r="W118" s="468">
        <f t="shared" si="299"/>
        <v>7.0612244897959178</v>
      </c>
      <c r="X118" s="468">
        <f t="shared" si="299"/>
        <v>8.335019219097715</v>
      </c>
      <c r="Y118" s="468">
        <f t="shared" si="299"/>
        <v>7.1057692307692308</v>
      </c>
      <c r="Z118" s="468">
        <f t="shared" si="299"/>
        <v>8.8682991396426214</v>
      </c>
      <c r="AA118" s="468">
        <f t="shared" si="299"/>
        <v>10.306697459584296</v>
      </c>
      <c r="AB118" s="468">
        <f ca="1">X118*(1+AB119)</f>
        <v>12.165952454167556</v>
      </c>
      <c r="AC118" s="468">
        <f t="shared" ref="AC118:AQ118" si="300">Y118*(1+AC119)</f>
        <v>9.2375000000000007</v>
      </c>
      <c r="AD118" s="468">
        <f t="shared" si="300"/>
        <v>11.528788881535409</v>
      </c>
      <c r="AE118" s="468">
        <f t="shared" si="300"/>
        <v>13.398706697459584</v>
      </c>
      <c r="AF118" s="468">
        <f t="shared" ca="1" si="300"/>
        <v>14.842461994084418</v>
      </c>
      <c r="AG118" s="468">
        <f t="shared" si="300"/>
        <v>11.546875</v>
      </c>
      <c r="AH118" s="468">
        <f t="shared" si="300"/>
        <v>14.41098610191926</v>
      </c>
      <c r="AI118" s="468">
        <f t="shared" si="300"/>
        <v>16.748383371824481</v>
      </c>
      <c r="AJ118" s="468">
        <f t="shared" ca="1" si="300"/>
        <v>17.810954392901301</v>
      </c>
      <c r="AK118" s="468">
        <f t="shared" si="300"/>
        <v>13.971718749999999</v>
      </c>
      <c r="AL118" s="468">
        <f t="shared" si="300"/>
        <v>17.437293183322303</v>
      </c>
      <c r="AM118" s="468">
        <f t="shared" si="300"/>
        <v>20.265543879907622</v>
      </c>
      <c r="AN118" s="468">
        <f t="shared" ca="1" si="300"/>
        <v>21.551254815410573</v>
      </c>
      <c r="AO118" s="468">
        <f t="shared" si="300"/>
        <v>16.6263453125</v>
      </c>
      <c r="AP118" s="468">
        <f t="shared" si="300"/>
        <v>20.750378888153541</v>
      </c>
      <c r="AQ118" s="468">
        <f t="shared" si="300"/>
        <v>24.115997217090069</v>
      </c>
      <c r="AR118" s="468">
        <f ca="1">AN118*(1+AR119)</f>
        <v>25.645993230338579</v>
      </c>
      <c r="AS118" s="468">
        <f t="shared" ref="AS118:AV118" si="301">AO118*(1+AS119)</f>
        <v>19.452824015624998</v>
      </c>
      <c r="AT118" s="468">
        <f t="shared" si="301"/>
        <v>24.277943299139643</v>
      </c>
      <c r="AU118" s="468">
        <f t="shared" si="301"/>
        <v>28.21571674399538</v>
      </c>
      <c r="AV118" s="468">
        <f t="shared" ca="1" si="301"/>
        <v>30.005812079496135</v>
      </c>
      <c r="BF118" s="259"/>
      <c r="BG118" s="259"/>
      <c r="BH118" s="259"/>
      <c r="BI118" s="259"/>
      <c r="BJ118" s="259"/>
      <c r="BK118" s="259"/>
      <c r="BL118" s="259"/>
      <c r="BM118" s="259"/>
    </row>
    <row r="119" spans="1:65">
      <c r="B119" s="567" t="s">
        <v>361</v>
      </c>
      <c r="C119" s="567"/>
      <c r="D119" s="476">
        <f>D118/C118-1</f>
        <v>0.32922760331615541</v>
      </c>
      <c r="E119" s="476">
        <f t="shared" ref="E119:K119" si="302">E118/D118-1</f>
        <v>0.46333821859556346</v>
      </c>
      <c r="F119" s="476">
        <f t="shared" si="302"/>
        <v>0.39879889159322968</v>
      </c>
      <c r="G119" s="476">
        <f t="shared" ca="1" si="302"/>
        <v>0.34932418075434879</v>
      </c>
      <c r="H119" s="476">
        <f t="shared" ca="1" si="302"/>
        <v>0.23482197042402508</v>
      </c>
      <c r="I119" s="476">
        <f t="shared" ca="1" si="302"/>
        <v>0.20999999999999974</v>
      </c>
      <c r="J119" s="476">
        <f t="shared" ca="1" si="302"/>
        <v>0.19000000000000017</v>
      </c>
      <c r="K119" s="476">
        <f t="shared" ca="1" si="302"/>
        <v>0.16999999999999993</v>
      </c>
      <c r="L119" s="595"/>
      <c r="M119" s="450"/>
      <c r="N119" s="450"/>
      <c r="O119" s="450"/>
      <c r="P119" s="450"/>
      <c r="Q119" s="476">
        <f>Q118/M118-1</f>
        <v>0.37393817941041019</v>
      </c>
      <c r="R119" s="476">
        <f t="shared" ref="R119:AB119" si="303">R118/N118-1</f>
        <v>0.31624009965553279</v>
      </c>
      <c r="S119" s="476">
        <f t="shared" si="303"/>
        <v>0.27328917178657197</v>
      </c>
      <c r="T119" s="476">
        <f t="shared" si="303"/>
        <v>0.24313636514243742</v>
      </c>
      <c r="U119" s="476">
        <f t="shared" si="303"/>
        <v>0.28074165706167276</v>
      </c>
      <c r="V119" s="476">
        <f t="shared" si="303"/>
        <v>0.25398081742312817</v>
      </c>
      <c r="W119" s="476">
        <f t="shared" si="303"/>
        <v>0.36519870799537868</v>
      </c>
      <c r="X119" s="476">
        <f t="shared" si="303"/>
        <v>0.48859046037546761</v>
      </c>
      <c r="Y119" s="476">
        <f t="shared" si="303"/>
        <v>0.6041935285541129</v>
      </c>
      <c r="Z119" s="476">
        <f t="shared" si="303"/>
        <v>0.51919471342914303</v>
      </c>
      <c r="AA119" s="476">
        <f t="shared" si="303"/>
        <v>0.45961900439199566</v>
      </c>
      <c r="AB119" s="476">
        <f t="shared" ca="1" si="303"/>
        <v>0.45961900439199566</v>
      </c>
      <c r="AC119" s="475">
        <v>0.3</v>
      </c>
      <c r="AD119" s="475">
        <v>0.3</v>
      </c>
      <c r="AE119" s="475">
        <v>0.3</v>
      </c>
      <c r="AF119" s="475">
        <v>0.22</v>
      </c>
      <c r="AG119" s="475">
        <v>0.25</v>
      </c>
      <c r="AH119" s="475">
        <v>0.25</v>
      </c>
      <c r="AI119" s="475">
        <v>0.25</v>
      </c>
      <c r="AJ119" s="475">
        <v>0.2</v>
      </c>
      <c r="AK119" s="475">
        <v>0.21</v>
      </c>
      <c r="AL119" s="475">
        <v>0.21</v>
      </c>
      <c r="AM119" s="475">
        <v>0.21</v>
      </c>
      <c r="AN119" s="475">
        <v>0.21</v>
      </c>
      <c r="AO119" s="475">
        <v>0.19</v>
      </c>
      <c r="AP119" s="475">
        <v>0.19</v>
      </c>
      <c r="AQ119" s="475">
        <v>0.19</v>
      </c>
      <c r="AR119" s="475">
        <v>0.19</v>
      </c>
      <c r="AS119" s="475">
        <v>0.17</v>
      </c>
      <c r="AT119" s="475">
        <v>0.17</v>
      </c>
      <c r="AU119" s="475">
        <v>0.17</v>
      </c>
      <c r="AV119" s="475">
        <v>0.17</v>
      </c>
    </row>
    <row r="120" spans="1:65">
      <c r="B120" s="563"/>
      <c r="C120" s="563"/>
      <c r="D120" s="563"/>
      <c r="E120" s="563"/>
      <c r="F120" s="563"/>
      <c r="G120" s="563"/>
      <c r="H120" s="563"/>
      <c r="I120" s="563"/>
      <c r="J120" s="563"/>
      <c r="K120" s="563"/>
      <c r="L120" s="587"/>
      <c r="M120" s="450"/>
      <c r="N120" s="450"/>
      <c r="O120" s="450"/>
      <c r="P120" s="450"/>
      <c r="Q120" s="450"/>
      <c r="R120" s="450"/>
      <c r="S120" s="450"/>
      <c r="T120" s="450"/>
      <c r="U120" s="450"/>
      <c r="V120" s="450"/>
      <c r="W120" s="448"/>
      <c r="X120" s="448"/>
      <c r="Y120" s="448"/>
      <c r="Z120" s="468"/>
      <c r="AA120" s="468"/>
      <c r="AB120" s="448"/>
      <c r="AC120" s="468"/>
      <c r="AD120" s="468"/>
      <c r="AE120" s="468"/>
      <c r="AF120" s="468"/>
      <c r="AG120" s="468"/>
      <c r="AH120" s="468"/>
      <c r="AI120" s="468"/>
      <c r="AJ120" s="468"/>
      <c r="AK120" s="450"/>
      <c r="AL120" s="450"/>
      <c r="AM120" s="450"/>
      <c r="AN120" s="450"/>
      <c r="AO120" s="450"/>
      <c r="AP120" s="450"/>
      <c r="AQ120" s="450"/>
      <c r="AR120" s="450"/>
      <c r="AS120" s="450"/>
      <c r="AT120" s="450"/>
      <c r="AU120" s="450"/>
      <c r="AV120" s="450"/>
    </row>
    <row r="121" spans="1:65" s="258" customFormat="1">
      <c r="A121" s="460"/>
      <c r="B121" s="574" t="s">
        <v>362</v>
      </c>
      <c r="C121" s="588">
        <f>SUM(M121:P121)</f>
        <v>81.852279999999993</v>
      </c>
      <c r="D121" s="588">
        <f>SUM(Q121:T121)</f>
        <v>112.26816799999999</v>
      </c>
      <c r="E121" s="588">
        <f>SUM(U121:X121)</f>
        <v>148.29</v>
      </c>
      <c r="F121" s="588">
        <f>SUM(Y121:AB121)</f>
        <v>183.06</v>
      </c>
      <c r="G121" s="588">
        <f ca="1">SUM(AC121:AF121)</f>
        <v>217.1468609476882</v>
      </c>
      <c r="H121" s="588">
        <f ca="1">SUM(AG121:AJ121)</f>
        <v>253.03705911276376</v>
      </c>
      <c r="I121" s="588">
        <f ca="1">SUM(AK121:AN121)</f>
        <v>292.19800149995729</v>
      </c>
      <c r="J121" s="588">
        <f ca="1">SUM(AO121:AR121)</f>
        <v>334.05066752597128</v>
      </c>
      <c r="K121" s="588">
        <f ca="1">SUM(AS121:AV121)</f>
        <v>380.19830406835229</v>
      </c>
      <c r="L121" s="600"/>
      <c r="M121" s="488">
        <f t="shared" ref="M121:T121" si="304">M109*M113</f>
        <v>13.410251999999998</v>
      </c>
      <c r="N121" s="488">
        <f t="shared" si="304"/>
        <v>19.509669999999996</v>
      </c>
      <c r="O121" s="488">
        <f t="shared" si="304"/>
        <v>22.996266000000002</v>
      </c>
      <c r="P121" s="488">
        <f t="shared" si="304"/>
        <v>25.936092000000002</v>
      </c>
      <c r="Q121" s="488">
        <f t="shared" si="304"/>
        <v>20.642090999999997</v>
      </c>
      <c r="R121" s="488">
        <f t="shared" si="304"/>
        <v>27.813255999999999</v>
      </c>
      <c r="S121" s="488">
        <f t="shared" si="304"/>
        <v>30.727124999999997</v>
      </c>
      <c r="T121" s="488">
        <f t="shared" si="304"/>
        <v>33.085695999999999</v>
      </c>
      <c r="U121" s="460">
        <v>25.09</v>
      </c>
      <c r="V121" s="460">
        <v>40.770000000000003</v>
      </c>
      <c r="W121" s="460">
        <v>41.22</v>
      </c>
      <c r="X121" s="460">
        <v>41.21</v>
      </c>
      <c r="Y121" s="460">
        <v>32.99</v>
      </c>
      <c r="Z121" s="461">
        <v>47.3</v>
      </c>
      <c r="AA121" s="489">
        <v>50.9</v>
      </c>
      <c r="AB121" s="461">
        <v>51.87</v>
      </c>
      <c r="AC121" s="461">
        <f>(AC123+AC128)</f>
        <v>42.528466768382174</v>
      </c>
      <c r="AD121" s="461">
        <f t="shared" ref="AD121:AV121" si="305">(AD123+AD128)</f>
        <v>55.229681592973037</v>
      </c>
      <c r="AE121" s="461">
        <f t="shared" ca="1" si="305"/>
        <v>59.162147122572513</v>
      </c>
      <c r="AF121" s="461">
        <f t="shared" si="305"/>
        <v>60.22656546376048</v>
      </c>
      <c r="AG121" s="461">
        <f t="shared" si="305"/>
        <v>50.972760023082294</v>
      </c>
      <c r="AH121" s="461">
        <f t="shared" si="305"/>
        <v>63.774671299728524</v>
      </c>
      <c r="AI121" s="461">
        <f t="shared" ca="1" si="305"/>
        <v>67.829339310801799</v>
      </c>
      <c r="AJ121" s="461">
        <f t="shared" si="305"/>
        <v>70.460288479151146</v>
      </c>
      <c r="AK121" s="461">
        <f t="shared" si="305"/>
        <v>60.812254902977777</v>
      </c>
      <c r="AL121" s="461">
        <f t="shared" si="305"/>
        <v>72.898587449312004</v>
      </c>
      <c r="AM121" s="461">
        <f t="shared" ca="1" si="305"/>
        <v>77.621589809445325</v>
      </c>
      <c r="AN121" s="461">
        <f t="shared" si="305"/>
        <v>80.865569338222173</v>
      </c>
      <c r="AO121" s="461">
        <f t="shared" si="305"/>
        <v>70.866019758692346</v>
      </c>
      <c r="AP121" s="461">
        <f t="shared" si="305"/>
        <v>82.679924626344558</v>
      </c>
      <c r="AQ121" s="461">
        <f t="shared" ca="1" si="305"/>
        <v>88.100717558897827</v>
      </c>
      <c r="AR121" s="461">
        <f t="shared" si="305"/>
        <v>92.404005582036547</v>
      </c>
      <c r="AS121" s="461">
        <f t="shared" si="305"/>
        <v>80.583977548723169</v>
      </c>
      <c r="AT121" s="461">
        <f t="shared" si="305"/>
        <v>93.293651893099252</v>
      </c>
      <c r="AU121" s="461">
        <f t="shared" ca="1" si="305"/>
        <v>99.456688456997909</v>
      </c>
      <c r="AV121" s="461">
        <f t="shared" si="305"/>
        <v>106.86398616953191</v>
      </c>
      <c r="AW121" s="460"/>
      <c r="BF121" s="259"/>
      <c r="BG121" s="259"/>
      <c r="BH121" s="259"/>
      <c r="BI121" s="259"/>
      <c r="BJ121" s="259"/>
      <c r="BK121" s="259"/>
      <c r="BL121" s="259"/>
      <c r="BM121" s="259"/>
    </row>
    <row r="122" spans="1:65" s="277" customFormat="1">
      <c r="A122" s="613"/>
      <c r="B122" s="576" t="s">
        <v>363</v>
      </c>
      <c r="C122" s="576"/>
      <c r="D122" s="495">
        <f>D121/C121-1</f>
        <v>0.37159487799240298</v>
      </c>
      <c r="E122" s="495">
        <f t="shared" ref="E122" si="306">E121/D121-1</f>
        <v>0.32085525792137282</v>
      </c>
      <c r="F122" s="495">
        <f t="shared" ref="F122" si="307">F121/E121-1</f>
        <v>0.23447299211005479</v>
      </c>
      <c r="G122" s="495">
        <f t="shared" ref="G122" ca="1" si="308">G121/F121-1</f>
        <v>0.18620594858345996</v>
      </c>
      <c r="H122" s="495">
        <f t="shared" ref="H122" ca="1" si="309">H121/G121-1</f>
        <v>0.16528075979749812</v>
      </c>
      <c r="I122" s="495">
        <f t="shared" ref="I122" ca="1" si="310">I121/H121-1</f>
        <v>0.15476366396489682</v>
      </c>
      <c r="J122" s="495">
        <f t="shared" ref="J122:K122" ca="1" si="311">J121/I121-1</f>
        <v>0.14323392292612969</v>
      </c>
      <c r="K122" s="495">
        <f t="shared" ca="1" si="311"/>
        <v>0.13814561989699725</v>
      </c>
      <c r="L122" s="598"/>
      <c r="M122" s="496"/>
      <c r="N122" s="496"/>
      <c r="O122" s="496"/>
      <c r="P122" s="496"/>
      <c r="Q122" s="496">
        <f t="shared" ref="Q122:AQ122" si="312">Q121/M121-1</f>
        <v>0.53927689054612848</v>
      </c>
      <c r="R122" s="496">
        <f t="shared" si="312"/>
        <v>0.42561386225394915</v>
      </c>
      <c r="S122" s="496">
        <f t="shared" si="312"/>
        <v>0.33617888225853676</v>
      </c>
      <c r="T122" s="496">
        <f t="shared" si="312"/>
        <v>0.2756623472803843</v>
      </c>
      <c r="U122" s="496">
        <f t="shared" si="312"/>
        <v>0.21547763741570569</v>
      </c>
      <c r="V122" s="496">
        <f t="shared" si="312"/>
        <v>0.4658477957417142</v>
      </c>
      <c r="W122" s="496">
        <f t="shared" si="312"/>
        <v>0.34148573939149873</v>
      </c>
      <c r="X122" s="496">
        <f t="shared" si="312"/>
        <v>0.24555336541809503</v>
      </c>
      <c r="Y122" s="496">
        <f t="shared" si="312"/>
        <v>0.31486648066958955</v>
      </c>
      <c r="Z122" s="496">
        <f t="shared" si="312"/>
        <v>0.16016678930586203</v>
      </c>
      <c r="AA122" s="496">
        <f t="shared" si="312"/>
        <v>0.23483745754488106</v>
      </c>
      <c r="AB122" s="496">
        <f t="shared" si="312"/>
        <v>0.25867507886435326</v>
      </c>
      <c r="AC122" s="496">
        <f t="shared" si="312"/>
        <v>0.28913206330349106</v>
      </c>
      <c r="AD122" s="496">
        <f t="shared" si="312"/>
        <v>0.16764654530598389</v>
      </c>
      <c r="AE122" s="496">
        <f t="shared" ca="1" si="312"/>
        <v>0.16232116154366438</v>
      </c>
      <c r="AF122" s="496">
        <f t="shared" si="312"/>
        <v>0.1611059468625502</v>
      </c>
      <c r="AG122" s="496">
        <f t="shared" si="312"/>
        <v>0.19855625881575478</v>
      </c>
      <c r="AH122" s="496">
        <f t="shared" si="312"/>
        <v>0.15471734509949964</v>
      </c>
      <c r="AI122" s="496">
        <f t="shared" ca="1" si="312"/>
        <v>0.14649894585929313</v>
      </c>
      <c r="AJ122" s="496">
        <f t="shared" si="312"/>
        <v>0.16992041529494983</v>
      </c>
      <c r="AK122" s="496">
        <f t="shared" si="312"/>
        <v>0.19303437513369515</v>
      </c>
      <c r="AL122" s="496">
        <f t="shared" si="312"/>
        <v>0.14306488710389198</v>
      </c>
      <c r="AM122" s="496">
        <f t="shared" ca="1" si="312"/>
        <v>0.14436600146987</v>
      </c>
      <c r="AN122" s="496">
        <f t="shared" si="312"/>
        <v>0.14767581972290533</v>
      </c>
      <c r="AO122" s="496">
        <f t="shared" si="312"/>
        <v>0.1653246516142961</v>
      </c>
      <c r="AP122" s="496">
        <f t="shared" si="312"/>
        <v>0.13417732111522374</v>
      </c>
      <c r="AQ122" s="496">
        <f t="shared" ca="1" si="312"/>
        <v>0.13500274569456661</v>
      </c>
      <c r="AR122" s="496">
        <f>AR121/AN121-1</f>
        <v>0.1426866383090013</v>
      </c>
      <c r="AS122" s="496">
        <f t="shared" ref="AS122:AV122" si="313">AS121/AO121-1</f>
        <v>0.13713141817646424</v>
      </c>
      <c r="AT122" s="496">
        <f t="shared" si="313"/>
        <v>0.12837127409974447</v>
      </c>
      <c r="AU122" s="496">
        <f t="shared" ca="1" si="313"/>
        <v>0.12889759825745228</v>
      </c>
      <c r="AV122" s="496">
        <f t="shared" si="313"/>
        <v>0.15648651263994995</v>
      </c>
      <c r="AW122" s="613"/>
      <c r="BG122" s="269"/>
      <c r="BH122" s="269"/>
      <c r="BI122" s="269"/>
      <c r="BJ122" s="269"/>
      <c r="BK122" s="269"/>
      <c r="BL122" s="269"/>
      <c r="BM122" s="269"/>
    </row>
    <row r="123" spans="1:65">
      <c r="B123" s="567" t="s">
        <v>366</v>
      </c>
      <c r="C123" s="567"/>
      <c r="D123" s="567"/>
      <c r="E123" s="615">
        <f>SUM(U123:X123)</f>
        <v>83.834111025063521</v>
      </c>
      <c r="F123" s="615">
        <f ca="1">SUM(Y123:AB123)</f>
        <v>103.82636824230637</v>
      </c>
      <c r="G123" s="615">
        <f ca="1">SUM(AC123:AF123)</f>
        <v>122.43043143943673</v>
      </c>
      <c r="H123" s="615">
        <f ca="1">SUM(AG123:AJ123)</f>
        <v>145.33453788391273</v>
      </c>
      <c r="I123" s="615">
        <f ca="1">SUM(AK123:AN123)</f>
        <v>169.57787647781177</v>
      </c>
      <c r="J123" s="615">
        <f ca="1">SUM(AO123:AR123)</f>
        <v>195.6315653483027</v>
      </c>
      <c r="K123" s="607">
        <f ca="1">SUM(AS123:AV123)</f>
        <v>225.48645939960187</v>
      </c>
      <c r="L123" s="595"/>
      <c r="M123" s="450"/>
      <c r="N123" s="450"/>
      <c r="O123" s="450"/>
      <c r="P123" s="450"/>
      <c r="Q123" s="450"/>
      <c r="R123" s="450"/>
      <c r="S123" s="450"/>
      <c r="T123" s="468">
        <f t="shared" ref="T123:AV123" si="314">T125*T126</f>
        <v>16.162825049814259</v>
      </c>
      <c r="U123" s="468">
        <f t="shared" si="314"/>
        <v>15.754662063433555</v>
      </c>
      <c r="V123" s="468">
        <f t="shared" si="314"/>
        <v>21.258442011766199</v>
      </c>
      <c r="W123" s="468">
        <f t="shared" si="314"/>
        <v>24.974174276739575</v>
      </c>
      <c r="X123" s="468">
        <f t="shared" si="314"/>
        <v>21.84683267312419</v>
      </c>
      <c r="Y123" s="468">
        <f t="shared" si="314"/>
        <v>20.751636194233157</v>
      </c>
      <c r="Z123" s="468">
        <f t="shared" si="314"/>
        <v>26.639565228460857</v>
      </c>
      <c r="AA123" s="468">
        <f t="shared" ca="1" si="314"/>
        <v>29.935166819612363</v>
      </c>
      <c r="AB123" s="468">
        <v>26.5</v>
      </c>
      <c r="AC123" s="468">
        <f t="shared" si="314"/>
        <v>24.445427436806661</v>
      </c>
      <c r="AD123" s="468">
        <f t="shared" si="314"/>
        <v>31.210914621664738</v>
      </c>
      <c r="AE123" s="468">
        <f t="shared" ca="1" si="314"/>
        <v>35.419289380965346</v>
      </c>
      <c r="AF123" s="468">
        <f t="shared" si="314"/>
        <v>31.354800000000001</v>
      </c>
      <c r="AG123" s="468">
        <f t="shared" si="314"/>
        <v>28.923829743229636</v>
      </c>
      <c r="AH123" s="468">
        <f t="shared" si="314"/>
        <v>36.928754180353721</v>
      </c>
      <c r="AI123" s="468">
        <f t="shared" ca="1" si="314"/>
        <v>41.291807560329389</v>
      </c>
      <c r="AJ123" s="468">
        <f t="shared" si="314"/>
        <v>38.190146400000003</v>
      </c>
      <c r="AK123" s="468">
        <f t="shared" si="314"/>
        <v>33.92765228880836</v>
      </c>
      <c r="AL123" s="468">
        <f t="shared" si="314"/>
        <v>42.892747980480841</v>
      </c>
      <c r="AM123" s="468">
        <f t="shared" ca="1" si="314"/>
        <v>47.960434481322586</v>
      </c>
      <c r="AN123" s="468">
        <f t="shared" si="314"/>
        <v>44.797041727200003</v>
      </c>
      <c r="AO123" s="468">
        <f t="shared" si="314"/>
        <v>39.451074081426363</v>
      </c>
      <c r="AP123" s="468">
        <f t="shared" si="314"/>
        <v>49.142221361236899</v>
      </c>
      <c r="AQ123" s="468">
        <f t="shared" ca="1" si="314"/>
        <v>54.948269785251284</v>
      </c>
      <c r="AR123" s="468">
        <f t="shared" si="314"/>
        <v>52.090000120388176</v>
      </c>
      <c r="AS123" s="468">
        <f t="shared" si="314"/>
        <v>45.471307986252022</v>
      </c>
      <c r="AT123" s="468">
        <f t="shared" si="314"/>
        <v>55.808363688888669</v>
      </c>
      <c r="AU123" s="468">
        <f t="shared" ca="1" si="314"/>
        <v>62.402002581620607</v>
      </c>
      <c r="AV123" s="468">
        <f t="shared" si="314"/>
        <v>61.804785142840572</v>
      </c>
      <c r="BE123" s="257"/>
      <c r="BF123" s="259"/>
      <c r="BG123" s="259"/>
      <c r="BH123" s="259"/>
      <c r="BI123" s="259"/>
      <c r="BJ123" s="259"/>
      <c r="BK123" s="259"/>
      <c r="BL123" s="259"/>
      <c r="BM123" s="259"/>
    </row>
    <row r="124" spans="1:65">
      <c r="B124" s="660" t="s">
        <v>315</v>
      </c>
      <c r="C124" s="559"/>
      <c r="D124" s="452"/>
      <c r="E124" s="452"/>
      <c r="F124" s="452">
        <f t="shared" ref="F124" ca="1" si="315">F123/E123-1</f>
        <v>0.23847401699370141</v>
      </c>
      <c r="G124" s="452">
        <f t="shared" ref="G124" ca="1" si="316">G123/F123-1</f>
        <v>0.17918437784236896</v>
      </c>
      <c r="H124" s="452">
        <f t="shared" ref="H124" ca="1" si="317">H123/G123-1</f>
        <v>0.18707854064702922</v>
      </c>
      <c r="I124" s="452">
        <f t="shared" ref="I124" ca="1" si="318">I123/H123-1</f>
        <v>0.16681058024393081</v>
      </c>
      <c r="J124" s="452">
        <f t="shared" ref="J124" ca="1" si="319">J123/I123-1</f>
        <v>0.15363848994712415</v>
      </c>
      <c r="K124" s="452">
        <f t="shared" ref="K124" ca="1" si="320">K123/J123-1</f>
        <v>0.1526077552880869</v>
      </c>
      <c r="L124" s="593"/>
      <c r="M124" s="487"/>
      <c r="N124" s="487"/>
      <c r="O124" s="487"/>
      <c r="P124" s="487"/>
      <c r="Q124" s="487"/>
      <c r="R124" s="487"/>
      <c r="S124" s="487"/>
      <c r="T124" s="487"/>
      <c r="U124" s="487"/>
      <c r="V124" s="487"/>
      <c r="W124" s="487"/>
      <c r="X124" s="487">
        <f t="shared" ref="X124" si="321">X123/T123-1</f>
        <v>0.35167166666666683</v>
      </c>
      <c r="Y124" s="487">
        <f t="shared" ref="Y124" si="322">Y123/U123-1</f>
        <v>0.31717431390658257</v>
      </c>
      <c r="Z124" s="487">
        <f t="shared" ref="Z124" si="323">Z123/V123-1</f>
        <v>0.25312876709009502</v>
      </c>
      <c r="AA124" s="487">
        <f t="shared" ref="AA124" ca="1" si="324">AA123/W123-1</f>
        <v>0.19864490765139542</v>
      </c>
      <c r="AB124" s="487">
        <f t="shared" ref="AB124" si="325">AB123/X123-1</f>
        <v>0.21299047768146728</v>
      </c>
      <c r="AC124" s="487">
        <f t="shared" ref="AC124" si="326">AC123/Y123-1</f>
        <v>0.17800000000000016</v>
      </c>
      <c r="AD124" s="487">
        <f t="shared" ref="AD124" si="327">AD123/Z123-1</f>
        <v>0.17159999999999997</v>
      </c>
      <c r="AE124" s="487">
        <f t="shared" ref="AE124" ca="1" si="328">AE123/AA123-1</f>
        <v>0.18320000000000003</v>
      </c>
      <c r="AF124" s="487">
        <f t="shared" ref="AF124" si="329">AF123/AB123-1</f>
        <v>0.18320000000000003</v>
      </c>
      <c r="AG124" s="487">
        <f t="shared" ref="AG124" si="330">AG123/AC123-1</f>
        <v>0.18319999999999981</v>
      </c>
      <c r="AH124" s="487">
        <f t="shared" ref="AH124" si="331">AH123/AD123-1</f>
        <v>0.18320000000000003</v>
      </c>
      <c r="AI124" s="487">
        <f t="shared" ref="AI124" ca="1" si="332">AI123/AE123-1</f>
        <v>0.16579999999999973</v>
      </c>
      <c r="AJ124" s="487">
        <f t="shared" ref="AJ124" si="333">AJ123/AF123-1</f>
        <v>0.21799999999999997</v>
      </c>
      <c r="AK124" s="487">
        <f t="shared" ref="AK124" si="334">AK123/AG123-1</f>
        <v>0.17299999999999982</v>
      </c>
      <c r="AL124" s="487">
        <f t="shared" ref="AL124" si="335">AL123/AH123-1</f>
        <v>0.16149999999999975</v>
      </c>
      <c r="AM124" s="487">
        <f t="shared" ref="AM124" ca="1" si="336">AM123/AI123-1</f>
        <v>0.16149999999999998</v>
      </c>
      <c r="AN124" s="487">
        <f t="shared" ref="AN124" si="337">AN123/AJ123-1</f>
        <v>0.17300000000000004</v>
      </c>
      <c r="AO124" s="487">
        <f t="shared" ref="AO124" si="338">AO123/AK123-1</f>
        <v>0.16280000000000006</v>
      </c>
      <c r="AP124" s="487">
        <f t="shared" ref="AP124" si="339">AP123/AL123-1</f>
        <v>0.14569999999999994</v>
      </c>
      <c r="AQ124" s="487">
        <f t="shared" ref="AQ124" ca="1" si="340">AQ123/AM123-1</f>
        <v>0.14569999999999994</v>
      </c>
      <c r="AR124" s="487">
        <f>AR123/AN123-1</f>
        <v>0.16280000000000028</v>
      </c>
      <c r="AS124" s="487">
        <f t="shared" ref="AS124" si="341">AS123/AO123-1</f>
        <v>0.15259999999999985</v>
      </c>
      <c r="AT124" s="487">
        <f t="shared" ref="AT124" si="342">AT123/AP123-1</f>
        <v>0.1356499999999996</v>
      </c>
      <c r="AU124" s="487">
        <f t="shared" ref="AU124" ca="1" si="343">AU123/AQ123-1</f>
        <v>0.13564999999999983</v>
      </c>
      <c r="AV124" s="487">
        <f t="shared" ref="AV124" si="344">AV123/AR123-1</f>
        <v>0.18650000000000011</v>
      </c>
      <c r="BE124" s="257"/>
      <c r="BF124" s="259"/>
      <c r="BG124" s="259"/>
      <c r="BH124" s="259"/>
      <c r="BI124" s="259"/>
      <c r="BJ124" s="259"/>
      <c r="BK124" s="259"/>
      <c r="BL124" s="259"/>
      <c r="BM124" s="259"/>
    </row>
    <row r="125" spans="1:65">
      <c r="B125" s="577" t="s">
        <v>364</v>
      </c>
      <c r="C125" s="448"/>
      <c r="D125" s="468">
        <f>T125</f>
        <v>5</v>
      </c>
      <c r="E125" s="468">
        <f t="shared" ref="E125" si="345">X125</f>
        <v>5.8768333333333338</v>
      </c>
      <c r="F125" s="468">
        <f t="shared" ref="F125" si="346">AB125</f>
        <v>5.4489999999999998</v>
      </c>
      <c r="G125" s="468">
        <f>AF125</f>
        <v>5.5579799999999997</v>
      </c>
      <c r="H125" s="468">
        <f>AJ125</f>
        <v>5.8358790000000003</v>
      </c>
      <c r="I125" s="468">
        <f>AN125</f>
        <v>5.9525965800000007</v>
      </c>
      <c r="J125" s="468">
        <f>AR125</f>
        <v>6.0716485116000012</v>
      </c>
      <c r="K125" s="468">
        <f>AV125</f>
        <v>6.3752309371800013</v>
      </c>
      <c r="L125" s="601"/>
      <c r="M125" s="450"/>
      <c r="N125" s="450"/>
      <c r="O125" s="450"/>
      <c r="P125" s="450"/>
      <c r="Q125" s="450"/>
      <c r="R125" s="450"/>
      <c r="S125" s="450"/>
      <c r="T125" s="468">
        <f>T101</f>
        <v>5</v>
      </c>
      <c r="U125" s="468">
        <f>U101</f>
        <v>5.2513500000000004</v>
      </c>
      <c r="V125" s="468">
        <f>V101</f>
        <v>5.5026999999999999</v>
      </c>
      <c r="W125" s="468">
        <f>W101</f>
        <v>5.5535666666666668</v>
      </c>
      <c r="X125" s="468">
        <f t="shared" ref="X125:AV125" si="347">X9</f>
        <v>5.8768333333333338</v>
      </c>
      <c r="Y125" s="468">
        <f t="shared" si="347"/>
        <v>6.0147333333333339</v>
      </c>
      <c r="Z125" s="468">
        <f t="shared" si="347"/>
        <v>5.9961666666666664</v>
      </c>
      <c r="AA125" s="468">
        <f t="shared" ca="1" si="347"/>
        <v>6.0515949130023037</v>
      </c>
      <c r="AB125" s="468">
        <f t="shared" si="347"/>
        <v>5.4489999999999998</v>
      </c>
      <c r="AC125" s="468">
        <f t="shared" si="347"/>
        <v>5.7139966666666666</v>
      </c>
      <c r="AD125" s="468">
        <f t="shared" si="347"/>
        <v>6.0561283333333336</v>
      </c>
      <c r="AE125" s="468">
        <f t="shared" ca="1" si="347"/>
        <v>6.1726268112623499</v>
      </c>
      <c r="AF125" s="468">
        <f t="shared" si="347"/>
        <v>5.5579799999999997</v>
      </c>
      <c r="AG125" s="468">
        <f t="shared" si="347"/>
        <v>5.8282765999999997</v>
      </c>
      <c r="AH125" s="468">
        <f t="shared" si="347"/>
        <v>6.1772509000000007</v>
      </c>
      <c r="AI125" s="468">
        <f t="shared" ca="1" si="347"/>
        <v>6.2034899453186609</v>
      </c>
      <c r="AJ125" s="468">
        <f t="shared" si="347"/>
        <v>5.8358790000000003</v>
      </c>
      <c r="AK125" s="468">
        <f t="shared" si="347"/>
        <v>5.9448421319999998</v>
      </c>
      <c r="AL125" s="468">
        <f t="shared" si="347"/>
        <v>6.2390234090000005</v>
      </c>
      <c r="AM125" s="468">
        <f t="shared" ca="1" si="347"/>
        <v>6.2655248447718472</v>
      </c>
      <c r="AN125" s="468">
        <f t="shared" si="347"/>
        <v>5.9525965800000007</v>
      </c>
      <c r="AO125" s="468">
        <f t="shared" si="347"/>
        <v>6.0637389746399997</v>
      </c>
      <c r="AP125" s="468">
        <f t="shared" si="347"/>
        <v>6.2702185260450003</v>
      </c>
      <c r="AQ125" s="468">
        <f t="shared" ca="1" si="347"/>
        <v>6.2968524689957057</v>
      </c>
      <c r="AR125" s="468">
        <f t="shared" si="347"/>
        <v>6.0716485116000012</v>
      </c>
      <c r="AS125" s="468">
        <f t="shared" si="347"/>
        <v>6.1850137541327994</v>
      </c>
      <c r="AT125" s="468">
        <f t="shared" si="347"/>
        <v>6.3015696186752246</v>
      </c>
      <c r="AU125" s="468">
        <f t="shared" ca="1" si="347"/>
        <v>6.3283367313406833</v>
      </c>
      <c r="AV125" s="468">
        <f t="shared" si="347"/>
        <v>6.3752309371800013</v>
      </c>
    </row>
    <row r="126" spans="1:65">
      <c r="B126" s="577" t="s">
        <v>365</v>
      </c>
      <c r="C126" s="577"/>
      <c r="D126" s="577"/>
      <c r="E126" s="468">
        <f>E123/4/E125</f>
        <v>3.5662960930658594</v>
      </c>
      <c r="F126" s="468">
        <f t="shared" ref="F126:K126" ca="1" si="348">F123/4/F125</f>
        <v>4.7635514884523023</v>
      </c>
      <c r="G126" s="468">
        <f t="shared" ca="1" si="348"/>
        <v>5.5069661747359984</v>
      </c>
      <c r="H126" s="468">
        <f t="shared" ca="1" si="348"/>
        <v>6.225906066760154</v>
      </c>
      <c r="I126" s="468">
        <f t="shared" ca="1" si="348"/>
        <v>7.1220128140202199</v>
      </c>
      <c r="J126" s="468">
        <f t="shared" ca="1" si="348"/>
        <v>8.055125596225837</v>
      </c>
      <c r="K126" s="468">
        <f t="shared" ca="1" si="348"/>
        <v>8.8422859352661671</v>
      </c>
      <c r="L126" s="601"/>
      <c r="M126" s="450"/>
      <c r="N126" s="450"/>
      <c r="O126" s="450"/>
      <c r="P126" s="450"/>
      <c r="Q126" s="450"/>
      <c r="R126" s="450"/>
      <c r="S126" s="450"/>
      <c r="T126" s="468">
        <f t="shared" ref="T126:U126" si="349">X126/(1+15%)</f>
        <v>3.232565009962852</v>
      </c>
      <c r="U126" s="468">
        <f t="shared" si="349"/>
        <v>3.0001165535402428</v>
      </c>
      <c r="V126" s="468">
        <f>Z126/(1+15%)</f>
        <v>3.8632747581671176</v>
      </c>
      <c r="W126" s="468">
        <f>广告相关!C21</f>
        <v>4.4969612819520624</v>
      </c>
      <c r="X126" s="468">
        <f>广告相关!D21</f>
        <v>3.7174497614572797</v>
      </c>
      <c r="Y126" s="468">
        <f>广告相关!E21</f>
        <v>3.4501340365712787</v>
      </c>
      <c r="Z126" s="468">
        <f>广告相关!F21</f>
        <v>4.442765971892185</v>
      </c>
      <c r="AA126" s="468">
        <f>W126*1.1</f>
        <v>4.9466574101472691</v>
      </c>
      <c r="AB126" s="468">
        <f>AB123/AB125</f>
        <v>4.8632776656267209</v>
      </c>
      <c r="AC126" s="468">
        <f>Y126*(1+AC127)</f>
        <v>4.278166205348386</v>
      </c>
      <c r="AD126" s="468">
        <f t="shared" ref="AD126:AV126" si="350">Z126*(1+AD127)</f>
        <v>5.1536085273949341</v>
      </c>
      <c r="AE126" s="468">
        <f t="shared" si="350"/>
        <v>5.7381225957708315</v>
      </c>
      <c r="AF126" s="468">
        <f t="shared" si="350"/>
        <v>5.6414020921269961</v>
      </c>
      <c r="AG126" s="468">
        <f t="shared" si="350"/>
        <v>4.9626727982041272</v>
      </c>
      <c r="AH126" s="468">
        <f t="shared" si="350"/>
        <v>5.9781858917781232</v>
      </c>
      <c r="AI126" s="468">
        <f t="shared" si="350"/>
        <v>6.656222211094164</v>
      </c>
      <c r="AJ126" s="468">
        <f t="shared" si="350"/>
        <v>6.5440264268673154</v>
      </c>
      <c r="AK126" s="468">
        <f t="shared" si="350"/>
        <v>5.7070737179347457</v>
      </c>
      <c r="AL126" s="468">
        <f t="shared" si="350"/>
        <v>6.8749137755448411</v>
      </c>
      <c r="AM126" s="468">
        <f t="shared" si="350"/>
        <v>7.6546555427582881</v>
      </c>
      <c r="AN126" s="468">
        <f t="shared" si="350"/>
        <v>7.5256303908974118</v>
      </c>
      <c r="AO126" s="468">
        <f t="shared" si="350"/>
        <v>6.5060640384456105</v>
      </c>
      <c r="AP126" s="468">
        <f t="shared" si="350"/>
        <v>7.8374017041211195</v>
      </c>
      <c r="AQ126" s="468">
        <f t="shared" si="350"/>
        <v>8.7263073187444498</v>
      </c>
      <c r="AR126" s="468">
        <f t="shared" si="350"/>
        <v>8.579218645623051</v>
      </c>
      <c r="AS126" s="468">
        <f t="shared" si="350"/>
        <v>7.3518523634435393</v>
      </c>
      <c r="AT126" s="468">
        <f t="shared" si="350"/>
        <v>8.8562639256568634</v>
      </c>
      <c r="AU126" s="468">
        <f t="shared" si="350"/>
        <v>9.8607272701812274</v>
      </c>
      <c r="AV126" s="468">
        <f t="shared" si="350"/>
        <v>9.6945170695540472</v>
      </c>
      <c r="BF126" s="259"/>
      <c r="BG126" s="259"/>
      <c r="BH126" s="259"/>
      <c r="BI126" s="259"/>
      <c r="BJ126" s="259"/>
      <c r="BK126" s="259"/>
      <c r="BL126" s="259"/>
      <c r="BM126" s="259"/>
    </row>
    <row r="127" spans="1:65">
      <c r="B127" s="661" t="s">
        <v>315</v>
      </c>
      <c r="C127" s="567"/>
      <c r="D127" s="567"/>
      <c r="E127" s="451"/>
      <c r="F127" s="452"/>
      <c r="G127" s="452">
        <f t="shared" ref="G127" ca="1" si="351">G126/F126-1</f>
        <v>0.15606311553173424</v>
      </c>
      <c r="H127" s="452">
        <f t="shared" ref="H127" ca="1" si="352">H126/G126-1</f>
        <v>0.13055099109240875</v>
      </c>
      <c r="I127" s="452">
        <f t="shared" ref="I127" ca="1" si="353">I126/H126-1</f>
        <v>0.14393194141561838</v>
      </c>
      <c r="J127" s="452">
        <f t="shared" ref="J127" ca="1" si="354">J126/I126-1</f>
        <v>0.13101812739914109</v>
      </c>
      <c r="K127" s="452">
        <f t="shared" ref="K127" ca="1" si="355">K126/J126-1</f>
        <v>9.7721671702940105E-2</v>
      </c>
      <c r="L127" s="595"/>
      <c r="M127" s="491"/>
      <c r="N127" s="491"/>
      <c r="O127" s="491"/>
      <c r="P127" s="491"/>
      <c r="Q127" s="491"/>
      <c r="R127" s="491"/>
      <c r="S127" s="491"/>
      <c r="T127" s="491"/>
      <c r="U127" s="491"/>
      <c r="V127" s="468"/>
      <c r="W127" s="448"/>
      <c r="X127" s="487">
        <f t="shared" ref="X127:Z127" si="356">X126/T126-1</f>
        <v>0.14999999999999991</v>
      </c>
      <c r="Y127" s="487">
        <f t="shared" si="356"/>
        <v>0.14999999999999991</v>
      </c>
      <c r="Z127" s="487">
        <f t="shared" si="356"/>
        <v>0.14999999999999991</v>
      </c>
      <c r="AA127" s="487">
        <f>AA126/W126-1</f>
        <v>0.10000000000000009</v>
      </c>
      <c r="AB127" s="487">
        <f>AB126/X126-1</f>
        <v>0.30822955996593326</v>
      </c>
      <c r="AC127" s="662">
        <v>0.24</v>
      </c>
      <c r="AD127" s="662">
        <v>0.16</v>
      </c>
      <c r="AE127" s="662">
        <v>0.16</v>
      </c>
      <c r="AF127" s="662">
        <v>0.16</v>
      </c>
      <c r="AG127" s="662">
        <v>0.16</v>
      </c>
      <c r="AH127" s="662">
        <v>0.16</v>
      </c>
      <c r="AI127" s="662">
        <v>0.16</v>
      </c>
      <c r="AJ127" s="662">
        <v>0.16</v>
      </c>
      <c r="AK127" s="662">
        <v>0.15</v>
      </c>
      <c r="AL127" s="662">
        <v>0.15</v>
      </c>
      <c r="AM127" s="662">
        <v>0.15</v>
      </c>
      <c r="AN127" s="662">
        <v>0.15</v>
      </c>
      <c r="AO127" s="662">
        <v>0.14000000000000001</v>
      </c>
      <c r="AP127" s="662">
        <v>0.14000000000000001</v>
      </c>
      <c r="AQ127" s="662">
        <v>0.14000000000000001</v>
      </c>
      <c r="AR127" s="662">
        <v>0.14000000000000001</v>
      </c>
      <c r="AS127" s="662">
        <v>0.13</v>
      </c>
      <c r="AT127" s="662">
        <v>0.13</v>
      </c>
      <c r="AU127" s="662">
        <v>0.13</v>
      </c>
      <c r="AV127" s="662">
        <v>0.13</v>
      </c>
      <c r="BF127" s="259"/>
      <c r="BG127" s="259"/>
      <c r="BH127" s="259"/>
      <c r="BI127" s="259"/>
      <c r="BJ127" s="259"/>
      <c r="BK127" s="259"/>
      <c r="BL127" s="259"/>
      <c r="BM127" s="259"/>
    </row>
    <row r="128" spans="1:65">
      <c r="B128" s="567" t="s">
        <v>369</v>
      </c>
      <c r="C128" s="567"/>
      <c r="D128" s="567"/>
      <c r="E128" s="615"/>
      <c r="F128" s="615">
        <f ca="1">SUM(Y128:AB128)</f>
        <v>79.233631757693615</v>
      </c>
      <c r="G128" s="615">
        <f ca="1">SUM(AC128:AF128)</f>
        <v>94.716429508251466</v>
      </c>
      <c r="H128" s="615">
        <f ca="1">SUM(AG128:AJ128)</f>
        <v>107.70252122885101</v>
      </c>
      <c r="I128" s="615">
        <f ca="1">SUM(AK128:AN128)</f>
        <v>122.62012502214547</v>
      </c>
      <c r="J128" s="615">
        <f ca="1">SUM(AO128:AR128)</f>
        <v>138.41910217766855</v>
      </c>
      <c r="K128" s="607">
        <f ca="1">SUM(AS128:AV128)</f>
        <v>154.71184466875036</v>
      </c>
      <c r="L128" s="595"/>
      <c r="M128" s="491"/>
      <c r="N128" s="491"/>
      <c r="O128" s="491"/>
      <c r="P128" s="491"/>
      <c r="Q128" s="491"/>
      <c r="R128" s="491"/>
      <c r="S128" s="491"/>
      <c r="T128" s="491"/>
      <c r="U128" s="468">
        <f t="shared" ref="U128:W128" si="357">U121-U123</f>
        <v>9.3353379365664448</v>
      </c>
      <c r="V128" s="468">
        <f t="shared" si="357"/>
        <v>19.511557988233804</v>
      </c>
      <c r="W128" s="468">
        <f t="shared" si="357"/>
        <v>16.245825723260424</v>
      </c>
      <c r="X128" s="468">
        <f>X121-X123</f>
        <v>19.363167326875811</v>
      </c>
      <c r="Y128" s="468">
        <f t="shared" ref="Y128:AA128" si="358">Y121-Y123</f>
        <v>12.238363805766845</v>
      </c>
      <c r="Z128" s="468">
        <f t="shared" si="358"/>
        <v>20.660434771539141</v>
      </c>
      <c r="AA128" s="468">
        <f t="shared" ca="1" si="358"/>
        <v>20.964833180387636</v>
      </c>
      <c r="AB128" s="468">
        <f>AB121-AB123</f>
        <v>25.369999999999997</v>
      </c>
      <c r="AC128" s="468">
        <f t="shared" ref="AC128:AV128" si="359">AC130*AC131</f>
        <v>18.083039331575517</v>
      </c>
      <c r="AD128" s="468">
        <f t="shared" si="359"/>
        <v>24.018766971308303</v>
      </c>
      <c r="AE128" s="468">
        <f t="shared" ca="1" si="359"/>
        <v>23.742857741607168</v>
      </c>
      <c r="AF128" s="468">
        <f t="shared" si="359"/>
        <v>28.871765463760482</v>
      </c>
      <c r="AG128" s="468">
        <f t="shared" si="359"/>
        <v>22.048930279852659</v>
      </c>
      <c r="AH128" s="468">
        <f t="shared" si="359"/>
        <v>26.8459171193748</v>
      </c>
      <c r="AI128" s="468">
        <f t="shared" ca="1" si="359"/>
        <v>26.537531750472418</v>
      </c>
      <c r="AJ128" s="468">
        <f t="shared" si="359"/>
        <v>32.270142079151142</v>
      </c>
      <c r="AK128" s="468">
        <f t="shared" si="359"/>
        <v>26.884602614169417</v>
      </c>
      <c r="AL128" s="468">
        <f t="shared" si="359"/>
        <v>30.005839468831159</v>
      </c>
      <c r="AM128" s="468">
        <f t="shared" ca="1" si="359"/>
        <v>29.661155328122739</v>
      </c>
      <c r="AN128" s="468">
        <f t="shared" si="359"/>
        <v>36.068527611022162</v>
      </c>
      <c r="AO128" s="468">
        <f t="shared" si="359"/>
        <v>31.41494567726598</v>
      </c>
      <c r="AP128" s="468">
        <f t="shared" si="359"/>
        <v>33.537703265107652</v>
      </c>
      <c r="AQ128" s="468">
        <f t="shared" ca="1" si="359"/>
        <v>33.15244777364655</v>
      </c>
      <c r="AR128" s="468">
        <f t="shared" si="359"/>
        <v>40.314005461648371</v>
      </c>
      <c r="AS128" s="468">
        <f t="shared" si="359"/>
        <v>35.11266956247114</v>
      </c>
      <c r="AT128" s="468">
        <f t="shared" si="359"/>
        <v>37.485288204210576</v>
      </c>
      <c r="AU128" s="468">
        <f t="shared" ca="1" si="359"/>
        <v>37.054685875377302</v>
      </c>
      <c r="AV128" s="468">
        <f t="shared" si="359"/>
        <v>45.059201026691341</v>
      </c>
      <c r="BE128" s="257"/>
      <c r="BF128" s="259"/>
      <c r="BG128" s="259"/>
      <c r="BH128" s="259"/>
      <c r="BI128" s="259"/>
      <c r="BJ128" s="259"/>
      <c r="BK128" s="259"/>
      <c r="BL128" s="259"/>
      <c r="BM128" s="259"/>
    </row>
    <row r="129" spans="1:65">
      <c r="B129" s="660" t="s">
        <v>315</v>
      </c>
      <c r="C129" s="559"/>
      <c r="D129" s="452"/>
      <c r="E129" s="452"/>
      <c r="F129" s="452"/>
      <c r="G129" s="452">
        <f t="shared" ref="G129" ca="1" si="360">G128/F128-1</f>
        <v>0.19540689233968456</v>
      </c>
      <c r="H129" s="452">
        <f t="shared" ref="H129" ca="1" si="361">H128/G128-1</f>
        <v>0.13710495410374635</v>
      </c>
      <c r="I129" s="452">
        <f t="shared" ref="I129" ca="1" si="362">I128/H128-1</f>
        <v>0.13850747060597479</v>
      </c>
      <c r="J129" s="452">
        <f t="shared" ref="J129" ca="1" si="363">J128/I128-1</f>
        <v>0.1288448951807033</v>
      </c>
      <c r="K129" s="452">
        <f t="shared" ref="K129" ca="1" si="364">K128/J128-1</f>
        <v>0.11770588188160036</v>
      </c>
      <c r="L129" s="593"/>
      <c r="M129" s="487"/>
      <c r="N129" s="487"/>
      <c r="O129" s="487"/>
      <c r="P129" s="487"/>
      <c r="Q129" s="487"/>
      <c r="R129" s="487"/>
      <c r="S129" s="487"/>
      <c r="T129" s="487"/>
      <c r="U129" s="487"/>
      <c r="V129" s="487"/>
      <c r="W129" s="487"/>
      <c r="X129" s="487"/>
      <c r="Y129" s="487">
        <f t="shared" ref="Y129" si="365">Y128/U128-1</f>
        <v>0.3109716958214519</v>
      </c>
      <c r="Z129" s="487">
        <f t="shared" ref="Z129" si="366">Z128/V128-1</f>
        <v>5.8881857819767847E-2</v>
      </c>
      <c r="AA129" s="487">
        <f t="shared" ref="AA129" ca="1" si="367">AA128/W128-1</f>
        <v>0.29047507572179843</v>
      </c>
      <c r="AB129" s="487">
        <f t="shared" ref="AB129" si="368">AB128/X128-1</f>
        <v>0.31021953029279392</v>
      </c>
      <c r="AC129" s="487">
        <f t="shared" ref="AC129" si="369">AC128/Y128-1</f>
        <v>0.47757001005760258</v>
      </c>
      <c r="AD129" s="487">
        <f t="shared" ref="AD129" si="370">AD128/Z128-1</f>
        <v>0.16254896070219416</v>
      </c>
      <c r="AE129" s="487">
        <f t="shared" ref="AE129" ca="1" si="371">AE128/AA128-1</f>
        <v>0.1325087844638011</v>
      </c>
      <c r="AF129" s="487">
        <f t="shared" ref="AF129" si="372">AF128/AB128-1</f>
        <v>0.13802780700672002</v>
      </c>
      <c r="AG129" s="487">
        <f t="shared" ref="AG129" si="373">AG128/AC128-1</f>
        <v>0.21931550750719997</v>
      </c>
      <c r="AH129" s="487">
        <f t="shared" ref="AH129" si="374">AH128/AD128-1</f>
        <v>0.11770588188160036</v>
      </c>
      <c r="AI129" s="487">
        <f t="shared" ref="AI129" ca="1" si="375">AI128/AE128-1</f>
        <v>0.11770588188160014</v>
      </c>
      <c r="AJ129" s="487">
        <f t="shared" ref="AJ129" si="376">AJ128/AF128-1</f>
        <v>0.11770588188160036</v>
      </c>
      <c r="AK129" s="487">
        <f t="shared" ref="AK129" si="377">AK128/AG128-1</f>
        <v>0.21931550750720019</v>
      </c>
      <c r="AL129" s="487">
        <f t="shared" ref="AL129" si="378">AL128/AH128-1</f>
        <v>0.11770588188160014</v>
      </c>
      <c r="AM129" s="487">
        <f t="shared" ref="AM129" ca="1" si="379">AM128/AI128-1</f>
        <v>0.11770588188160014</v>
      </c>
      <c r="AN129" s="487">
        <f t="shared" ref="AN129" si="380">AN128/AJ128-1</f>
        <v>0.11770588188160014</v>
      </c>
      <c r="AO129" s="487">
        <f t="shared" ref="AO129" si="381">AO128/AK128-1</f>
        <v>0.16851069469439972</v>
      </c>
      <c r="AP129" s="487">
        <f t="shared" ref="AP129" si="382">AP128/AL128-1</f>
        <v>0.11770588188160014</v>
      </c>
      <c r="AQ129" s="487">
        <f t="shared" ref="AQ129" ca="1" si="383">AQ128/AM128-1</f>
        <v>0.11770588188160014</v>
      </c>
      <c r="AR129" s="487">
        <f>AR128/AN128-1</f>
        <v>0.11770588188160014</v>
      </c>
      <c r="AS129" s="487">
        <f t="shared" ref="AS129" si="384">AS128/AO128-1</f>
        <v>0.11770588188160036</v>
      </c>
      <c r="AT129" s="487">
        <f t="shared" ref="AT129" si="385">AT128/AP128-1</f>
        <v>0.11770588188160036</v>
      </c>
      <c r="AU129" s="487">
        <f t="shared" ref="AU129" ca="1" si="386">AU128/AQ128-1</f>
        <v>0.11770588188159992</v>
      </c>
      <c r="AV129" s="487">
        <f t="shared" ref="AV129" si="387">AV128/AR128-1</f>
        <v>0.11770588188160014</v>
      </c>
      <c r="BE129" s="257"/>
      <c r="BF129" s="259"/>
      <c r="BG129" s="259"/>
      <c r="BH129" s="259"/>
      <c r="BI129" s="259"/>
      <c r="BJ129" s="259"/>
      <c r="BK129" s="259"/>
      <c r="BL129" s="259"/>
      <c r="BM129" s="259"/>
    </row>
    <row r="130" spans="1:65">
      <c r="B130" s="577" t="s">
        <v>367</v>
      </c>
      <c r="C130" s="448"/>
      <c r="D130" s="448"/>
      <c r="E130" s="468"/>
      <c r="F130" s="468">
        <f t="shared" ref="F130" si="388">AB130</f>
        <v>2.6826333333333334</v>
      </c>
      <c r="G130" s="468">
        <f>AF130</f>
        <v>2.725813686907554</v>
      </c>
      <c r="H130" s="468">
        <f>AJ130</f>
        <v>2.7696890825181306</v>
      </c>
      <c r="I130" s="468">
        <f>AN130</f>
        <v>2.8142707077397882</v>
      </c>
      <c r="J130" s="468">
        <f>AR130</f>
        <v>2.8595699302253226</v>
      </c>
      <c r="K130" s="468">
        <f>AV130</f>
        <v>2.9055983006041814</v>
      </c>
      <c r="L130" s="601"/>
      <c r="M130" s="450"/>
      <c r="N130" s="450"/>
      <c r="O130" s="450"/>
      <c r="P130" s="450"/>
      <c r="Q130" s="450"/>
      <c r="R130" s="450"/>
      <c r="S130" s="450"/>
      <c r="T130" s="450"/>
      <c r="U130" s="450"/>
      <c r="V130" s="450"/>
      <c r="W130" s="468">
        <f>广告相关!AA7</f>
        <v>2.4502666666666668</v>
      </c>
      <c r="X130" s="468">
        <f>广告相关!AB7</f>
        <v>2.4635666666666669</v>
      </c>
      <c r="Y130" s="468">
        <f>广告相关!AC7</f>
        <v>2.5519666666666669</v>
      </c>
      <c r="Z130" s="468">
        <f>广告相关!AD7</f>
        <v>2.6051666666666669</v>
      </c>
      <c r="AA130" s="468">
        <f>广告相关!AE7</f>
        <v>2.6849666666666669</v>
      </c>
      <c r="AB130" s="468">
        <f>广告相关!AF7</f>
        <v>2.6826333333333334</v>
      </c>
      <c r="AC130" s="490">
        <f>AB130*1.004</f>
        <v>2.6933638666666666</v>
      </c>
      <c r="AD130" s="490">
        <f t="shared" ref="AD130:AV130" si="389">AC130*1.004</f>
        <v>2.7041373221333331</v>
      </c>
      <c r="AE130" s="490">
        <f t="shared" si="389"/>
        <v>2.7149538714218666</v>
      </c>
      <c r="AF130" s="490">
        <f t="shared" si="389"/>
        <v>2.725813686907554</v>
      </c>
      <c r="AG130" s="490">
        <f t="shared" si="389"/>
        <v>2.7367169416551844</v>
      </c>
      <c r="AH130" s="490">
        <f t="shared" si="389"/>
        <v>2.7476638094218053</v>
      </c>
      <c r="AI130" s="490">
        <f t="shared" si="389"/>
        <v>2.7586544646594926</v>
      </c>
      <c r="AJ130" s="490">
        <f t="shared" si="389"/>
        <v>2.7696890825181306</v>
      </c>
      <c r="AK130" s="490">
        <f t="shared" si="389"/>
        <v>2.7807678388482033</v>
      </c>
      <c r="AL130" s="490">
        <f t="shared" si="389"/>
        <v>2.791890910203596</v>
      </c>
      <c r="AM130" s="490">
        <f t="shared" si="389"/>
        <v>2.8030584738444104</v>
      </c>
      <c r="AN130" s="490">
        <f t="shared" si="389"/>
        <v>2.8142707077397882</v>
      </c>
      <c r="AO130" s="490">
        <f t="shared" si="389"/>
        <v>2.8255277905707472</v>
      </c>
      <c r="AP130" s="490">
        <f t="shared" si="389"/>
        <v>2.8368299017330303</v>
      </c>
      <c r="AQ130" s="490">
        <f t="shared" si="389"/>
        <v>2.8481772213399625</v>
      </c>
      <c r="AR130" s="490">
        <f t="shared" si="389"/>
        <v>2.8595699302253226</v>
      </c>
      <c r="AS130" s="490">
        <f t="shared" si="389"/>
        <v>2.8710082099462237</v>
      </c>
      <c r="AT130" s="490">
        <f t="shared" si="389"/>
        <v>2.8824922427860087</v>
      </c>
      <c r="AU130" s="490">
        <f t="shared" si="389"/>
        <v>2.8940222117571528</v>
      </c>
      <c r="AV130" s="490">
        <f t="shared" si="389"/>
        <v>2.9055983006041814</v>
      </c>
      <c r="AW130" s="468"/>
      <c r="BE130" s="257"/>
    </row>
    <row r="131" spans="1:65">
      <c r="B131" s="577" t="s">
        <v>368</v>
      </c>
      <c r="C131" s="577"/>
      <c r="D131" s="577"/>
      <c r="E131" s="468"/>
      <c r="F131" s="468">
        <f t="shared" ref="F131" ca="1" si="390">F128/4/F130</f>
        <v>7.3839416267933506</v>
      </c>
      <c r="G131" s="468">
        <f t="shared" ref="G131" ca="1" si="391">G128/4/G130</f>
        <v>8.6869867485062429</v>
      </c>
      <c r="H131" s="468">
        <f t="shared" ref="H131" ca="1" si="392">H128/4/H130</f>
        <v>9.7215353438634544</v>
      </c>
      <c r="I131" s="468">
        <f t="shared" ref="I131" ca="1" si="393">I128/4/I130</f>
        <v>10.892708782857708</v>
      </c>
      <c r="J131" s="468">
        <f t="shared" ref="J131:K131" ca="1" si="394">J128/4/J130</f>
        <v>12.101391603908221</v>
      </c>
      <c r="K131" s="468">
        <f t="shared" ca="1" si="394"/>
        <v>13.311530764299047</v>
      </c>
      <c r="L131" s="601"/>
      <c r="M131" s="491"/>
      <c r="N131" s="491"/>
      <c r="O131" s="491"/>
      <c r="P131" s="491"/>
      <c r="Q131" s="491"/>
      <c r="R131" s="491"/>
      <c r="S131" s="491"/>
      <c r="T131" s="491"/>
      <c r="U131" s="491"/>
      <c r="V131" s="468"/>
      <c r="W131" s="468">
        <f>W128/W130</f>
        <v>6.630227617372431</v>
      </c>
      <c r="X131" s="468">
        <f t="shared" ref="X131:AB131" si="395">X128/X130</f>
        <v>7.8598105701256209</v>
      </c>
      <c r="Y131" s="468">
        <f t="shared" si="395"/>
        <v>4.7956597418070421</v>
      </c>
      <c r="Z131" s="468">
        <f t="shared" si="395"/>
        <v>7.9305616166102508</v>
      </c>
      <c r="AA131" s="468">
        <f t="shared" ca="1" si="395"/>
        <v>7.8082284747374766</v>
      </c>
      <c r="AB131" s="468">
        <f t="shared" si="395"/>
        <v>9.4571254613004623</v>
      </c>
      <c r="AC131" s="468">
        <f>Y131*(1+AC132)</f>
        <v>6.7139236385298586</v>
      </c>
      <c r="AD131" s="468">
        <f t="shared" ref="AD131:AV131" si="396">Z131*(1+AD132)</f>
        <v>8.8822290106034814</v>
      </c>
      <c r="AE131" s="468">
        <f t="shared" ca="1" si="396"/>
        <v>8.7452158917059748</v>
      </c>
      <c r="AF131" s="468">
        <f t="shared" si="396"/>
        <v>10.591980516656518</v>
      </c>
      <c r="AG131" s="468">
        <f t="shared" si="396"/>
        <v>8.0567083662358296</v>
      </c>
      <c r="AH131" s="468">
        <f t="shared" si="396"/>
        <v>9.7704519116638302</v>
      </c>
      <c r="AI131" s="468">
        <f t="shared" ca="1" si="396"/>
        <v>9.619737480876573</v>
      </c>
      <c r="AJ131" s="468">
        <f t="shared" si="396"/>
        <v>11.651178568322171</v>
      </c>
      <c r="AK131" s="468">
        <f t="shared" si="396"/>
        <v>9.6680500394829956</v>
      </c>
      <c r="AL131" s="468">
        <f t="shared" si="396"/>
        <v>10.747497102830215</v>
      </c>
      <c r="AM131" s="468">
        <f t="shared" ca="1" si="396"/>
        <v>10.581711228964231</v>
      </c>
      <c r="AN131" s="468">
        <f t="shared" si="396"/>
        <v>12.816296425154389</v>
      </c>
      <c r="AO131" s="468">
        <f t="shared" si="396"/>
        <v>11.118257545405443</v>
      </c>
      <c r="AP131" s="468">
        <f t="shared" si="396"/>
        <v>11.822246813113237</v>
      </c>
      <c r="AQ131" s="468">
        <f t="shared" ca="1" si="396"/>
        <v>11.639882351860654</v>
      </c>
      <c r="AR131" s="468">
        <f t="shared" si="396"/>
        <v>14.09792606766983</v>
      </c>
      <c r="AS131" s="468">
        <f t="shared" si="396"/>
        <v>12.230083299945989</v>
      </c>
      <c r="AT131" s="468">
        <f t="shared" si="396"/>
        <v>13.004471494424562</v>
      </c>
      <c r="AU131" s="468">
        <f t="shared" ca="1" si="396"/>
        <v>12.80387058704672</v>
      </c>
      <c r="AV131" s="468">
        <f t="shared" si="396"/>
        <v>15.507718674436815</v>
      </c>
      <c r="AW131" s="468"/>
      <c r="BE131" s="257"/>
      <c r="BF131" s="259"/>
      <c r="BG131" s="259"/>
      <c r="BH131" s="259"/>
      <c r="BI131" s="259"/>
      <c r="BJ131" s="259"/>
      <c r="BK131" s="259"/>
      <c r="BL131" s="259"/>
      <c r="BM131" s="259"/>
    </row>
    <row r="132" spans="1:65">
      <c r="B132" s="661" t="s">
        <v>315</v>
      </c>
      <c r="C132" s="567"/>
      <c r="D132" s="567"/>
      <c r="E132" s="451"/>
      <c r="F132" s="451">
        <f t="shared" ref="F132:K132" ca="1" si="397">(F128+F123)/F121</f>
        <v>1</v>
      </c>
      <c r="G132" s="451">
        <f t="shared" ca="1" si="397"/>
        <v>1</v>
      </c>
      <c r="H132" s="451">
        <f t="shared" ca="1" si="397"/>
        <v>1</v>
      </c>
      <c r="I132" s="451">
        <f t="shared" ca="1" si="397"/>
        <v>0.99999999999999978</v>
      </c>
      <c r="J132" s="451">
        <f t="shared" ca="1" si="397"/>
        <v>0.99999999999999978</v>
      </c>
      <c r="K132" s="451">
        <f t="shared" ca="1" si="397"/>
        <v>0.99999999999999989</v>
      </c>
      <c r="L132" s="595"/>
      <c r="M132" s="491"/>
      <c r="N132" s="491"/>
      <c r="O132" s="491"/>
      <c r="P132" s="491"/>
      <c r="Q132" s="491"/>
      <c r="R132" s="491"/>
      <c r="S132" s="491"/>
      <c r="T132" s="491"/>
      <c r="U132" s="491"/>
      <c r="V132" s="468"/>
      <c r="W132" s="448"/>
      <c r="X132" s="451"/>
      <c r="Y132" s="451"/>
      <c r="Z132" s="451"/>
      <c r="AA132" s="487">
        <f ca="1">AA131/W131-1</f>
        <v>0.17767125434403841</v>
      </c>
      <c r="AB132" s="487">
        <f>AB131/X131-1</f>
        <v>0.2032256219057087</v>
      </c>
      <c r="AC132" s="662">
        <v>0.4</v>
      </c>
      <c r="AD132" s="662">
        <v>0.12</v>
      </c>
      <c r="AE132" s="662">
        <v>0.12</v>
      </c>
      <c r="AF132" s="662">
        <v>0.12</v>
      </c>
      <c r="AG132" s="662">
        <v>0.2</v>
      </c>
      <c r="AH132" s="662">
        <v>0.1</v>
      </c>
      <c r="AI132" s="662">
        <v>0.1</v>
      </c>
      <c r="AJ132" s="662">
        <v>0.1</v>
      </c>
      <c r="AK132" s="662">
        <v>0.2</v>
      </c>
      <c r="AL132" s="662">
        <v>0.1</v>
      </c>
      <c r="AM132" s="662">
        <v>0.1</v>
      </c>
      <c r="AN132" s="662">
        <v>0.1</v>
      </c>
      <c r="AO132" s="662">
        <v>0.15</v>
      </c>
      <c r="AP132" s="662">
        <v>0.1</v>
      </c>
      <c r="AQ132" s="662">
        <v>0.1</v>
      </c>
      <c r="AR132" s="662">
        <v>0.1</v>
      </c>
      <c r="AS132" s="662">
        <v>0.1</v>
      </c>
      <c r="AT132" s="662">
        <v>0.1</v>
      </c>
      <c r="AU132" s="662">
        <v>0.1</v>
      </c>
      <c r="AV132" s="662">
        <v>0.1</v>
      </c>
    </row>
    <row r="133" spans="1:65">
      <c r="B133" s="570" t="s">
        <v>370</v>
      </c>
      <c r="C133" s="570"/>
      <c r="D133" s="570"/>
      <c r="E133" s="570"/>
      <c r="F133" s="487">
        <f t="shared" ref="F133:J133" ca="1" si="398">F123/F121</f>
        <v>0.56717124572438748</v>
      </c>
      <c r="G133" s="487">
        <f t="shared" ca="1" si="398"/>
        <v>0.56381395938728696</v>
      </c>
      <c r="H133" s="487">
        <f t="shared" ca="1" si="398"/>
        <v>0.57436068216057501</v>
      </c>
      <c r="I133" s="487">
        <f t="shared" ca="1" si="398"/>
        <v>0.58035262256178222</v>
      </c>
      <c r="J133" s="487">
        <f t="shared" ca="1" si="398"/>
        <v>0.58563440928640875</v>
      </c>
      <c r="K133" s="487">
        <f t="shared" ref="K133" ca="1" si="399">K123/K121</f>
        <v>0.59307592113578644</v>
      </c>
      <c r="L133" s="598"/>
      <c r="M133" s="491"/>
      <c r="N133" s="491"/>
      <c r="O133" s="491"/>
      <c r="P133" s="487"/>
      <c r="Q133" s="487"/>
      <c r="R133" s="487"/>
      <c r="S133" s="487"/>
      <c r="T133" s="487"/>
      <c r="U133" s="487"/>
      <c r="V133" s="487"/>
      <c r="W133" s="487"/>
      <c r="X133" s="487">
        <f t="shared" ref="X133:AR133" si="400">X123/X121</f>
        <v>0.53013425559631622</v>
      </c>
      <c r="Y133" s="487">
        <f t="shared" si="400"/>
        <v>0.62902807499948943</v>
      </c>
      <c r="Z133" s="487">
        <f t="shared" si="400"/>
        <v>0.56320433886809429</v>
      </c>
      <c r="AA133" s="487">
        <f t="shared" ca="1" si="400"/>
        <v>0.58811722631851404</v>
      </c>
      <c r="AB133" s="487">
        <f t="shared" si="400"/>
        <v>0.51089261615577408</v>
      </c>
      <c r="AC133" s="487">
        <f t="shared" si="400"/>
        <v>0.57480152223546976</v>
      </c>
      <c r="AD133" s="487">
        <f t="shared" si="400"/>
        <v>0.565111253975358</v>
      </c>
      <c r="AE133" s="487">
        <f t="shared" ca="1" si="400"/>
        <v>0.59868160815028293</v>
      </c>
      <c r="AF133" s="487">
        <f t="shared" si="400"/>
        <v>0.52061411369816213</v>
      </c>
      <c r="AG133" s="487">
        <f t="shared" si="400"/>
        <v>0.56743699438939321</v>
      </c>
      <c r="AH133" s="476">
        <f t="shared" si="400"/>
        <v>0.57905048238972134</v>
      </c>
      <c r="AI133" s="476">
        <f t="shared" ca="1" si="400"/>
        <v>0.60876027954696121</v>
      </c>
      <c r="AJ133" s="476">
        <f t="shared" si="400"/>
        <v>0.54200950953103577</v>
      </c>
      <c r="AK133" s="476">
        <f t="shared" si="400"/>
        <v>0.55790814438533565</v>
      </c>
      <c r="AL133" s="476">
        <f t="shared" si="400"/>
        <v>0.58838928820541436</v>
      </c>
      <c r="AM133" s="476">
        <f t="shared" ca="1" si="400"/>
        <v>0.61787493143417371</v>
      </c>
      <c r="AN133" s="476">
        <f t="shared" si="400"/>
        <v>0.553969286233988</v>
      </c>
      <c r="AO133" s="476">
        <f t="shared" si="400"/>
        <v>0.55669944799725168</v>
      </c>
      <c r="AP133" s="476">
        <f t="shared" si="400"/>
        <v>0.59436703145685454</v>
      </c>
      <c r="AQ133" s="476">
        <f t="shared" ca="1" si="400"/>
        <v>0.62369832287139781</v>
      </c>
      <c r="AR133" s="476">
        <f t="shared" si="400"/>
        <v>0.5637201525224198</v>
      </c>
      <c r="AS133" s="476">
        <f t="shared" ref="AS133:AV133" si="401">AS123/AS121</f>
        <v>0.56427232024826379</v>
      </c>
      <c r="AT133" s="476">
        <f t="shared" si="401"/>
        <v>0.59820108395838989</v>
      </c>
      <c r="AU133" s="476">
        <f t="shared" ca="1" si="401"/>
        <v>0.62742891956031055</v>
      </c>
      <c r="AV133" s="476">
        <f t="shared" si="401"/>
        <v>0.5783499882251425</v>
      </c>
    </row>
    <row r="134" spans="1:65">
      <c r="B134" s="578" t="s">
        <v>371</v>
      </c>
      <c r="C134" s="578"/>
      <c r="D134" s="578"/>
      <c r="E134" s="578"/>
      <c r="F134" s="493">
        <f t="shared" ref="F134:J134" ca="1" si="402">F128/F121</f>
        <v>0.43282875427561246</v>
      </c>
      <c r="G134" s="493">
        <f t="shared" ca="1" si="402"/>
        <v>0.43618604061271299</v>
      </c>
      <c r="H134" s="493">
        <f t="shared" ca="1" si="402"/>
        <v>0.42563931783942494</v>
      </c>
      <c r="I134" s="493">
        <f t="shared" ca="1" si="402"/>
        <v>0.41964737743821767</v>
      </c>
      <c r="J134" s="493">
        <f t="shared" ca="1" si="402"/>
        <v>0.41436559071359119</v>
      </c>
      <c r="K134" s="493">
        <f t="shared" ref="K134" ca="1" si="403">K128/K121</f>
        <v>0.40692407886421339</v>
      </c>
      <c r="L134" s="598"/>
      <c r="M134" s="492"/>
      <c r="N134" s="492"/>
      <c r="O134" s="492"/>
      <c r="P134" s="493"/>
      <c r="Q134" s="493"/>
      <c r="R134" s="493"/>
      <c r="S134" s="493"/>
      <c r="T134" s="493"/>
      <c r="U134" s="493"/>
      <c r="V134" s="493"/>
      <c r="W134" s="493"/>
      <c r="X134" s="493">
        <f t="shared" ref="X134:AR134" si="404">X128/X121</f>
        <v>0.46986574440368384</v>
      </c>
      <c r="Y134" s="493">
        <f t="shared" si="404"/>
        <v>0.37097192500051057</v>
      </c>
      <c r="Z134" s="493">
        <f t="shared" si="404"/>
        <v>0.43679566113190577</v>
      </c>
      <c r="AA134" s="493">
        <f t="shared" ca="1" si="404"/>
        <v>0.41188277368148596</v>
      </c>
      <c r="AB134" s="493">
        <f t="shared" si="404"/>
        <v>0.48910738384422592</v>
      </c>
      <c r="AC134" s="493">
        <f t="shared" si="404"/>
        <v>0.4251984777645304</v>
      </c>
      <c r="AD134" s="493">
        <f t="shared" si="404"/>
        <v>0.43488874602464211</v>
      </c>
      <c r="AE134" s="493">
        <f t="shared" ca="1" si="404"/>
        <v>0.40131839184971707</v>
      </c>
      <c r="AF134" s="493">
        <f t="shared" si="404"/>
        <v>0.47938588630183798</v>
      </c>
      <c r="AG134" s="493">
        <f t="shared" si="404"/>
        <v>0.43256300561060679</v>
      </c>
      <c r="AH134" s="494">
        <f t="shared" si="404"/>
        <v>0.42094951761027855</v>
      </c>
      <c r="AI134" s="494">
        <f t="shared" ca="1" si="404"/>
        <v>0.3912397204530389</v>
      </c>
      <c r="AJ134" s="494">
        <f t="shared" si="404"/>
        <v>0.45799049046896423</v>
      </c>
      <c r="AK134" s="494">
        <f t="shared" si="404"/>
        <v>0.44209185561466435</v>
      </c>
      <c r="AL134" s="494">
        <f t="shared" si="404"/>
        <v>0.41161071179458558</v>
      </c>
      <c r="AM134" s="494">
        <f t="shared" ca="1" si="404"/>
        <v>0.38212506856582629</v>
      </c>
      <c r="AN134" s="494">
        <f t="shared" si="404"/>
        <v>0.44603071376601189</v>
      </c>
      <c r="AO134" s="494">
        <f t="shared" si="404"/>
        <v>0.4433005520027482</v>
      </c>
      <c r="AP134" s="494">
        <f t="shared" si="404"/>
        <v>0.40563296854314534</v>
      </c>
      <c r="AQ134" s="494">
        <f t="shared" ca="1" si="404"/>
        <v>0.37630167712860224</v>
      </c>
      <c r="AR134" s="494">
        <f t="shared" si="404"/>
        <v>0.43627984747758014</v>
      </c>
      <c r="AS134" s="494">
        <f t="shared" ref="AS134:AV134" si="405">AS128/AS121</f>
        <v>0.4357276797517361</v>
      </c>
      <c r="AT134" s="494">
        <f t="shared" si="405"/>
        <v>0.40179891604161</v>
      </c>
      <c r="AU134" s="494">
        <f t="shared" ca="1" si="405"/>
        <v>0.37257108043968945</v>
      </c>
      <c r="AV134" s="494">
        <f t="shared" si="405"/>
        <v>0.4216500117748575</v>
      </c>
    </row>
    <row r="136" spans="1:65">
      <c r="B136" s="557" t="s">
        <v>376</v>
      </c>
      <c r="C136" s="557"/>
      <c r="D136" s="557"/>
      <c r="E136" s="557"/>
      <c r="F136" s="557"/>
      <c r="G136" s="557"/>
      <c r="H136" s="557"/>
      <c r="I136" s="557"/>
      <c r="J136" s="557"/>
      <c r="K136" s="557"/>
      <c r="L136" s="605"/>
      <c r="M136" s="447"/>
      <c r="N136" s="447"/>
      <c r="O136" s="447"/>
      <c r="P136" s="497"/>
      <c r="Q136" s="459"/>
      <c r="R136" s="459"/>
      <c r="S136" s="459"/>
      <c r="T136" s="497"/>
      <c r="U136" s="498"/>
      <c r="V136" s="459"/>
      <c r="W136" s="459"/>
      <c r="X136" s="497"/>
      <c r="Y136" s="498"/>
      <c r="Z136" s="459"/>
      <c r="AA136" s="447"/>
      <c r="AB136" s="447"/>
      <c r="AC136" s="447"/>
      <c r="AD136" s="447"/>
      <c r="AE136" s="447"/>
      <c r="AF136" s="447"/>
      <c r="AG136" s="447"/>
      <c r="AH136" s="447"/>
      <c r="AI136" s="447"/>
      <c r="AJ136" s="447"/>
      <c r="AK136" s="447"/>
      <c r="AL136" s="447"/>
      <c r="AM136" s="447"/>
      <c r="AN136" s="447"/>
      <c r="AO136" s="447"/>
      <c r="AP136" s="447"/>
      <c r="AQ136" s="447"/>
      <c r="AR136" s="447"/>
      <c r="AS136" s="447"/>
      <c r="AT136" s="447"/>
      <c r="AU136" s="447"/>
      <c r="AV136" s="447"/>
    </row>
    <row r="137" spans="1:65" s="258" customFormat="1">
      <c r="A137" s="460"/>
      <c r="B137" s="564" t="s">
        <v>377</v>
      </c>
      <c r="C137" s="588">
        <f>SUM(M137:P137)</f>
        <v>47.26</v>
      </c>
      <c r="D137" s="588">
        <f>SUM(Q137:T137)</f>
        <v>171.58</v>
      </c>
      <c r="E137" s="588">
        <f>SUM(U137:X137)</f>
        <v>433.38</v>
      </c>
      <c r="F137" s="588">
        <f>SUM(Y137:AB137)</f>
        <v>779.69</v>
      </c>
      <c r="G137" s="588">
        <f>SUM(AC137:AF137)</f>
        <v>1162.2566459278664</v>
      </c>
      <c r="H137" s="588">
        <f>SUM(AG137:AJ137)</f>
        <v>1600.1625041710611</v>
      </c>
      <c r="I137" s="588">
        <f>SUM(AK137:AN137)</f>
        <v>2025.9373590681175</v>
      </c>
      <c r="J137" s="588">
        <f>SUM(AO137:AR137)</f>
        <v>2520.6428722328947</v>
      </c>
      <c r="K137" s="588">
        <f>SUM(AS137:AV137)</f>
        <v>3124.3914333762036</v>
      </c>
      <c r="L137" s="586"/>
      <c r="M137" s="460">
        <v>10.49</v>
      </c>
      <c r="N137" s="460">
        <v>9.2799999999999994</v>
      </c>
      <c r="O137" s="460">
        <v>11.09</v>
      </c>
      <c r="P137" s="460">
        <v>16.399999999999999</v>
      </c>
      <c r="Q137" s="460">
        <v>23.3</v>
      </c>
      <c r="R137" s="460">
        <v>34.79</v>
      </c>
      <c r="S137" s="460">
        <v>49.64</v>
      </c>
      <c r="T137" s="460">
        <v>63.85</v>
      </c>
      <c r="U137" s="460">
        <v>75.56</v>
      </c>
      <c r="V137" s="460">
        <v>96.54</v>
      </c>
      <c r="W137" s="460">
        <v>120.44</v>
      </c>
      <c r="X137" s="460">
        <v>140.84</v>
      </c>
      <c r="Y137" s="460">
        <v>159.62</v>
      </c>
      <c r="Z137" s="460">
        <v>174.96</v>
      </c>
      <c r="AA137" s="489">
        <v>202.99</v>
      </c>
      <c r="AB137" s="461">
        <v>242.12</v>
      </c>
      <c r="AC137" s="461">
        <f t="shared" ref="AC137:AR137" si="406">AC145+AC149+AC147</f>
        <v>248.40722464590749</v>
      </c>
      <c r="AD137" s="461">
        <f t="shared" si="406"/>
        <v>266.88197429867665</v>
      </c>
      <c r="AE137" s="461">
        <f t="shared" si="406"/>
        <v>305.09957588774853</v>
      </c>
      <c r="AF137" s="461">
        <f t="shared" si="406"/>
        <v>341.86787109553393</v>
      </c>
      <c r="AG137" s="461">
        <f t="shared" si="406"/>
        <v>359.96531324391037</v>
      </c>
      <c r="AH137" s="461">
        <f t="shared" si="406"/>
        <v>378.7409935712837</v>
      </c>
      <c r="AI137" s="461">
        <f t="shared" si="406"/>
        <v>413.88341777339406</v>
      </c>
      <c r="AJ137" s="461">
        <f t="shared" si="406"/>
        <v>447.57277958247306</v>
      </c>
      <c r="AK137" s="461">
        <f t="shared" si="406"/>
        <v>457.94658274770427</v>
      </c>
      <c r="AL137" s="461">
        <f t="shared" si="406"/>
        <v>480.36551577928662</v>
      </c>
      <c r="AM137" s="461">
        <f t="shared" si="406"/>
        <v>523.44137108510461</v>
      </c>
      <c r="AN137" s="461">
        <f t="shared" si="406"/>
        <v>564.1838894560218</v>
      </c>
      <c r="AO137" s="461">
        <f t="shared" si="406"/>
        <v>571.95225263720079</v>
      </c>
      <c r="AP137" s="461">
        <f t="shared" si="406"/>
        <v>598.42872061031676</v>
      </c>
      <c r="AQ137" s="461">
        <f t="shared" si="406"/>
        <v>650.46367367295898</v>
      </c>
      <c r="AR137" s="461">
        <f t="shared" si="406"/>
        <v>699.79822531241837</v>
      </c>
      <c r="AS137" s="461">
        <f t="shared" ref="AS137:AV137" si="407">AS145+AS149+AS147</f>
        <v>708.75513939789357</v>
      </c>
      <c r="AT137" s="461">
        <f t="shared" si="407"/>
        <v>741.67857007888267</v>
      </c>
      <c r="AU137" s="461">
        <f t="shared" si="407"/>
        <v>806.13747666511404</v>
      </c>
      <c r="AV137" s="461">
        <f t="shared" si="407"/>
        <v>867.82024723431311</v>
      </c>
      <c r="AW137" s="460"/>
      <c r="BF137" s="259"/>
      <c r="BG137" s="259"/>
      <c r="BH137" s="259"/>
      <c r="BI137" s="259"/>
      <c r="BJ137" s="259"/>
      <c r="BK137" s="259"/>
      <c r="BL137" s="259"/>
      <c r="BM137" s="259"/>
    </row>
    <row r="138" spans="1:65" s="276" customFormat="1">
      <c r="A138" s="499"/>
      <c r="B138" s="579" t="s">
        <v>315</v>
      </c>
      <c r="C138" s="559"/>
      <c r="D138" s="608">
        <f>D137/C137-1</f>
        <v>2.6305543800253917</v>
      </c>
      <c r="E138" s="608">
        <f t="shared" ref="E138" si="408">E137/D137-1</f>
        <v>1.5258188600069937</v>
      </c>
      <c r="F138" s="608">
        <f t="shared" ref="F138" si="409">F137/E137-1</f>
        <v>0.79909086713738531</v>
      </c>
      <c r="G138" s="608">
        <f t="shared" ref="G138" si="410">G137/F137-1</f>
        <v>0.49066506679304123</v>
      </c>
      <c r="H138" s="608">
        <f t="shared" ref="H138" si="411">H137/G137-1</f>
        <v>0.37677208366797554</v>
      </c>
      <c r="I138" s="608">
        <f t="shared" ref="I138" si="412">I137/H137-1</f>
        <v>0.26608225963751253</v>
      </c>
      <c r="J138" s="608">
        <f t="shared" ref="J138:K138" si="413">J137/I137-1</f>
        <v>0.24418598677321879</v>
      </c>
      <c r="K138" s="608">
        <f t="shared" si="413"/>
        <v>0.23952165846028084</v>
      </c>
      <c r="L138" s="602"/>
      <c r="M138" s="499"/>
      <c r="N138" s="499"/>
      <c r="O138" s="499"/>
      <c r="P138" s="499"/>
      <c r="Q138" s="500">
        <f>Q137/M137-1</f>
        <v>1.221163012392755</v>
      </c>
      <c r="R138" s="500">
        <f t="shared" ref="R138:AQ138" si="414">R137/N137-1</f>
        <v>2.7489224137931036</v>
      </c>
      <c r="S138" s="500">
        <f t="shared" si="414"/>
        <v>3.4761045987376011</v>
      </c>
      <c r="T138" s="500">
        <f t="shared" si="414"/>
        <v>2.8932926829268295</v>
      </c>
      <c r="U138" s="500">
        <f t="shared" si="414"/>
        <v>2.2429184549356225</v>
      </c>
      <c r="V138" s="500">
        <f t="shared" si="414"/>
        <v>1.7749353262431735</v>
      </c>
      <c r="W138" s="500">
        <f t="shared" si="414"/>
        <v>1.4262691377921031</v>
      </c>
      <c r="X138" s="500">
        <f t="shared" si="414"/>
        <v>1.2057948316366485</v>
      </c>
      <c r="Y138" s="500">
        <f t="shared" si="414"/>
        <v>1.1124933827421915</v>
      </c>
      <c r="Z138" s="500">
        <f t="shared" si="414"/>
        <v>0.81230577998756992</v>
      </c>
      <c r="AA138" s="500">
        <f t="shared" si="414"/>
        <v>0.6854035204251081</v>
      </c>
      <c r="AB138" s="500">
        <f t="shared" si="414"/>
        <v>0.71911388809997168</v>
      </c>
      <c r="AC138" s="500">
        <f t="shared" si="414"/>
        <v>0.55624122695093026</v>
      </c>
      <c r="AD138" s="500">
        <f t="shared" si="414"/>
        <v>0.52538851336692183</v>
      </c>
      <c r="AE138" s="500">
        <f t="shared" si="414"/>
        <v>0.50302761657100614</v>
      </c>
      <c r="AF138" s="500">
        <f t="shared" si="414"/>
        <v>0.41197699940332866</v>
      </c>
      <c r="AG138" s="500">
        <f t="shared" si="414"/>
        <v>0.44909357510444203</v>
      </c>
      <c r="AH138" s="500">
        <f t="shared" si="414"/>
        <v>0.4191329128411716</v>
      </c>
      <c r="AI138" s="500">
        <f t="shared" si="414"/>
        <v>0.3565519275768152</v>
      </c>
      <c r="AJ138" s="500">
        <f t="shared" si="414"/>
        <v>0.30919813595879031</v>
      </c>
      <c r="AK138" s="500">
        <f t="shared" si="414"/>
        <v>0.27219641976281861</v>
      </c>
      <c r="AL138" s="500">
        <f t="shared" si="414"/>
        <v>0.26832195070765685</v>
      </c>
      <c r="AM138" s="500">
        <f t="shared" si="414"/>
        <v>0.26470727892677925</v>
      </c>
      <c r="AN138" s="500">
        <f t="shared" si="414"/>
        <v>0.26054111240261668</v>
      </c>
      <c r="AO138" s="500">
        <f t="shared" si="414"/>
        <v>0.24894971200670679</v>
      </c>
      <c r="AP138" s="500">
        <f t="shared" si="414"/>
        <v>0.24577785239121241</v>
      </c>
      <c r="AQ138" s="500">
        <f t="shared" si="414"/>
        <v>0.24266767895043251</v>
      </c>
      <c r="AR138" s="500">
        <f>AR137/AN137-1</f>
        <v>0.24037257779046839</v>
      </c>
      <c r="AS138" s="500">
        <f t="shared" ref="AS138:AV138" si="415">AS137/AO137-1</f>
        <v>0.23918585184324681</v>
      </c>
      <c r="AT138" s="500">
        <f t="shared" si="415"/>
        <v>0.23937662838519902</v>
      </c>
      <c r="AU138" s="500">
        <f t="shared" si="415"/>
        <v>0.23932743563236247</v>
      </c>
      <c r="AV138" s="500">
        <f t="shared" si="415"/>
        <v>0.24010066879904257</v>
      </c>
      <c r="AW138" s="499"/>
    </row>
    <row r="139" spans="1:65" s="276" customFormat="1">
      <c r="A139" s="499"/>
      <c r="B139" s="562" t="s">
        <v>1022</v>
      </c>
      <c r="C139" s="562"/>
      <c r="D139" s="562"/>
      <c r="E139" s="562"/>
      <c r="F139" s="562"/>
      <c r="G139" s="562"/>
      <c r="H139" s="562"/>
      <c r="I139" s="562"/>
      <c r="J139" s="562"/>
      <c r="K139" s="562"/>
      <c r="L139" s="593"/>
      <c r="M139" s="487"/>
      <c r="N139" s="487">
        <f>N137/M137-1</f>
        <v>-0.11534795042898005</v>
      </c>
      <c r="O139" s="487">
        <f t="shared" ref="O139:AR139" si="416">O137/N137-1</f>
        <v>0.19504310344827602</v>
      </c>
      <c r="P139" s="487">
        <f t="shared" si="416"/>
        <v>0.47880973850315578</v>
      </c>
      <c r="Q139" s="487">
        <f t="shared" si="416"/>
        <v>0.42073170731707332</v>
      </c>
      <c r="R139" s="487">
        <f t="shared" si="416"/>
        <v>0.49313304721030038</v>
      </c>
      <c r="S139" s="487">
        <f t="shared" si="416"/>
        <v>0.42684679505605061</v>
      </c>
      <c r="T139" s="487">
        <f t="shared" si="416"/>
        <v>0.28626107977437543</v>
      </c>
      <c r="U139" s="487">
        <f t="shared" si="416"/>
        <v>0.18339859044635864</v>
      </c>
      <c r="V139" s="487">
        <f t="shared" si="416"/>
        <v>0.27766013763896247</v>
      </c>
      <c r="W139" s="487">
        <f t="shared" si="416"/>
        <v>0.24756577584420958</v>
      </c>
      <c r="X139" s="487">
        <f t="shared" si="416"/>
        <v>0.16937894387246777</v>
      </c>
      <c r="Y139" s="487">
        <f t="shared" si="416"/>
        <v>0.13334280034081236</v>
      </c>
      <c r="Z139" s="487">
        <f t="shared" si="416"/>
        <v>9.6103245207367571E-2</v>
      </c>
      <c r="AA139" s="487">
        <f t="shared" si="416"/>
        <v>0.16020804755372664</v>
      </c>
      <c r="AB139" s="487">
        <f t="shared" si="416"/>
        <v>0.19276811665599292</v>
      </c>
      <c r="AC139" s="487">
        <f t="shared" si="416"/>
        <v>2.5967390739746854E-2</v>
      </c>
      <c r="AD139" s="487">
        <f t="shared" si="416"/>
        <v>7.4372835488597522E-2</v>
      </c>
      <c r="AE139" s="487">
        <f t="shared" si="416"/>
        <v>0.14320038544941682</v>
      </c>
      <c r="AF139" s="487">
        <f t="shared" si="416"/>
        <v>0.12051244286656471</v>
      </c>
      <c r="AG139" s="487">
        <f t="shared" si="416"/>
        <v>5.2936949267511579E-2</v>
      </c>
      <c r="AH139" s="487">
        <f t="shared" si="416"/>
        <v>5.2159693272032071E-2</v>
      </c>
      <c r="AI139" s="487">
        <f t="shared" si="416"/>
        <v>9.2787484847467683E-2</v>
      </c>
      <c r="AJ139" s="487">
        <f t="shared" si="416"/>
        <v>8.1398191766949068E-2</v>
      </c>
      <c r="AK139" s="487">
        <f t="shared" si="416"/>
        <v>2.317791348908349E-2</v>
      </c>
      <c r="AL139" s="487">
        <f t="shared" si="416"/>
        <v>4.8955345178181231E-2</v>
      </c>
      <c r="AM139" s="487">
        <f t="shared" si="416"/>
        <v>8.9673079958574764E-2</v>
      </c>
      <c r="AN139" s="487">
        <f t="shared" si="416"/>
        <v>7.7835877371437379E-2</v>
      </c>
      <c r="AO139" s="487">
        <f t="shared" si="416"/>
        <v>1.3769204201610874E-2</v>
      </c>
      <c r="AP139" s="487">
        <f t="shared" si="416"/>
        <v>4.6291395568487159E-2</v>
      </c>
      <c r="AQ139" s="487">
        <f t="shared" si="416"/>
        <v>8.6952633238547739E-2</v>
      </c>
      <c r="AR139" s="487">
        <f t="shared" si="416"/>
        <v>7.5845206483066141E-2</v>
      </c>
      <c r="AS139" s="487">
        <f t="shared" ref="AS139" si="417">AS137/AR137-1</f>
        <v>1.2799280937696667E-2</v>
      </c>
      <c r="AT139" s="487">
        <f t="shared" ref="AT139" si="418">AT137/AS137-1</f>
        <v>4.6452475404916926E-2</v>
      </c>
      <c r="AU139" s="487">
        <f t="shared" ref="AU139" si="419">AU137/AT137-1</f>
        <v>8.690949042706686E-2</v>
      </c>
      <c r="AV139" s="487">
        <f t="shared" ref="AV139" si="420">AV137/AU137-1</f>
        <v>7.651644087355014E-2</v>
      </c>
      <c r="AW139" s="499"/>
    </row>
    <row r="140" spans="1:65">
      <c r="B140" s="450" t="s">
        <v>1020</v>
      </c>
      <c r="C140" s="450"/>
      <c r="D140" s="450"/>
      <c r="E140" s="450"/>
      <c r="F140" s="450"/>
      <c r="G140" s="450"/>
      <c r="H140" s="450"/>
      <c r="I140" s="450"/>
      <c r="J140" s="450"/>
      <c r="K140" s="450"/>
      <c r="M140" s="450"/>
      <c r="N140" s="450"/>
      <c r="O140" s="450"/>
      <c r="P140" s="450"/>
      <c r="Q140" s="450"/>
      <c r="R140" s="450"/>
      <c r="S140" s="450"/>
      <c r="T140" s="450"/>
      <c r="U140" s="450"/>
      <c r="V140" s="450"/>
      <c r="W140" s="450"/>
      <c r="X140" s="450"/>
      <c r="Y140" s="450"/>
      <c r="Z140" s="450"/>
      <c r="AA140" s="450"/>
      <c r="AB140" s="450"/>
      <c r="AC140" s="450"/>
      <c r="AD140" s="450"/>
      <c r="AE140" s="450"/>
      <c r="AF140" s="450"/>
      <c r="AG140" s="450"/>
      <c r="AH140" s="450"/>
      <c r="AI140" s="450"/>
      <c r="AJ140" s="450"/>
      <c r="AK140" s="450"/>
      <c r="AL140" s="450"/>
      <c r="AM140" s="450"/>
      <c r="AN140" s="450"/>
      <c r="AO140" s="450"/>
      <c r="AP140" s="450"/>
      <c r="AQ140" s="450"/>
      <c r="AR140" s="450"/>
      <c r="AS140" s="450"/>
      <c r="AT140" s="450"/>
      <c r="AU140" s="450"/>
      <c r="AV140" s="450"/>
    </row>
    <row r="141" spans="1:65">
      <c r="B141" s="579" t="s">
        <v>379</v>
      </c>
      <c r="C141" s="500">
        <f>C145/C137</f>
        <v>6.6653723945377386E-2</v>
      </c>
      <c r="D141" s="500">
        <f t="shared" ref="D141:J141" si="421">D145/D137</f>
        <v>8.2613048004828896E-2</v>
      </c>
      <c r="E141" s="500">
        <f t="shared" si="421"/>
        <v>0.10068997839998238</v>
      </c>
      <c r="F141" s="500">
        <f t="shared" si="421"/>
        <v>0.11673534513716989</v>
      </c>
      <c r="G141" s="500">
        <f t="shared" si="421"/>
        <v>0.12737288414495104</v>
      </c>
      <c r="H141" s="500">
        <f t="shared" si="421"/>
        <v>0.13417518714825216</v>
      </c>
      <c r="I141" s="500">
        <f t="shared" si="421"/>
        <v>0.14025466504931425</v>
      </c>
      <c r="J141" s="500">
        <f t="shared" si="421"/>
        <v>0.1389037372816756</v>
      </c>
      <c r="K141" s="500">
        <f t="shared" ref="K141" si="422">K145/K137</f>
        <v>0.13447484648639718</v>
      </c>
      <c r="L141" s="602"/>
      <c r="M141" s="500">
        <f t="shared" ref="M141:Y141" si="423">N141*0.95</f>
        <v>6.0959372389441178E-2</v>
      </c>
      <c r="N141" s="500">
        <f t="shared" si="423"/>
        <v>6.4167760409938088E-2</v>
      </c>
      <c r="O141" s="500">
        <f t="shared" si="423"/>
        <v>6.7545010957829568E-2</v>
      </c>
      <c r="P141" s="500">
        <f t="shared" si="423"/>
        <v>7.1100011534557445E-2</v>
      </c>
      <c r="Q141" s="500">
        <f t="shared" si="423"/>
        <v>7.484211740479732E-2</v>
      </c>
      <c r="R141" s="500">
        <f t="shared" si="423"/>
        <v>7.8781176215576135E-2</v>
      </c>
      <c r="S141" s="500">
        <f t="shared" si="423"/>
        <v>8.2927553911132781E-2</v>
      </c>
      <c r="T141" s="500">
        <f t="shared" si="423"/>
        <v>8.7292162011718716E-2</v>
      </c>
      <c r="U141" s="500">
        <f t="shared" si="423"/>
        <v>9.1886486328124975E-2</v>
      </c>
      <c r="V141" s="500">
        <f t="shared" si="423"/>
        <v>9.6722617187499985E-2</v>
      </c>
      <c r="W141" s="500">
        <f t="shared" si="423"/>
        <v>0.10181328124999998</v>
      </c>
      <c r="X141" s="500">
        <f t="shared" si="423"/>
        <v>0.10717187499999999</v>
      </c>
      <c r="Y141" s="500">
        <f t="shared" si="423"/>
        <v>0.1128125</v>
      </c>
      <c r="Z141" s="500">
        <f>AA141*0.95</f>
        <v>0.11874999999999999</v>
      </c>
      <c r="AA141" s="500">
        <v>0.125</v>
      </c>
      <c r="AB141" s="500">
        <f t="shared" ref="AB141:AR141" si="424">AB145/AB137</f>
        <v>0.11093672559061622</v>
      </c>
      <c r="AC141" s="500">
        <f t="shared" si="424"/>
        <v>0.124476431263451</v>
      </c>
      <c r="AD141" s="500">
        <f t="shared" si="424"/>
        <v>0.12921168962311061</v>
      </c>
      <c r="AE141" s="500">
        <f t="shared" si="424"/>
        <v>0.13364616638016424</v>
      </c>
      <c r="AF141" s="500">
        <f t="shared" si="424"/>
        <v>0.12244343593813732</v>
      </c>
      <c r="AG141" s="500">
        <f t="shared" si="424"/>
        <v>0.13003100586757307</v>
      </c>
      <c r="AH141" s="500">
        <f t="shared" si="424"/>
        <v>0.13408501061569508</v>
      </c>
      <c r="AI141" s="500">
        <f t="shared" si="424"/>
        <v>0.14135943463647824</v>
      </c>
      <c r="AJ141" s="500">
        <f t="shared" si="424"/>
        <v>0.13094101852090484</v>
      </c>
      <c r="AK141" s="500">
        <f t="shared" si="424"/>
        <v>0.13982839526097873</v>
      </c>
      <c r="AL141" s="500">
        <f t="shared" si="424"/>
        <v>0.14151552940619846</v>
      </c>
      <c r="AM141" s="500">
        <f t="shared" si="424"/>
        <v>0.14659172381144395</v>
      </c>
      <c r="AN141" s="500">
        <f t="shared" si="424"/>
        <v>0.13364769565336851</v>
      </c>
      <c r="AO141" s="500">
        <f t="shared" si="424"/>
        <v>0.14147641972723207</v>
      </c>
      <c r="AP141" s="500">
        <f t="shared" si="424"/>
        <v>0.14115184595254829</v>
      </c>
      <c r="AQ141" s="500">
        <f t="shared" si="424"/>
        <v>0.14429169692405172</v>
      </c>
      <c r="AR141" s="500">
        <f t="shared" si="424"/>
        <v>0.12987048153782313</v>
      </c>
      <c r="AS141" s="500">
        <f t="shared" ref="AS141:AV141" si="425">AS145/AS137</f>
        <v>0.13700261620978713</v>
      </c>
      <c r="AT141" s="500">
        <f t="shared" si="425"/>
        <v>0.13666726583649424</v>
      </c>
      <c r="AU141" s="500">
        <f t="shared" si="425"/>
        <v>0.13971290502458122</v>
      </c>
      <c r="AV141" s="500">
        <f t="shared" si="425"/>
        <v>0.12567090863382341</v>
      </c>
      <c r="BG141" s="260"/>
      <c r="BH141" s="260"/>
      <c r="BI141" s="260"/>
      <c r="BJ141" s="260"/>
      <c r="BK141" s="260"/>
      <c r="BL141" s="260"/>
      <c r="BM141" s="260"/>
    </row>
    <row r="142" spans="1:65">
      <c r="B142" s="579" t="s">
        <v>1021</v>
      </c>
      <c r="C142" s="500">
        <f>C147/C137</f>
        <v>8.687981379602204E-2</v>
      </c>
      <c r="D142" s="500">
        <f t="shared" ref="D142:J142" si="426">D147/D137</f>
        <v>7.430667910012824E-2</v>
      </c>
      <c r="E142" s="500">
        <f t="shared" si="426"/>
        <v>6.2739443444552137E-2</v>
      </c>
      <c r="F142" s="500">
        <f t="shared" si="426"/>
        <v>5.0675396631994774E-2</v>
      </c>
      <c r="G142" s="500">
        <f t="shared" si="426"/>
        <v>4.4184274649511697E-2</v>
      </c>
      <c r="H142" s="500">
        <f t="shared" si="426"/>
        <v>3.9933319438559468E-2</v>
      </c>
      <c r="I142" s="500">
        <f t="shared" si="426"/>
        <v>3.7821424573365778E-2</v>
      </c>
      <c r="J142" s="500">
        <f t="shared" si="426"/>
        <v>3.5331546756354956E-2</v>
      </c>
      <c r="K142" s="500">
        <f t="shared" ref="K142" si="427">K147/K137</f>
        <v>3.2779805413226816E-2</v>
      </c>
      <c r="L142" s="602"/>
      <c r="M142" s="500">
        <f t="shared" ref="M142:Z142" si="428">M149/M137</f>
        <v>0.84704062761055876</v>
      </c>
      <c r="N142" s="500">
        <f t="shared" si="428"/>
        <v>0.84683223959006193</v>
      </c>
      <c r="O142" s="500">
        <f t="shared" si="428"/>
        <v>0.84645498904217031</v>
      </c>
      <c r="P142" s="500">
        <f t="shared" si="428"/>
        <v>0.84589998846544256</v>
      </c>
      <c r="Q142" s="500">
        <f t="shared" si="428"/>
        <v>0.84515788259520264</v>
      </c>
      <c r="R142" s="500">
        <f t="shared" si="428"/>
        <v>0.84421882378442381</v>
      </c>
      <c r="S142" s="500">
        <f t="shared" si="428"/>
        <v>0.84307244608886711</v>
      </c>
      <c r="T142" s="500">
        <f t="shared" si="428"/>
        <v>0.8417078379882813</v>
      </c>
      <c r="U142" s="500">
        <f t="shared" si="428"/>
        <v>0.84011351367187503</v>
      </c>
      <c r="V142" s="500">
        <f t="shared" si="428"/>
        <v>0.83827738281249997</v>
      </c>
      <c r="W142" s="500">
        <f t="shared" si="428"/>
        <v>0.83618671875000006</v>
      </c>
      <c r="X142" s="500">
        <f t="shared" si="428"/>
        <v>0.83382812499999992</v>
      </c>
      <c r="Y142" s="500">
        <f t="shared" si="428"/>
        <v>0.83118750000000019</v>
      </c>
      <c r="Z142" s="500">
        <f t="shared" si="428"/>
        <v>0.82824999999999993</v>
      </c>
      <c r="AA142" s="500">
        <f>1-AA141-AA143</f>
        <v>0.82499999999999996</v>
      </c>
      <c r="AB142" s="500">
        <f t="shared" ref="AB142:AR142" si="429">AB149/AB137</f>
        <v>0.84301172972079952</v>
      </c>
      <c r="AC142" s="500">
        <f t="shared" si="429"/>
        <v>0.82785406445258181</v>
      </c>
      <c r="AD142" s="500">
        <f t="shared" si="429"/>
        <v>0.82532416428205424</v>
      </c>
      <c r="AE142" s="500">
        <f t="shared" si="429"/>
        <v>0.82333816515176317</v>
      </c>
      <c r="AF142" s="500">
        <f t="shared" si="429"/>
        <v>0.83586093973758324</v>
      </c>
      <c r="AG142" s="500">
        <f t="shared" si="429"/>
        <v>0.82837189680433621</v>
      </c>
      <c r="AH142" s="500">
        <f t="shared" si="429"/>
        <v>0.8258284355721105</v>
      </c>
      <c r="AI142" s="500">
        <f t="shared" si="429"/>
        <v>0.81936157426744793</v>
      </c>
      <c r="AJ142" s="500">
        <f t="shared" si="429"/>
        <v>0.82998836601846626</v>
      </c>
      <c r="AK142" s="500">
        <f t="shared" si="429"/>
        <v>0.82043037832794297</v>
      </c>
      <c r="AL142" s="500">
        <f t="shared" si="429"/>
        <v>0.82040985590471771</v>
      </c>
      <c r="AM142" s="500">
        <f t="shared" si="429"/>
        <v>0.81631188558752288</v>
      </c>
      <c r="AN142" s="500">
        <f t="shared" si="429"/>
        <v>0.82963207696572427</v>
      </c>
      <c r="AO142" s="500">
        <f t="shared" si="429"/>
        <v>0.82112030856885421</v>
      </c>
      <c r="AP142" s="500">
        <f t="shared" si="429"/>
        <v>0.8231903608757164</v>
      </c>
      <c r="AQ142" s="500">
        <f t="shared" si="429"/>
        <v>0.82112850786159763</v>
      </c>
      <c r="AR142" s="500">
        <f t="shared" si="429"/>
        <v>0.83607144722151294</v>
      </c>
      <c r="AS142" s="500">
        <f t="shared" ref="AS142:AV142" si="430">AS149/AS137</f>
        <v>0.82828607523587527</v>
      </c>
      <c r="AT142" s="500">
        <f t="shared" si="430"/>
        <v>0.83024637348158492</v>
      </c>
      <c r="AU142" s="500">
        <f t="shared" si="430"/>
        <v>0.82819971971593975</v>
      </c>
      <c r="AV142" s="500">
        <f t="shared" si="430"/>
        <v>0.84274554100433852</v>
      </c>
      <c r="BG142" s="260"/>
      <c r="BH142" s="260"/>
      <c r="BI142" s="260"/>
      <c r="BJ142" s="260"/>
      <c r="BK142" s="260"/>
      <c r="BL142" s="260"/>
      <c r="BM142" s="260"/>
    </row>
    <row r="143" spans="1:65">
      <c r="B143" s="579" t="s">
        <v>313</v>
      </c>
      <c r="C143" s="500">
        <f>C149/C137</f>
        <v>0.84646646225860067</v>
      </c>
      <c r="D143" s="500">
        <f t="shared" ref="D143:J143" si="431">D149/D137</f>
        <v>0.84308027289504273</v>
      </c>
      <c r="E143" s="500">
        <f t="shared" si="431"/>
        <v>0.83657057815546543</v>
      </c>
      <c r="F143" s="500">
        <f t="shared" si="431"/>
        <v>0.83258925823083529</v>
      </c>
      <c r="G143" s="500">
        <f t="shared" si="431"/>
        <v>0.82844284120553735</v>
      </c>
      <c r="H143" s="500">
        <f t="shared" si="431"/>
        <v>0.82589149341318835</v>
      </c>
      <c r="I143" s="500">
        <f t="shared" si="431"/>
        <v>0.82192391037731993</v>
      </c>
      <c r="J143" s="500">
        <f t="shared" si="431"/>
        <v>0.82576471596196965</v>
      </c>
      <c r="K143" s="500">
        <f t="shared" ref="K143" si="432">K149/K137</f>
        <v>0.83274534810037582</v>
      </c>
      <c r="L143" s="602"/>
      <c r="M143" s="500">
        <f t="shared" ref="M143:Y143" si="433">N143+0.003</f>
        <v>9.200000000000004E-2</v>
      </c>
      <c r="N143" s="500">
        <f t="shared" si="433"/>
        <v>8.9000000000000037E-2</v>
      </c>
      <c r="O143" s="500">
        <f t="shared" si="433"/>
        <v>8.6000000000000035E-2</v>
      </c>
      <c r="P143" s="500">
        <f t="shared" si="433"/>
        <v>8.3000000000000032E-2</v>
      </c>
      <c r="Q143" s="500">
        <f t="shared" si="433"/>
        <v>8.0000000000000029E-2</v>
      </c>
      <c r="R143" s="500">
        <f t="shared" si="433"/>
        <v>7.7000000000000027E-2</v>
      </c>
      <c r="S143" s="500">
        <f t="shared" si="433"/>
        <v>7.4000000000000024E-2</v>
      </c>
      <c r="T143" s="500">
        <f t="shared" si="433"/>
        <v>7.1000000000000021E-2</v>
      </c>
      <c r="U143" s="500">
        <f t="shared" si="433"/>
        <v>6.8000000000000019E-2</v>
      </c>
      <c r="V143" s="500">
        <f t="shared" si="433"/>
        <v>6.5000000000000016E-2</v>
      </c>
      <c r="W143" s="500">
        <f t="shared" si="433"/>
        <v>6.2000000000000013E-2</v>
      </c>
      <c r="X143" s="500">
        <f t="shared" si="433"/>
        <v>5.9000000000000011E-2</v>
      </c>
      <c r="Y143" s="500">
        <f t="shared" si="433"/>
        <v>5.6000000000000008E-2</v>
      </c>
      <c r="Z143" s="500">
        <f>AA143+0.003</f>
        <v>5.3000000000000005E-2</v>
      </c>
      <c r="AA143" s="500">
        <v>0.05</v>
      </c>
      <c r="AB143" s="500">
        <f t="shared" ref="AB143:AR143" si="434">AB147/AB137</f>
        <v>4.6051544688584176E-2</v>
      </c>
      <c r="AC143" s="500">
        <f t="shared" si="434"/>
        <v>4.7669504283967212E-2</v>
      </c>
      <c r="AD143" s="500">
        <f t="shared" si="434"/>
        <v>4.546414609483522E-2</v>
      </c>
      <c r="AE143" s="500">
        <f t="shared" si="434"/>
        <v>4.3015668468072671E-2</v>
      </c>
      <c r="AF143" s="500">
        <f t="shared" si="434"/>
        <v>4.1695624324279403E-2</v>
      </c>
      <c r="AG143" s="500">
        <f t="shared" si="434"/>
        <v>4.1597097328090638E-2</v>
      </c>
      <c r="AH143" s="500">
        <f t="shared" si="434"/>
        <v>4.0086553812194461E-2</v>
      </c>
      <c r="AI143" s="500">
        <f t="shared" si="434"/>
        <v>3.9278991096073836E-2</v>
      </c>
      <c r="AJ143" s="500">
        <f t="shared" si="434"/>
        <v>3.9070615460628948E-2</v>
      </c>
      <c r="AK143" s="500">
        <f t="shared" si="434"/>
        <v>3.974122641107844E-2</v>
      </c>
      <c r="AL143" s="500">
        <f t="shared" si="434"/>
        <v>3.8074614689083894E-2</v>
      </c>
      <c r="AM143" s="500">
        <f t="shared" si="434"/>
        <v>3.7096390601033279E-2</v>
      </c>
      <c r="AN143" s="500">
        <f t="shared" si="434"/>
        <v>3.6720227380907043E-2</v>
      </c>
      <c r="AO143" s="500">
        <f t="shared" si="434"/>
        <v>3.7403271703913707E-2</v>
      </c>
      <c r="AP143" s="500">
        <f t="shared" si="434"/>
        <v>3.5657793171735334E-2</v>
      </c>
      <c r="AQ143" s="500">
        <f t="shared" si="434"/>
        <v>3.45797952143507E-2</v>
      </c>
      <c r="AR143" s="500">
        <f t="shared" si="434"/>
        <v>3.4058071240664074E-2</v>
      </c>
      <c r="AS143" s="500">
        <f t="shared" ref="AS143:AV143" si="435">AS147/AS137</f>
        <v>3.4711308554337711E-2</v>
      </c>
      <c r="AT143" s="500">
        <f t="shared" si="435"/>
        <v>3.3086360681920807E-2</v>
      </c>
      <c r="AU143" s="500">
        <f t="shared" si="435"/>
        <v>3.2087375259478905E-2</v>
      </c>
      <c r="AV143" s="500">
        <f t="shared" si="435"/>
        <v>3.1583550361838103E-2</v>
      </c>
      <c r="BG143" s="260"/>
      <c r="BH143" s="260"/>
      <c r="BI143" s="260"/>
      <c r="BJ143" s="260"/>
      <c r="BK143" s="260"/>
      <c r="BL143" s="260"/>
      <c r="BM143" s="260"/>
    </row>
    <row r="144" spans="1:65" s="276" customFormat="1">
      <c r="A144" s="499"/>
      <c r="B144" s="579"/>
      <c r="C144" s="579"/>
      <c r="D144" s="579"/>
      <c r="E144" s="579"/>
      <c r="F144" s="579"/>
      <c r="G144" s="579"/>
      <c r="H144" s="579"/>
      <c r="I144" s="579"/>
      <c r="J144" s="579"/>
      <c r="K144" s="579"/>
      <c r="L144" s="602"/>
      <c r="M144" s="499"/>
      <c r="N144" s="499"/>
      <c r="O144" s="499"/>
      <c r="P144" s="499"/>
      <c r="Q144" s="500"/>
      <c r="R144" s="500"/>
      <c r="S144" s="500"/>
      <c r="T144" s="500"/>
      <c r="U144" s="500"/>
      <c r="V144" s="500"/>
      <c r="W144" s="500"/>
      <c r="X144" s="500"/>
      <c r="Y144" s="500"/>
      <c r="Z144" s="500"/>
      <c r="AA144" s="500"/>
      <c r="AB144" s="500"/>
      <c r="AC144" s="500"/>
      <c r="AD144" s="500"/>
      <c r="AE144" s="500"/>
      <c r="AF144" s="500"/>
      <c r="AG144" s="500"/>
      <c r="AH144" s="500"/>
      <c r="AI144" s="500"/>
      <c r="AJ144" s="500"/>
      <c r="AK144" s="500"/>
      <c r="AL144" s="500"/>
      <c r="AM144" s="500"/>
      <c r="AN144" s="500"/>
      <c r="AO144" s="500"/>
      <c r="AP144" s="500"/>
      <c r="AQ144" s="500"/>
      <c r="AR144" s="500"/>
      <c r="AS144" s="500"/>
      <c r="AT144" s="500"/>
      <c r="AU144" s="500"/>
      <c r="AV144" s="500"/>
      <c r="AW144" s="499"/>
    </row>
    <row r="145" spans="1:65" s="258" customFormat="1">
      <c r="A145" s="460"/>
      <c r="B145" s="460" t="s">
        <v>378</v>
      </c>
      <c r="C145" s="588">
        <f>SUM(M145:P145)</f>
        <v>3.1500549936585354</v>
      </c>
      <c r="D145" s="588">
        <f>SUM(Q145:T145)</f>
        <v>14.174746776668542</v>
      </c>
      <c r="E145" s="588">
        <f>SUM(U145:X145)</f>
        <v>43.637022838984365</v>
      </c>
      <c r="F145" s="588">
        <f>SUM(Y145:AB145)</f>
        <v>91.01738125</v>
      </c>
      <c r="G145" s="588">
        <f>SUM(AC145:AF145)</f>
        <v>148.0399811084695</v>
      </c>
      <c r="H145" s="588">
        <f>SUM(AG145:AJ145)</f>
        <v>214.70210346476796</v>
      </c>
      <c r="I145" s="588">
        <f>SUM(AK145:AN145)</f>
        <v>284.14716570699113</v>
      </c>
      <c r="J145" s="588">
        <f>SUM(AO145:AR145)</f>
        <v>350.12671530556622</v>
      </c>
      <c r="K145" s="588">
        <f>SUM(AS145:AV145)</f>
        <v>420.1520583666794</v>
      </c>
      <c r="L145" s="528"/>
      <c r="M145" s="461">
        <f t="shared" ref="M145:AA145" si="436">M137*M141</f>
        <v>0.63946381636523797</v>
      </c>
      <c r="N145" s="461">
        <f t="shared" si="436"/>
        <v>0.59547681660422547</v>
      </c>
      <c r="O145" s="461">
        <f t="shared" si="436"/>
        <v>0.74907417152232991</v>
      </c>
      <c r="P145" s="461">
        <f t="shared" si="436"/>
        <v>1.166040189166742</v>
      </c>
      <c r="Q145" s="461">
        <f t="shared" si="436"/>
        <v>1.7438213355317775</v>
      </c>
      <c r="R145" s="461">
        <f t="shared" si="436"/>
        <v>2.7407971205398938</v>
      </c>
      <c r="S145" s="461">
        <f t="shared" si="436"/>
        <v>4.1165237761486315</v>
      </c>
      <c r="T145" s="461">
        <f t="shared" si="436"/>
        <v>5.5736045444482398</v>
      </c>
      <c r="U145" s="461">
        <f t="shared" si="436"/>
        <v>6.9429429069531237</v>
      </c>
      <c r="V145" s="461">
        <f t="shared" si="436"/>
        <v>9.3376014632812492</v>
      </c>
      <c r="W145" s="461">
        <f t="shared" si="436"/>
        <v>12.262391593749998</v>
      </c>
      <c r="X145" s="461">
        <f t="shared" si="436"/>
        <v>15.094086874999999</v>
      </c>
      <c r="Y145" s="461">
        <f t="shared" si="436"/>
        <v>18.00713125</v>
      </c>
      <c r="Z145" s="461">
        <f t="shared" si="436"/>
        <v>20.776499999999999</v>
      </c>
      <c r="AA145" s="461">
        <f t="shared" si="436"/>
        <v>25.373750000000001</v>
      </c>
      <c r="AB145" s="461">
        <v>26.86</v>
      </c>
      <c r="AC145" s="461">
        <f t="shared" ref="AC145:AR145" si="437">Y145*(1+AC146)</f>
        <v>30.920844823980932</v>
      </c>
      <c r="AD145" s="461">
        <f t="shared" si="437"/>
        <v>34.484270829083592</v>
      </c>
      <c r="AE145" s="461">
        <f t="shared" si="437"/>
        <v>40.775388681611588</v>
      </c>
      <c r="AF145" s="461">
        <f t="shared" si="437"/>
        <v>41.859476773793396</v>
      </c>
      <c r="AG145" s="461">
        <f t="shared" si="437"/>
        <v>46.80665175854169</v>
      </c>
      <c r="AH145" s="461">
        <f t="shared" si="437"/>
        <v>50.783490143604482</v>
      </c>
      <c r="AI145" s="461">
        <f t="shared" si="437"/>
        <v>58.506325941860318</v>
      </c>
      <c r="AJ145" s="461">
        <f t="shared" si="437"/>
        <v>58.605635620761468</v>
      </c>
      <c r="AK145" s="461">
        <f t="shared" si="437"/>
        <v>64.033935780860503</v>
      </c>
      <c r="AL145" s="461">
        <f t="shared" si="437"/>
        <v>67.979180273987325</v>
      </c>
      <c r="AM145" s="461">
        <f t="shared" si="437"/>
        <v>76.732172901591198</v>
      </c>
      <c r="AN145" s="461">
        <f t="shared" si="437"/>
        <v>75.401876750552105</v>
      </c>
      <c r="AO145" s="461">
        <f t="shared" si="437"/>
        <v>80.917756958036492</v>
      </c>
      <c r="AP145" s="461">
        <f t="shared" si="437"/>
        <v>84.469318585167997</v>
      </c>
      <c r="AQ145" s="461">
        <f t="shared" si="437"/>
        <v>93.856507261723877</v>
      </c>
      <c r="AR145" s="461">
        <f t="shared" si="437"/>
        <v>90.883132500637828</v>
      </c>
      <c r="AS145" s="461">
        <f t="shared" ref="AS145" si="438">AO145*(1+AS146)</f>
        <v>97.101308349643787</v>
      </c>
      <c r="AT145" s="461">
        <f t="shared" ref="AT145" si="439">AP145*(1+AT146)</f>
        <v>101.36318230220159</v>
      </c>
      <c r="AU145" s="461">
        <f t="shared" ref="AU145" si="440">AQ145*(1+AU146)</f>
        <v>112.62780871406865</v>
      </c>
      <c r="AV145" s="461">
        <f t="shared" ref="AV145" si="441">AR145*(1+AV146)</f>
        <v>109.0597590007654</v>
      </c>
      <c r="AW145" s="460"/>
      <c r="BF145" s="279"/>
      <c r="BG145" s="279"/>
      <c r="BH145" s="279"/>
      <c r="BI145" s="279"/>
      <c r="BJ145" s="279"/>
      <c r="BK145" s="279"/>
      <c r="BL145" s="279"/>
      <c r="BM145" s="279"/>
    </row>
    <row r="146" spans="1:65" s="276" customFormat="1">
      <c r="A146" s="499"/>
      <c r="B146" s="579" t="s">
        <v>1049</v>
      </c>
      <c r="C146" s="559"/>
      <c r="D146" s="608">
        <f>D145/C145-1</f>
        <v>3.499841052046432</v>
      </c>
      <c r="E146" s="608">
        <f t="shared" ref="E146" si="442">E145/D145-1</f>
        <v>2.0785045776486366</v>
      </c>
      <c r="F146" s="608">
        <f t="shared" ref="F146" si="443">F145/E145-1</f>
        <v>1.0857834776181625</v>
      </c>
      <c r="G146" s="608">
        <f t="shared" ref="G146" si="444">G145/F145-1</f>
        <v>0.62650231280379209</v>
      </c>
      <c r="H146" s="608">
        <f t="shared" ref="H146" si="445">H145/G145-1</f>
        <v>0.45029810093973754</v>
      </c>
      <c r="I146" s="608">
        <f t="shared" ref="I146" si="446">I145/H145-1</f>
        <v>0.32344844843878739</v>
      </c>
      <c r="J146" s="608">
        <f t="shared" ref="J146:K146" si="447">J145/I145-1</f>
        <v>0.23220203317675292</v>
      </c>
      <c r="K146" s="608">
        <f t="shared" si="447"/>
        <v>0.19999999999999973</v>
      </c>
      <c r="L146" s="602"/>
      <c r="M146" s="501"/>
      <c r="N146" s="501"/>
      <c r="O146" s="501"/>
      <c r="P146" s="501"/>
      <c r="Q146" s="502">
        <f t="shared" ref="Q146:AB146" si="448">Q145/M145-1</f>
        <v>1.7270054863210142</v>
      </c>
      <c r="R146" s="502">
        <f t="shared" si="448"/>
        <v>3.6026932436590933</v>
      </c>
      <c r="S146" s="502">
        <f t="shared" si="448"/>
        <v>4.4954822000906729</v>
      </c>
      <c r="T146" s="502">
        <f t="shared" si="448"/>
        <v>3.7799420605143679</v>
      </c>
      <c r="U146" s="502">
        <f t="shared" si="448"/>
        <v>2.9814531256643195</v>
      </c>
      <c r="V146" s="502">
        <f t="shared" si="448"/>
        <v>2.4068926128475678</v>
      </c>
      <c r="W146" s="502">
        <f t="shared" si="448"/>
        <v>1.9788220014175502</v>
      </c>
      <c r="X146" s="502">
        <f t="shared" si="448"/>
        <v>1.7081373919925711</v>
      </c>
      <c r="Y146" s="502">
        <f t="shared" si="448"/>
        <v>1.593587689157931</v>
      </c>
      <c r="Z146" s="502">
        <f t="shared" si="448"/>
        <v>1.2250360632439223</v>
      </c>
      <c r="AA146" s="502">
        <f t="shared" si="448"/>
        <v>1.0692333796396385</v>
      </c>
      <c r="AB146" s="502">
        <f t="shared" si="448"/>
        <v>0.77950479697368258</v>
      </c>
      <c r="AC146" s="503">
        <f>AB146*0.92</f>
        <v>0.71714441321578803</v>
      </c>
      <c r="AD146" s="503">
        <f t="shared" ref="AD146:AR146" si="449">AC146*0.92</f>
        <v>0.65977286015852499</v>
      </c>
      <c r="AE146" s="503">
        <f t="shared" si="449"/>
        <v>0.60699103134584298</v>
      </c>
      <c r="AF146" s="503">
        <f t="shared" si="449"/>
        <v>0.55843174883817559</v>
      </c>
      <c r="AG146" s="503">
        <f t="shared" si="449"/>
        <v>0.51375720893112153</v>
      </c>
      <c r="AH146" s="503">
        <f t="shared" si="449"/>
        <v>0.47265663221663184</v>
      </c>
      <c r="AI146" s="503">
        <f t="shared" si="449"/>
        <v>0.43484410163930132</v>
      </c>
      <c r="AJ146" s="503">
        <f t="shared" si="449"/>
        <v>0.40005657350815721</v>
      </c>
      <c r="AK146" s="503">
        <f t="shared" si="449"/>
        <v>0.36805204762750465</v>
      </c>
      <c r="AL146" s="503">
        <f t="shared" si="449"/>
        <v>0.33860788381730428</v>
      </c>
      <c r="AM146" s="503">
        <f t="shared" si="449"/>
        <v>0.31151925311191997</v>
      </c>
      <c r="AN146" s="503">
        <f t="shared" si="449"/>
        <v>0.28659771286296637</v>
      </c>
      <c r="AO146" s="503">
        <f t="shared" si="449"/>
        <v>0.26366989583392908</v>
      </c>
      <c r="AP146" s="503">
        <f t="shared" si="449"/>
        <v>0.24257630416721476</v>
      </c>
      <c r="AQ146" s="503">
        <f t="shared" si="449"/>
        <v>0.2231701998338376</v>
      </c>
      <c r="AR146" s="503">
        <f t="shared" si="449"/>
        <v>0.20531658384713058</v>
      </c>
      <c r="AS146" s="503">
        <v>0.2</v>
      </c>
      <c r="AT146" s="503">
        <v>0.2</v>
      </c>
      <c r="AU146" s="503">
        <v>0.2</v>
      </c>
      <c r="AV146" s="503">
        <v>0.2</v>
      </c>
      <c r="AW146" s="499"/>
      <c r="BG146" s="280"/>
      <c r="BH146" s="280"/>
      <c r="BI146" s="280"/>
      <c r="BJ146" s="280"/>
      <c r="BK146" s="280"/>
      <c r="BL146" s="280"/>
      <c r="BM146" s="280"/>
    </row>
    <row r="147" spans="1:65" s="258" customFormat="1">
      <c r="A147" s="460"/>
      <c r="B147" s="460" t="s">
        <v>380</v>
      </c>
      <c r="C147" s="588">
        <f>SUM(M147:P147)</f>
        <v>4.1059400000000013</v>
      </c>
      <c r="D147" s="588">
        <f>SUM(Q147:T147)</f>
        <v>12.749540000000003</v>
      </c>
      <c r="E147" s="588">
        <f>SUM(U147:X147)</f>
        <v>27.190020000000008</v>
      </c>
      <c r="F147" s="588">
        <f>SUM(Y147:AB147)</f>
        <v>39.511100000000006</v>
      </c>
      <c r="G147" s="588">
        <f>SUM(AC147:AF147)</f>
        <v>51.353466856897121</v>
      </c>
      <c r="H147" s="588">
        <f>SUM(AG147:AJ147)</f>
        <v>63.899800432668229</v>
      </c>
      <c r="I147" s="588">
        <f>SUM(AK147:AN147)</f>
        <v>76.623837016358664</v>
      </c>
      <c r="J147" s="588">
        <f>SUM(AO147:AR147)</f>
        <v>89.058211496369367</v>
      </c>
      <c r="K147" s="588">
        <f>SUM(AS147:AV147)</f>
        <v>102.41694322082476</v>
      </c>
      <c r="L147" s="528"/>
      <c r="M147" s="461">
        <f t="shared" ref="M147:Z147" si="450">M143*M137</f>
        <v>0.96508000000000049</v>
      </c>
      <c r="N147" s="461">
        <f t="shared" si="450"/>
        <v>0.82592000000000032</v>
      </c>
      <c r="O147" s="461">
        <f t="shared" si="450"/>
        <v>0.95374000000000037</v>
      </c>
      <c r="P147" s="461">
        <f t="shared" si="450"/>
        <v>1.3612000000000004</v>
      </c>
      <c r="Q147" s="461">
        <f t="shared" si="450"/>
        <v>1.8640000000000008</v>
      </c>
      <c r="R147" s="461">
        <f t="shared" si="450"/>
        <v>2.6788300000000009</v>
      </c>
      <c r="S147" s="461">
        <f t="shared" si="450"/>
        <v>3.6733600000000011</v>
      </c>
      <c r="T147" s="461">
        <f t="shared" si="450"/>
        <v>4.5333500000000013</v>
      </c>
      <c r="U147" s="461">
        <f t="shared" si="450"/>
        <v>5.1380800000000013</v>
      </c>
      <c r="V147" s="461">
        <f t="shared" si="450"/>
        <v>6.2751000000000019</v>
      </c>
      <c r="W147" s="461">
        <f t="shared" si="450"/>
        <v>7.4672800000000015</v>
      </c>
      <c r="X147" s="461">
        <f t="shared" si="450"/>
        <v>8.3095600000000012</v>
      </c>
      <c r="Y147" s="461">
        <f t="shared" si="450"/>
        <v>8.9387200000000018</v>
      </c>
      <c r="Z147" s="461">
        <f t="shared" si="450"/>
        <v>9.2728800000000007</v>
      </c>
      <c r="AA147" s="461">
        <f>AA137*AA143</f>
        <v>10.149500000000002</v>
      </c>
      <c r="AB147" s="461">
        <v>11.15</v>
      </c>
      <c r="AC147" s="461">
        <f t="shared" ref="AC147:AR147" si="451">Y147*(1+AC148)</f>
        <v>11.841449259426494</v>
      </c>
      <c r="AD147" s="461">
        <f t="shared" si="451"/>
        <v>12.133561069593094</v>
      </c>
      <c r="AE147" s="461">
        <f t="shared" si="451"/>
        <v>13.124062206136969</v>
      </c>
      <c r="AF147" s="461">
        <f t="shared" si="451"/>
        <v>14.254394321740561</v>
      </c>
      <c r="AG147" s="461">
        <f t="shared" si="451"/>
        <v>14.973512169743573</v>
      </c>
      <c r="AH147" s="461">
        <f t="shared" si="451"/>
        <v>15.182421219679259</v>
      </c>
      <c r="AI147" s="461">
        <f t="shared" si="451"/>
        <v>16.256923081533753</v>
      </c>
      <c r="AJ147" s="461">
        <f t="shared" si="451"/>
        <v>17.486943961711646</v>
      </c>
      <c r="AK147" s="461">
        <f t="shared" si="451"/>
        <v>18.199358829156182</v>
      </c>
      <c r="AL147" s="461">
        <f t="shared" si="451"/>
        <v>18.289731923219389</v>
      </c>
      <c r="AM147" s="461">
        <f t="shared" si="451"/>
        <v>19.417785558513447</v>
      </c>
      <c r="AN147" s="461">
        <f t="shared" si="451"/>
        <v>20.716960705469646</v>
      </c>
      <c r="AO147" s="461">
        <f t="shared" si="451"/>
        <v>21.392885507054714</v>
      </c>
      <c r="AP147" s="461">
        <f t="shared" si="451"/>
        <v>21.338647547548863</v>
      </c>
      <c r="AQ147" s="461">
        <f t="shared" si="451"/>
        <v>22.492900629985161</v>
      </c>
      <c r="AR147" s="461">
        <f t="shared" si="451"/>
        <v>23.833777811780632</v>
      </c>
      <c r="AS147" s="461">
        <f t="shared" ref="AS147" si="452">AO147*(1+AS148)</f>
        <v>24.60181833311292</v>
      </c>
      <c r="AT147" s="461">
        <f t="shared" ref="AT147" si="453">AP147*(1+AT148)</f>
        <v>24.539444679681189</v>
      </c>
      <c r="AU147" s="461">
        <f t="shared" ref="AU147" si="454">AQ147*(1+AU148)</f>
        <v>25.866835724482932</v>
      </c>
      <c r="AV147" s="461">
        <f t="shared" ref="AV147" si="455">AR147*(1+AV148)</f>
        <v>27.408844483547725</v>
      </c>
      <c r="AW147" s="460"/>
      <c r="BF147" s="279"/>
      <c r="BG147" s="279"/>
      <c r="BH147" s="279"/>
      <c r="BI147" s="279"/>
      <c r="BJ147" s="279"/>
      <c r="BK147" s="279"/>
      <c r="BL147" s="279"/>
      <c r="BM147" s="279"/>
    </row>
    <row r="148" spans="1:65" s="276" customFormat="1">
      <c r="A148" s="499"/>
      <c r="B148" s="579" t="s">
        <v>1007</v>
      </c>
      <c r="C148" s="559"/>
      <c r="D148" s="608">
        <f>D147/C147-1</f>
        <v>2.1051452286199992</v>
      </c>
      <c r="E148" s="608">
        <f t="shared" ref="E148" si="456">E147/D147-1</f>
        <v>1.1326275300912818</v>
      </c>
      <c r="F148" s="608">
        <f t="shared" ref="F148" si="457">F147/E147-1</f>
        <v>0.45314714737245487</v>
      </c>
      <c r="G148" s="608">
        <f t="shared" ref="G148" si="458">G147/F147-1</f>
        <v>0.29972253004591409</v>
      </c>
      <c r="H148" s="608">
        <f t="shared" ref="H148" si="459">H147/G147-1</f>
        <v>0.24431327315705942</v>
      </c>
      <c r="I148" s="608">
        <f t="shared" ref="I148" si="460">I147/H147-1</f>
        <v>0.19912482507825446</v>
      </c>
      <c r="J148" s="608">
        <f t="shared" ref="J148:K148" si="461">J147/I147-1</f>
        <v>0.16227814951835473</v>
      </c>
      <c r="K148" s="608">
        <f t="shared" si="461"/>
        <v>0.14999999999999991</v>
      </c>
      <c r="L148" s="602"/>
      <c r="M148" s="501"/>
      <c r="N148" s="501"/>
      <c r="O148" s="501"/>
      <c r="P148" s="501"/>
      <c r="Q148" s="502">
        <f t="shared" ref="Q148:AB148" si="462">Q147/M147-1</f>
        <v>0.93144609773283027</v>
      </c>
      <c r="R148" s="502">
        <f t="shared" si="462"/>
        <v>2.2434497287872914</v>
      </c>
      <c r="S148" s="502">
        <f t="shared" si="462"/>
        <v>2.8515318640300289</v>
      </c>
      <c r="T148" s="502">
        <f t="shared" si="462"/>
        <v>2.3304069938289742</v>
      </c>
      <c r="U148" s="502">
        <f t="shared" si="462"/>
        <v>1.7564806866952787</v>
      </c>
      <c r="V148" s="502">
        <f t="shared" si="462"/>
        <v>1.3424778728026787</v>
      </c>
      <c r="W148" s="502">
        <f t="shared" si="462"/>
        <v>1.0328200884204106</v>
      </c>
      <c r="X148" s="502">
        <f t="shared" si="462"/>
        <v>0.83298443755721463</v>
      </c>
      <c r="Y148" s="502">
        <f t="shared" si="462"/>
        <v>0.73970043284651066</v>
      </c>
      <c r="Z148" s="502">
        <f t="shared" si="462"/>
        <v>0.47772625137447977</v>
      </c>
      <c r="AA148" s="502">
        <f t="shared" si="462"/>
        <v>0.35919638743960314</v>
      </c>
      <c r="AB148" s="502">
        <f t="shared" si="462"/>
        <v>0.34182796682375471</v>
      </c>
      <c r="AC148" s="503">
        <f t="shared" ref="AC148:AR148" si="463">AB148*0.95</f>
        <v>0.32473656848256699</v>
      </c>
      <c r="AD148" s="503">
        <f t="shared" si="463"/>
        <v>0.30849974005843861</v>
      </c>
      <c r="AE148" s="503">
        <f t="shared" si="463"/>
        <v>0.29307475305551667</v>
      </c>
      <c r="AF148" s="503">
        <f t="shared" si="463"/>
        <v>0.27842101540274083</v>
      </c>
      <c r="AG148" s="503">
        <f t="shared" si="463"/>
        <v>0.26449996463260378</v>
      </c>
      <c r="AH148" s="503">
        <f t="shared" si="463"/>
        <v>0.25127496640097358</v>
      </c>
      <c r="AI148" s="503">
        <f t="shared" si="463"/>
        <v>0.23871121808092488</v>
      </c>
      <c r="AJ148" s="503">
        <f t="shared" si="463"/>
        <v>0.22677565717687861</v>
      </c>
      <c r="AK148" s="503">
        <f t="shared" si="463"/>
        <v>0.21543687431803468</v>
      </c>
      <c r="AL148" s="503">
        <f t="shared" si="463"/>
        <v>0.20466503060213295</v>
      </c>
      <c r="AM148" s="503">
        <f t="shared" si="463"/>
        <v>0.1944317790720263</v>
      </c>
      <c r="AN148" s="503">
        <f t="shared" si="463"/>
        <v>0.18471019011842499</v>
      </c>
      <c r="AO148" s="503">
        <f t="shared" si="463"/>
        <v>0.17547468061250374</v>
      </c>
      <c r="AP148" s="503">
        <f t="shared" si="463"/>
        <v>0.16670094658187853</v>
      </c>
      <c r="AQ148" s="503">
        <f t="shared" si="463"/>
        <v>0.1583658992527846</v>
      </c>
      <c r="AR148" s="503">
        <f t="shared" si="463"/>
        <v>0.15044760429014536</v>
      </c>
      <c r="AS148" s="503">
        <v>0.15</v>
      </c>
      <c r="AT148" s="503">
        <v>0.15</v>
      </c>
      <c r="AU148" s="503">
        <v>0.15</v>
      </c>
      <c r="AV148" s="503">
        <v>0.15</v>
      </c>
      <c r="AW148" s="499"/>
      <c r="BG148" s="280"/>
      <c r="BH148" s="280"/>
      <c r="BI148" s="280"/>
      <c r="BJ148" s="280"/>
      <c r="BK148" s="280"/>
      <c r="BL148" s="280"/>
      <c r="BM148" s="280"/>
    </row>
    <row r="149" spans="1:65" s="258" customFormat="1">
      <c r="A149" s="460"/>
      <c r="B149" s="460" t="s">
        <v>382</v>
      </c>
      <c r="C149" s="588">
        <f>SUM(M149:P149)</f>
        <v>40.004005006341465</v>
      </c>
      <c r="D149" s="588">
        <f>SUM(Q149:T149)</f>
        <v>144.65571322333145</v>
      </c>
      <c r="E149" s="588">
        <f>SUM(U149:X149)</f>
        <v>362.55295716101563</v>
      </c>
      <c r="F149" s="588">
        <f>SUM(Y149:AB149)</f>
        <v>649.16151875000003</v>
      </c>
      <c r="G149" s="588">
        <f>SUM(AC149:AF149)</f>
        <v>962.86319796249995</v>
      </c>
      <c r="H149" s="588">
        <f>SUM(AG149:AJ149)</f>
        <v>1321.5606002736249</v>
      </c>
      <c r="I149" s="588">
        <f>SUM(AK149:AN149)</f>
        <v>1665.1663563447676</v>
      </c>
      <c r="J149" s="588">
        <f>SUM(AO149:AR149)</f>
        <v>2081.4579454309596</v>
      </c>
      <c r="K149" s="588">
        <f>SUM(AS149:AV149)</f>
        <v>2601.8224317886989</v>
      </c>
      <c r="L149" s="528"/>
      <c r="M149" s="461">
        <f t="shared" ref="M149:Z149" si="464">M137-M145-M147</f>
        <v>8.8854561836347621</v>
      </c>
      <c r="N149" s="461">
        <f t="shared" si="464"/>
        <v>7.8586031833957737</v>
      </c>
      <c r="O149" s="461">
        <f t="shared" si="464"/>
        <v>9.3871858284776692</v>
      </c>
      <c r="P149" s="461">
        <f t="shared" si="464"/>
        <v>13.872759810833257</v>
      </c>
      <c r="Q149" s="461">
        <f t="shared" si="464"/>
        <v>19.692178664468223</v>
      </c>
      <c r="R149" s="461">
        <f t="shared" si="464"/>
        <v>29.370372879460103</v>
      </c>
      <c r="S149" s="461">
        <f t="shared" si="464"/>
        <v>41.850116223851366</v>
      </c>
      <c r="T149" s="461">
        <f t="shared" si="464"/>
        <v>53.743045455551766</v>
      </c>
      <c r="U149" s="461">
        <f t="shared" si="464"/>
        <v>63.478977093046879</v>
      </c>
      <c r="V149" s="461">
        <f t="shared" si="464"/>
        <v>80.927298536718752</v>
      </c>
      <c r="W149" s="461">
        <f t="shared" si="464"/>
        <v>100.71032840625</v>
      </c>
      <c r="X149" s="461">
        <f t="shared" si="464"/>
        <v>117.436353125</v>
      </c>
      <c r="Y149" s="461">
        <f t="shared" si="464"/>
        <v>132.67414875000003</v>
      </c>
      <c r="Z149" s="461">
        <f t="shared" si="464"/>
        <v>144.91061999999999</v>
      </c>
      <c r="AA149" s="461">
        <f>AA142*AA137</f>
        <v>167.46674999999999</v>
      </c>
      <c r="AB149" s="461">
        <f>AB137-AB145-AB147</f>
        <v>204.10999999999999</v>
      </c>
      <c r="AC149" s="461">
        <f t="shared" ref="AC149:AR149" si="465">Y149*(1+AC150)</f>
        <v>205.64493056250006</v>
      </c>
      <c r="AD149" s="461">
        <f t="shared" si="465"/>
        <v>220.2641424</v>
      </c>
      <c r="AE149" s="461">
        <f t="shared" si="465"/>
        <v>251.20012499999999</v>
      </c>
      <c r="AF149" s="461">
        <f t="shared" si="465"/>
        <v>285.75399999999996</v>
      </c>
      <c r="AG149" s="461">
        <f t="shared" si="465"/>
        <v>298.1851493156251</v>
      </c>
      <c r="AH149" s="461">
        <f t="shared" si="465"/>
        <v>312.77508220799996</v>
      </c>
      <c r="AI149" s="461">
        <f t="shared" si="465"/>
        <v>339.12016875</v>
      </c>
      <c r="AJ149" s="461">
        <f t="shared" si="465"/>
        <v>371.48019999999997</v>
      </c>
      <c r="AK149" s="461">
        <f t="shared" si="465"/>
        <v>375.71328813768764</v>
      </c>
      <c r="AL149" s="461">
        <f t="shared" si="465"/>
        <v>394.09660358207992</v>
      </c>
      <c r="AM149" s="461">
        <f t="shared" si="465"/>
        <v>427.29141262500002</v>
      </c>
      <c r="AN149" s="461">
        <f t="shared" si="465"/>
        <v>468.06505199999998</v>
      </c>
      <c r="AO149" s="461">
        <f t="shared" si="465"/>
        <v>469.64161017210955</v>
      </c>
      <c r="AP149" s="461">
        <f t="shared" si="465"/>
        <v>492.62075447759992</v>
      </c>
      <c r="AQ149" s="461">
        <f t="shared" si="465"/>
        <v>534.11426578124997</v>
      </c>
      <c r="AR149" s="461">
        <f t="shared" si="465"/>
        <v>585.08131500000002</v>
      </c>
      <c r="AS149" s="461">
        <f t="shared" ref="AS149" si="466">AO149*(1+AS150)</f>
        <v>587.05201271513693</v>
      </c>
      <c r="AT149" s="461">
        <f t="shared" ref="AT149" si="467">AP149*(1+AT150)</f>
        <v>615.77594309699987</v>
      </c>
      <c r="AU149" s="461">
        <f t="shared" ref="AU149" si="468">AQ149*(1+AU150)</f>
        <v>667.6428322265624</v>
      </c>
      <c r="AV149" s="461">
        <f t="shared" ref="AV149" si="469">AR149*(1+AV150)</f>
        <v>731.35164374999999</v>
      </c>
      <c r="AW149" s="460"/>
      <c r="BF149" s="279"/>
      <c r="BG149" s="279"/>
      <c r="BH149" s="279"/>
      <c r="BI149" s="279"/>
      <c r="BJ149" s="279"/>
      <c r="BK149" s="279"/>
      <c r="BL149" s="279"/>
      <c r="BM149" s="279"/>
    </row>
    <row r="150" spans="1:65">
      <c r="A150" s="499"/>
      <c r="B150" s="579" t="s">
        <v>1050</v>
      </c>
      <c r="C150" s="559"/>
      <c r="D150" s="608">
        <f>D149/C149-1</f>
        <v>2.6160307749286731</v>
      </c>
      <c r="E150" s="608">
        <f t="shared" ref="E150" si="470">E149/D149-1</f>
        <v>1.5063161978350377</v>
      </c>
      <c r="F150" s="608">
        <f t="shared" ref="F150" si="471">F149/E149-1</f>
        <v>0.79052882048813888</v>
      </c>
      <c r="G150" s="608">
        <f t="shared" ref="G150" si="472">G149/F149-1</f>
        <v>0.48324133540224556</v>
      </c>
      <c r="H150" s="608">
        <f t="shared" ref="H150" si="473">H149/G149-1</f>
        <v>0.37253205135491618</v>
      </c>
      <c r="I150" s="608">
        <f t="shared" ref="I150" si="474">I149/H149-1</f>
        <v>0.26000000000000023</v>
      </c>
      <c r="J150" s="608">
        <f t="shared" ref="J150:K150" si="475">J149/I149-1</f>
        <v>0.25</v>
      </c>
      <c r="K150" s="608">
        <f t="shared" si="475"/>
        <v>0.24999999999999978</v>
      </c>
      <c r="L150" s="602"/>
      <c r="M150" s="468"/>
      <c r="N150" s="468"/>
      <c r="O150" s="468"/>
      <c r="P150" s="468"/>
      <c r="Q150" s="504">
        <f t="shared" ref="Q150:AB150" si="476">Q149/M149-1</f>
        <v>1.2162259604337802</v>
      </c>
      <c r="R150" s="504">
        <f t="shared" si="476"/>
        <v>2.7373528340909177</v>
      </c>
      <c r="S150" s="504">
        <f t="shared" si="476"/>
        <v>3.4582175093297636</v>
      </c>
      <c r="T150" s="504">
        <f t="shared" si="476"/>
        <v>2.8739981221028383</v>
      </c>
      <c r="U150" s="504">
        <f t="shared" si="476"/>
        <v>2.223562926919092</v>
      </c>
      <c r="V150" s="504">
        <f t="shared" si="476"/>
        <v>1.7554058938527985</v>
      </c>
      <c r="W150" s="504">
        <f t="shared" si="476"/>
        <v>1.4064527770379955</v>
      </c>
      <c r="X150" s="504">
        <f t="shared" si="476"/>
        <v>1.1851451128151238</v>
      </c>
      <c r="Y150" s="504">
        <f t="shared" si="476"/>
        <v>1.0900486243741376</v>
      </c>
      <c r="Z150" s="504">
        <f t="shared" si="476"/>
        <v>0.79062717550432504</v>
      </c>
      <c r="AA150" s="504">
        <f t="shared" si="476"/>
        <v>0.66285576315931416</v>
      </c>
      <c r="AB150" s="504">
        <f t="shared" si="476"/>
        <v>0.73804784096747289</v>
      </c>
      <c r="AC150" s="619">
        <v>0.55000000000000004</v>
      </c>
      <c r="AD150" s="619">
        <v>0.52</v>
      </c>
      <c r="AE150" s="619">
        <v>0.5</v>
      </c>
      <c r="AF150" s="619">
        <v>0.4</v>
      </c>
      <c r="AG150" s="619">
        <v>0.45</v>
      </c>
      <c r="AH150" s="619">
        <v>0.42</v>
      </c>
      <c r="AI150" s="619">
        <v>0.35</v>
      </c>
      <c r="AJ150" s="619">
        <v>0.3</v>
      </c>
      <c r="AK150" s="619">
        <v>0.26</v>
      </c>
      <c r="AL150" s="619">
        <v>0.26</v>
      </c>
      <c r="AM150" s="619">
        <v>0.26</v>
      </c>
      <c r="AN150" s="619">
        <v>0.26</v>
      </c>
      <c r="AO150" s="619">
        <v>0.25</v>
      </c>
      <c r="AP150" s="619">
        <v>0.25</v>
      </c>
      <c r="AQ150" s="619">
        <v>0.25</v>
      </c>
      <c r="AR150" s="619">
        <v>0.25</v>
      </c>
      <c r="AS150" s="619">
        <v>0.25</v>
      </c>
      <c r="AT150" s="619">
        <v>0.25</v>
      </c>
      <c r="AU150" s="619">
        <v>0.25</v>
      </c>
      <c r="AV150" s="619">
        <v>0.25</v>
      </c>
    </row>
    <row r="151" spans="1:65">
      <c r="B151" s="563" t="s">
        <v>383</v>
      </c>
      <c r="C151" s="563"/>
      <c r="D151" s="563"/>
      <c r="E151" s="563"/>
      <c r="F151" s="563"/>
      <c r="G151" s="563"/>
      <c r="H151" s="563"/>
      <c r="I151" s="563"/>
      <c r="J151" s="563"/>
      <c r="K151" s="563"/>
      <c r="L151" s="587"/>
      <c r="M151" s="505">
        <f t="shared" ref="M151:R151" si="477">M154*M152/30</f>
        <v>2.4476745249129972</v>
      </c>
      <c r="N151" s="505">
        <f t="shared" si="477"/>
        <v>2.8438551947982549</v>
      </c>
      <c r="O151" s="505">
        <f t="shared" si="477"/>
        <v>3.2722477469877043</v>
      </c>
      <c r="P151" s="505">
        <f t="shared" si="477"/>
        <v>3.7293216073963533</v>
      </c>
      <c r="Q151" s="505">
        <f t="shared" si="477"/>
        <v>4.3284150088009516</v>
      </c>
      <c r="R151" s="505">
        <f t="shared" si="477"/>
        <v>4.8493875462280398</v>
      </c>
      <c r="S151" s="505">
        <f>S154*S152/30</f>
        <v>5.3941247559418155</v>
      </c>
      <c r="T151" s="505">
        <v>6</v>
      </c>
      <c r="U151" s="505">
        <f>U154*U152/30</f>
        <v>6.9462217573372298</v>
      </c>
      <c r="V151" s="505">
        <f t="shared" ref="V151:AA151" si="478">V154*V152/30</f>
        <v>7.6323701889486095</v>
      </c>
      <c r="W151" s="505">
        <f t="shared" si="478"/>
        <v>7.5338932390329996</v>
      </c>
      <c r="X151" s="505">
        <f t="shared" si="478"/>
        <v>7.9844837499506829</v>
      </c>
      <c r="Y151" s="505">
        <f t="shared" si="478"/>
        <v>8.8502247014045725</v>
      </c>
      <c r="Z151" s="505">
        <v>9.5</v>
      </c>
      <c r="AA151" s="505">
        <f t="shared" si="478"/>
        <v>10.163674068734043</v>
      </c>
      <c r="AB151" s="505">
        <v>11.6</v>
      </c>
      <c r="AC151" s="505">
        <f t="shared" ref="AC151:AR151" si="479">AC154*AC152/30</f>
        <v>12.202623889212827</v>
      </c>
      <c r="AD151" s="505">
        <f t="shared" si="479"/>
        <v>12.81424272349488</v>
      </c>
      <c r="AE151" s="505">
        <f t="shared" si="479"/>
        <v>13.433620713235561</v>
      </c>
      <c r="AF151" s="505">
        <f t="shared" si="479"/>
        <v>14.098726432489004</v>
      </c>
      <c r="AG151" s="505">
        <f t="shared" si="479"/>
        <v>14.797509264256803</v>
      </c>
      <c r="AH151" s="505">
        <f t="shared" si="479"/>
        <v>15.530197861868015</v>
      </c>
      <c r="AI151" s="505">
        <f t="shared" si="479"/>
        <v>16.21840492146605</v>
      </c>
      <c r="AJ151" s="505">
        <f t="shared" si="479"/>
        <v>16.951189842019641</v>
      </c>
      <c r="AK151" s="505">
        <f t="shared" si="479"/>
        <v>17.717972611818876</v>
      </c>
      <c r="AL151" s="505">
        <f t="shared" si="479"/>
        <v>18.518565847842176</v>
      </c>
      <c r="AM151" s="505">
        <f t="shared" si="479"/>
        <v>19.316801350976082</v>
      </c>
      <c r="AN151" s="505">
        <f t="shared" si="479"/>
        <v>20.166188836380481</v>
      </c>
      <c r="AO151" s="505">
        <f t="shared" si="479"/>
        <v>21.033087464657442</v>
      </c>
      <c r="AP151" s="505">
        <f t="shared" si="479"/>
        <v>21.957992245199581</v>
      </c>
      <c r="AQ151" s="505">
        <f t="shared" si="479"/>
        <v>22.877924383300606</v>
      </c>
      <c r="AR151" s="505">
        <f t="shared" si="479"/>
        <v>23.856197376654272</v>
      </c>
      <c r="AS151" s="505"/>
      <c r="AT151" s="505"/>
      <c r="AU151" s="505"/>
      <c r="AV151" s="505"/>
      <c r="BF151" s="262"/>
      <c r="BG151" s="262"/>
      <c r="BH151" s="262"/>
      <c r="BI151" s="262"/>
      <c r="BJ151" s="262"/>
      <c r="BK151" s="262"/>
      <c r="BL151" s="262"/>
      <c r="BM151" s="262"/>
    </row>
    <row r="152" spans="1:65">
      <c r="B152" s="563" t="s">
        <v>384</v>
      </c>
      <c r="C152" s="563"/>
      <c r="D152" s="563"/>
      <c r="E152" s="563"/>
      <c r="F152" s="563"/>
      <c r="G152" s="563"/>
      <c r="H152" s="563"/>
      <c r="I152" s="563"/>
      <c r="J152" s="563"/>
      <c r="K152" s="563"/>
      <c r="L152" s="587"/>
      <c r="M152" s="505">
        <f t="shared" ref="M152:S152" si="480">M153*M6</f>
        <v>2.9134607025729689</v>
      </c>
      <c r="N152" s="505">
        <f t="shared" si="480"/>
        <v>3.2931545254783647</v>
      </c>
      <c r="O152" s="505">
        <f t="shared" si="480"/>
        <v>3.6896091659143915</v>
      </c>
      <c r="P152" s="505">
        <f t="shared" si="480"/>
        <v>4.0980224853653766</v>
      </c>
      <c r="Q152" s="505">
        <f t="shared" si="480"/>
        <v>4.6394318146944808</v>
      </c>
      <c r="R152" s="505">
        <f t="shared" si="480"/>
        <v>5.0745276371429959</v>
      </c>
      <c r="S152" s="505">
        <f t="shared" si="480"/>
        <v>5.5154925629505058</v>
      </c>
      <c r="T152" s="505">
        <v>6</v>
      </c>
      <c r="U152" s="505">
        <f>U153*U6</f>
        <v>6.7966944788035519</v>
      </c>
      <c r="V152" s="505">
        <f>V153*V6</f>
        <v>7.285924479928032</v>
      </c>
      <c r="W152" s="505">
        <f>W153*W6</f>
        <v>6.9960287539862795</v>
      </c>
      <c r="X152" s="505">
        <f>X153*X6</f>
        <v>7.1915135027433266</v>
      </c>
      <c r="Y152" s="505">
        <f>Y153*Y6</f>
        <v>7.7091628056516974</v>
      </c>
      <c r="Z152" s="505">
        <v>8</v>
      </c>
      <c r="AA152" s="505">
        <f t="shared" ref="AA152:AR152" si="481">AA153*AA6</f>
        <v>8.2694525857993746</v>
      </c>
      <c r="AB152" s="505">
        <f t="shared" si="481"/>
        <v>8.4686528127068179</v>
      </c>
      <c r="AC152" s="505">
        <f t="shared" si="481"/>
        <v>8.5907446149191653</v>
      </c>
      <c r="AD152" s="505">
        <f t="shared" si="481"/>
        <v>8.6994495235999985</v>
      </c>
      <c r="AE152" s="505">
        <f t="shared" si="481"/>
        <v>8.7945404827560285</v>
      </c>
      <c r="AF152" s="505">
        <f t="shared" si="481"/>
        <v>8.9006392169624977</v>
      </c>
      <c r="AG152" s="505">
        <f t="shared" si="481"/>
        <v>9.0110798015321532</v>
      </c>
      <c r="AH152" s="505">
        <f t="shared" si="481"/>
        <v>9.1251035155231541</v>
      </c>
      <c r="AI152" s="505">
        <f t="shared" si="481"/>
        <v>9.1974466290686969</v>
      </c>
      <c r="AJ152" s="505">
        <f t="shared" si="481"/>
        <v>9.2807573561113479</v>
      </c>
      <c r="AK152" s="505">
        <f t="shared" si="481"/>
        <v>9.3680058516553935</v>
      </c>
      <c r="AL152" s="505">
        <f t="shared" si="481"/>
        <v>9.4583681498303012</v>
      </c>
      <c r="AM152" s="505">
        <f t="shared" si="481"/>
        <v>9.5333533595711781</v>
      </c>
      <c r="AN152" s="505">
        <f t="shared" si="481"/>
        <v>9.6197067391091675</v>
      </c>
      <c r="AO152" s="505">
        <f t="shared" si="481"/>
        <v>9.7005086242110679</v>
      </c>
      <c r="AP152" s="505">
        <f t="shared" si="481"/>
        <v>9.7940781913772028</v>
      </c>
      <c r="AQ152" s="505">
        <f t="shared" si="481"/>
        <v>9.8717248843125134</v>
      </c>
      <c r="AR152" s="505">
        <f t="shared" si="481"/>
        <v>9.9611432425205209</v>
      </c>
      <c r="AS152" s="505"/>
      <c r="AT152" s="505"/>
      <c r="AU152" s="505"/>
      <c r="AV152" s="505"/>
      <c r="BF152" s="262"/>
      <c r="BG152" s="262"/>
      <c r="BH152" s="262"/>
      <c r="BI152" s="262"/>
      <c r="BJ152" s="262"/>
      <c r="BK152" s="262"/>
      <c r="BL152" s="262"/>
      <c r="BM152" s="262"/>
    </row>
    <row r="153" spans="1:65">
      <c r="B153" s="563" t="s">
        <v>385</v>
      </c>
      <c r="C153" s="563"/>
      <c r="D153" s="563"/>
      <c r="E153" s="563"/>
      <c r="F153" s="563"/>
      <c r="G153" s="563"/>
      <c r="H153" s="563"/>
      <c r="I153" s="563"/>
      <c r="J153" s="563"/>
      <c r="K153" s="563"/>
      <c r="L153" s="587"/>
      <c r="M153" s="474">
        <f t="shared" ref="M153:R153" si="482">N153/1.035</f>
        <v>0.53029863534273192</v>
      </c>
      <c r="N153" s="474">
        <f t="shared" si="482"/>
        <v>0.54885908757972746</v>
      </c>
      <c r="O153" s="474">
        <f t="shared" si="482"/>
        <v>0.56806915564501792</v>
      </c>
      <c r="P153" s="474">
        <f t="shared" si="482"/>
        <v>0.58795157609259352</v>
      </c>
      <c r="Q153" s="474">
        <f t="shared" si="482"/>
        <v>0.60852988125583429</v>
      </c>
      <c r="R153" s="474">
        <f t="shared" si="482"/>
        <v>0.62982842709978848</v>
      </c>
      <c r="S153" s="474">
        <f>T153/1.035</f>
        <v>0.651872422048281</v>
      </c>
      <c r="T153" s="506">
        <f>T152/T6</f>
        <v>0.67468795681997074</v>
      </c>
      <c r="U153" s="474">
        <f>T153*1.019</f>
        <v>0.6875070279995501</v>
      </c>
      <c r="V153" s="474">
        <f t="shared" ref="V153:Y153" si="483">U153*1.019</f>
        <v>0.70056966153154154</v>
      </c>
      <c r="W153" s="474">
        <f t="shared" si="483"/>
        <v>0.71388048510064073</v>
      </c>
      <c r="X153" s="474">
        <f t="shared" si="483"/>
        <v>0.7274442143175528</v>
      </c>
      <c r="Y153" s="474">
        <f t="shared" si="483"/>
        <v>0.74126565438958625</v>
      </c>
      <c r="Z153" s="506">
        <f>Z152/Z6</f>
        <v>0.75635813557719578</v>
      </c>
      <c r="AA153" s="474">
        <f>Z153*1.01</f>
        <v>0.76392171693296773</v>
      </c>
      <c r="AB153" s="474">
        <f t="shared" ref="AB153:AH153" si="484">AA153*1.01</f>
        <v>0.77156093410229742</v>
      </c>
      <c r="AC153" s="474">
        <f t="shared" si="484"/>
        <v>0.77927654344332042</v>
      </c>
      <c r="AD153" s="474">
        <f t="shared" si="484"/>
        <v>0.78706930887775362</v>
      </c>
      <c r="AE153" s="474">
        <f t="shared" si="484"/>
        <v>0.79494000196653114</v>
      </c>
      <c r="AF153" s="474">
        <f t="shared" si="484"/>
        <v>0.8028894019861964</v>
      </c>
      <c r="AG153" s="474">
        <f t="shared" si="484"/>
        <v>0.81091829600605836</v>
      </c>
      <c r="AH153" s="474">
        <f t="shared" si="484"/>
        <v>0.81902747896611894</v>
      </c>
      <c r="AI153" s="474">
        <f>AH153*1.007</f>
        <v>0.82476067131888164</v>
      </c>
      <c r="AJ153" s="474">
        <f t="shared" ref="AJ153:AQ153" si="485">AI153*1.007</f>
        <v>0.83053399601811373</v>
      </c>
      <c r="AK153" s="474">
        <f t="shared" si="485"/>
        <v>0.83634773399024043</v>
      </c>
      <c r="AL153" s="474">
        <f t="shared" si="485"/>
        <v>0.84220216812817206</v>
      </c>
      <c r="AM153" s="474">
        <f t="shared" si="485"/>
        <v>0.84809758330506912</v>
      </c>
      <c r="AN153" s="474">
        <f t="shared" si="485"/>
        <v>0.85403426638820457</v>
      </c>
      <c r="AO153" s="474">
        <f t="shared" si="485"/>
        <v>0.86001250625292192</v>
      </c>
      <c r="AP153" s="474">
        <f t="shared" si="485"/>
        <v>0.86603259379669228</v>
      </c>
      <c r="AQ153" s="474">
        <f t="shared" si="485"/>
        <v>0.87209482195326904</v>
      </c>
      <c r="AR153" s="474">
        <f>AQ153*1.007</f>
        <v>0.87819948570694184</v>
      </c>
      <c r="AS153" s="474"/>
      <c r="AT153" s="474"/>
      <c r="AU153" s="474"/>
      <c r="AV153" s="474"/>
    </row>
    <row r="154" spans="1:65">
      <c r="B154" s="563" t="s">
        <v>386</v>
      </c>
      <c r="C154" s="563"/>
      <c r="D154" s="563"/>
      <c r="E154" s="563"/>
      <c r="F154" s="563"/>
      <c r="G154" s="563"/>
      <c r="H154" s="563"/>
      <c r="I154" s="563"/>
      <c r="J154" s="563"/>
      <c r="K154" s="563"/>
      <c r="L154" s="587"/>
      <c r="M154" s="468">
        <f t="shared" ref="M154:R154" si="486">N154/(1+N155)</f>
        <v>25.20378451734096</v>
      </c>
      <c r="N154" s="468">
        <f t="shared" si="486"/>
        <v>25.906970105374775</v>
      </c>
      <c r="O154" s="468">
        <f t="shared" si="486"/>
        <v>26.606458298219891</v>
      </c>
      <c r="P154" s="468">
        <f t="shared" si="486"/>
        <v>27.30088685980343</v>
      </c>
      <c r="Q154" s="468">
        <f t="shared" si="486"/>
        <v>27.988869208670479</v>
      </c>
      <c r="R154" s="468">
        <f t="shared" si="486"/>
        <v>28.668998730441171</v>
      </c>
      <c r="S154" s="468">
        <f>T154/(1+T155)</f>
        <v>29.339853300733498</v>
      </c>
      <c r="T154" s="468">
        <f>T151*30/T152</f>
        <v>30</v>
      </c>
      <c r="U154" s="468">
        <f>T154*(1+U155)</f>
        <v>30.66</v>
      </c>
      <c r="V154" s="468">
        <f t="shared" ref="V154:AQ154" si="487">U154*(1+V155)</f>
        <v>31.426499999999997</v>
      </c>
      <c r="W154" s="468">
        <f t="shared" si="487"/>
        <v>32.306441999999997</v>
      </c>
      <c r="X154" s="468">
        <f t="shared" si="487"/>
        <v>33.307941701999994</v>
      </c>
      <c r="Y154" s="468">
        <f t="shared" si="487"/>
        <v>34.440411719867996</v>
      </c>
      <c r="Z154" s="468">
        <f>Z151*30/Z152</f>
        <v>35.625</v>
      </c>
      <c r="AA154" s="468">
        <f t="shared" si="487"/>
        <v>36.871874999999996</v>
      </c>
      <c r="AB154" s="468">
        <f>AB151*30/AB152</f>
        <v>41.092722502195656</v>
      </c>
      <c r="AC154" s="468">
        <f t="shared" si="487"/>
        <v>42.613153234776895</v>
      </c>
      <c r="AD154" s="468">
        <f t="shared" si="487"/>
        <v>44.189839904463639</v>
      </c>
      <c r="AE154" s="468">
        <f t="shared" si="487"/>
        <v>45.824863980928789</v>
      </c>
      <c r="AF154" s="468">
        <f t="shared" si="487"/>
        <v>47.520383948223149</v>
      </c>
      <c r="AG154" s="468">
        <f t="shared" si="487"/>
        <v>49.264382039122935</v>
      </c>
      <c r="AH154" s="468">
        <f t="shared" si="487"/>
        <v>51.057605545347009</v>
      </c>
      <c r="AI154" s="468">
        <f t="shared" si="487"/>
        <v>52.900785105534034</v>
      </c>
      <c r="AJ154" s="468">
        <f t="shared" si="487"/>
        <v>54.794633212312156</v>
      </c>
      <c r="AK154" s="468">
        <f t="shared" si="487"/>
        <v>56.739842691349246</v>
      </c>
      <c r="AL154" s="468">
        <f t="shared" si="487"/>
        <v>58.737085154084731</v>
      </c>
      <c r="AM154" s="468">
        <f t="shared" si="487"/>
        <v>60.787009425962282</v>
      </c>
      <c r="AN154" s="468">
        <f t="shared" si="487"/>
        <v>62.890239952100572</v>
      </c>
      <c r="AO154" s="468">
        <f t="shared" si="487"/>
        <v>65.047375182457628</v>
      </c>
      <c r="AP154" s="468">
        <f t="shared" si="487"/>
        <v>67.258985938661183</v>
      </c>
      <c r="AQ154" s="468">
        <f t="shared" si="487"/>
        <v>69.525613764794073</v>
      </c>
      <c r="AR154" s="468">
        <f>AQ154*(1+AR155)</f>
        <v>71.847769264538186</v>
      </c>
      <c r="AS154" s="468"/>
      <c r="AT154" s="468"/>
      <c r="AU154" s="468"/>
      <c r="AV154" s="468"/>
      <c r="BF154" s="271"/>
      <c r="BG154" s="271"/>
      <c r="BH154" s="271"/>
      <c r="BI154" s="271"/>
      <c r="BJ154" s="271"/>
      <c r="BK154" s="271"/>
      <c r="BL154" s="271"/>
      <c r="BM154" s="271"/>
    </row>
    <row r="155" spans="1:65" s="276" customFormat="1">
      <c r="A155" s="499"/>
      <c r="B155" s="580" t="s">
        <v>347</v>
      </c>
      <c r="C155" s="580"/>
      <c r="D155" s="580"/>
      <c r="E155" s="580"/>
      <c r="F155" s="580"/>
      <c r="G155" s="580"/>
      <c r="H155" s="580"/>
      <c r="I155" s="580"/>
      <c r="J155" s="580"/>
      <c r="K155" s="580"/>
      <c r="L155" s="603"/>
      <c r="M155" s="500">
        <f t="shared" ref="M155:R155" si="488">N155+0.0009</f>
        <v>2.880000000000001E-2</v>
      </c>
      <c r="N155" s="500">
        <f t="shared" si="488"/>
        <v>2.7900000000000008E-2</v>
      </c>
      <c r="O155" s="500">
        <f t="shared" si="488"/>
        <v>2.7000000000000007E-2</v>
      </c>
      <c r="P155" s="500">
        <f t="shared" si="488"/>
        <v>2.6100000000000005E-2</v>
      </c>
      <c r="Q155" s="500">
        <f t="shared" si="488"/>
        <v>2.5200000000000004E-2</v>
      </c>
      <c r="R155" s="500">
        <f t="shared" si="488"/>
        <v>2.4300000000000002E-2</v>
      </c>
      <c r="S155" s="500">
        <f>T155+0.0009</f>
        <v>2.3400000000000001E-2</v>
      </c>
      <c r="T155" s="500">
        <f>U155+0.0005</f>
        <v>2.2499999999999999E-2</v>
      </c>
      <c r="U155" s="500">
        <v>2.1999999999999999E-2</v>
      </c>
      <c r="V155" s="500">
        <v>2.5000000000000001E-2</v>
      </c>
      <c r="W155" s="500">
        <v>2.8000000000000001E-2</v>
      </c>
      <c r="X155" s="500">
        <v>3.1E-2</v>
      </c>
      <c r="Y155" s="500">
        <v>3.4000000000000002E-2</v>
      </c>
      <c r="Z155" s="500">
        <f>Z154/Y154-1</f>
        <v>3.4395299619738307E-2</v>
      </c>
      <c r="AA155" s="500">
        <v>3.5000000000000003E-2</v>
      </c>
      <c r="AB155" s="500">
        <v>3.6999999999999998E-2</v>
      </c>
      <c r="AC155" s="500">
        <v>3.6999999999999998E-2</v>
      </c>
      <c r="AD155" s="500">
        <v>3.6999999999999998E-2</v>
      </c>
      <c r="AE155" s="500">
        <v>3.6999999999999998E-2</v>
      </c>
      <c r="AF155" s="500">
        <v>3.6999999999999998E-2</v>
      </c>
      <c r="AG155" s="500">
        <f t="shared" ref="AG155:AQ155" si="489">AF155-0.0003</f>
        <v>3.6699999999999997E-2</v>
      </c>
      <c r="AH155" s="500">
        <f t="shared" si="489"/>
        <v>3.6399999999999995E-2</v>
      </c>
      <c r="AI155" s="500">
        <f t="shared" si="489"/>
        <v>3.6099999999999993E-2</v>
      </c>
      <c r="AJ155" s="500">
        <f t="shared" si="489"/>
        <v>3.5799999999999992E-2</v>
      </c>
      <c r="AK155" s="500">
        <f t="shared" si="489"/>
        <v>3.549999999999999E-2</v>
      </c>
      <c r="AL155" s="500">
        <f t="shared" si="489"/>
        <v>3.5199999999999988E-2</v>
      </c>
      <c r="AM155" s="500">
        <f t="shared" si="489"/>
        <v>3.4899999999999987E-2</v>
      </c>
      <c r="AN155" s="500">
        <f t="shared" si="489"/>
        <v>3.4599999999999985E-2</v>
      </c>
      <c r="AO155" s="500">
        <f t="shared" si="489"/>
        <v>3.4299999999999983E-2</v>
      </c>
      <c r="AP155" s="500">
        <f t="shared" si="489"/>
        <v>3.3999999999999982E-2</v>
      </c>
      <c r="AQ155" s="500">
        <f t="shared" si="489"/>
        <v>3.369999999999998E-2</v>
      </c>
      <c r="AR155" s="500">
        <f>AQ155-0.0003</f>
        <v>3.3399999999999978E-2</v>
      </c>
      <c r="AS155" s="500"/>
      <c r="AT155" s="500"/>
      <c r="AU155" s="500"/>
      <c r="AV155" s="500"/>
      <c r="AW155" s="499"/>
    </row>
    <row r="156" spans="1:65" s="276" customFormat="1">
      <c r="A156" s="499"/>
      <c r="B156" s="563" t="s">
        <v>387</v>
      </c>
      <c r="C156" s="563"/>
      <c r="D156" s="563"/>
      <c r="E156" s="563"/>
      <c r="F156" s="563"/>
      <c r="G156" s="563"/>
      <c r="H156" s="563"/>
      <c r="I156" s="563"/>
      <c r="J156" s="563"/>
      <c r="K156" s="563"/>
      <c r="L156" s="587"/>
      <c r="M156" s="448">
        <f t="shared" ref="M156:Z156" si="490">M149/M151/90</f>
        <v>4.0335138485287136E-2</v>
      </c>
      <c r="N156" s="448">
        <f t="shared" si="490"/>
        <v>3.0704029272853435E-2</v>
      </c>
      <c r="O156" s="448">
        <f t="shared" si="490"/>
        <v>3.1874745687235681E-2</v>
      </c>
      <c r="P156" s="448">
        <f t="shared" si="490"/>
        <v>4.1332390151124568E-2</v>
      </c>
      <c r="Q156" s="448">
        <f t="shared" si="490"/>
        <v>5.0550140112689906E-2</v>
      </c>
      <c r="R156" s="448">
        <f t="shared" si="490"/>
        <v>6.7294575516505806E-2</v>
      </c>
      <c r="S156" s="448">
        <f t="shared" si="490"/>
        <v>8.6205142152841613E-2</v>
      </c>
      <c r="T156" s="448">
        <f t="shared" si="490"/>
        <v>9.9524158251021788E-2</v>
      </c>
      <c r="U156" s="448">
        <f t="shared" si="490"/>
        <v>0.10154037581012956</v>
      </c>
      <c r="V156" s="448">
        <f t="shared" si="490"/>
        <v>0.11781297076831242</v>
      </c>
      <c r="W156" s="448">
        <f t="shared" si="490"/>
        <v>0.14852926812936379</v>
      </c>
      <c r="X156" s="448">
        <f t="shared" si="490"/>
        <v>0.16342301004289914</v>
      </c>
      <c r="Y156" s="448">
        <f t="shared" si="490"/>
        <v>0.16656720683028284</v>
      </c>
      <c r="Z156" s="448">
        <f t="shared" si="490"/>
        <v>0.16948610526315788</v>
      </c>
      <c r="AA156" s="448">
        <f>Z156*1.025</f>
        <v>0.1737232578947368</v>
      </c>
      <c r="AB156" s="448">
        <f t="shared" ref="AB156:AJ156" si="491">AA156*1.025</f>
        <v>0.1780663393421052</v>
      </c>
      <c r="AC156" s="448">
        <f t="shared" si="491"/>
        <v>0.18251799782565781</v>
      </c>
      <c r="AD156" s="448">
        <f t="shared" si="491"/>
        <v>0.18708094777129924</v>
      </c>
      <c r="AE156" s="448">
        <f t="shared" si="491"/>
        <v>0.19175797146558171</v>
      </c>
      <c r="AF156" s="448">
        <f t="shared" si="491"/>
        <v>0.19655192075222125</v>
      </c>
      <c r="AG156" s="448">
        <f t="shared" si="491"/>
        <v>0.20146571877102676</v>
      </c>
      <c r="AH156" s="448">
        <f t="shared" si="491"/>
        <v>0.2065023617403024</v>
      </c>
      <c r="AI156" s="448">
        <f t="shared" si="491"/>
        <v>0.21166492078380994</v>
      </c>
      <c r="AJ156" s="448">
        <f t="shared" si="491"/>
        <v>0.21695654380340518</v>
      </c>
      <c r="AK156" s="448">
        <f>AJ156*1.02</f>
        <v>0.22129567467947328</v>
      </c>
      <c r="AL156" s="448">
        <f t="shared" ref="AL156:AQ156" si="492">AK156*1.02</f>
        <v>0.22572158817306276</v>
      </c>
      <c r="AM156" s="448">
        <f t="shared" si="492"/>
        <v>0.23023601993652401</v>
      </c>
      <c r="AN156" s="448">
        <f t="shared" si="492"/>
        <v>0.23484074033525448</v>
      </c>
      <c r="AO156" s="448">
        <f t="shared" si="492"/>
        <v>0.23953755514195957</v>
      </c>
      <c r="AP156" s="448">
        <f t="shared" si="492"/>
        <v>0.24432830624479876</v>
      </c>
      <c r="AQ156" s="448">
        <f t="shared" si="492"/>
        <v>0.24921487236969475</v>
      </c>
      <c r="AR156" s="448">
        <f>AQ156*1.02</f>
        <v>0.25419916981708868</v>
      </c>
      <c r="AS156" s="448"/>
      <c r="AT156" s="448"/>
      <c r="AU156" s="448"/>
      <c r="AV156" s="448"/>
      <c r="AW156" s="499"/>
      <c r="BF156" s="280"/>
      <c r="BG156" s="280"/>
      <c r="BH156" s="280"/>
      <c r="BI156" s="280"/>
      <c r="BJ156" s="280"/>
      <c r="BK156" s="280"/>
      <c r="BL156" s="280"/>
      <c r="BM156" s="280"/>
    </row>
    <row r="157" spans="1:65">
      <c r="B157" s="563" t="s">
        <v>388</v>
      </c>
      <c r="C157" s="563"/>
      <c r="D157" s="563"/>
      <c r="E157" s="563"/>
      <c r="F157" s="563"/>
      <c r="G157" s="563"/>
      <c r="H157" s="563"/>
      <c r="I157" s="563"/>
      <c r="J157" s="563"/>
      <c r="K157" s="563"/>
      <c r="L157" s="587"/>
      <c r="M157" s="505"/>
      <c r="N157" s="505"/>
      <c r="O157" s="505"/>
      <c r="P157" s="505"/>
      <c r="Q157" s="505"/>
      <c r="R157" s="505"/>
      <c r="S157" s="505"/>
      <c r="T157" s="505"/>
      <c r="U157" s="505"/>
      <c r="V157" s="505"/>
      <c r="W157" s="505"/>
      <c r="X157" s="505"/>
      <c r="Y157" s="450"/>
      <c r="Z157" s="507">
        <v>8</v>
      </c>
      <c r="AA157" s="505"/>
      <c r="AB157" s="505"/>
      <c r="AC157" s="505"/>
      <c r="AD157" s="505"/>
      <c r="AE157" s="505"/>
      <c r="AF157" s="505"/>
      <c r="AG157" s="505"/>
      <c r="AH157" s="505"/>
      <c r="AI157" s="505"/>
      <c r="AJ157" s="505"/>
      <c r="AK157" s="450"/>
      <c r="AL157" s="450"/>
      <c r="AM157" s="450"/>
      <c r="AN157" s="450"/>
      <c r="AO157" s="450"/>
      <c r="AP157" s="450"/>
      <c r="AQ157" s="450"/>
      <c r="AR157" s="450"/>
      <c r="AS157" s="450"/>
      <c r="AT157" s="450"/>
      <c r="AU157" s="450"/>
      <c r="AV157" s="450"/>
    </row>
    <row r="158" spans="1:65">
      <c r="B158" s="569" t="s">
        <v>389</v>
      </c>
      <c r="C158" s="569"/>
      <c r="D158" s="569"/>
      <c r="E158" s="569"/>
      <c r="F158" s="569"/>
      <c r="G158" s="569"/>
      <c r="H158" s="569"/>
      <c r="I158" s="569"/>
      <c r="J158" s="569"/>
      <c r="K158" s="569"/>
      <c r="L158" s="597"/>
      <c r="M158" s="454"/>
      <c r="N158" s="454"/>
      <c r="O158" s="454"/>
      <c r="P158" s="454"/>
      <c r="Q158" s="454"/>
      <c r="R158" s="454"/>
      <c r="S158" s="454"/>
      <c r="T158" s="454"/>
      <c r="U158" s="454"/>
      <c r="V158" s="454"/>
      <c r="W158" s="454"/>
      <c r="X158" s="454"/>
      <c r="Y158" s="450"/>
      <c r="Z158" s="508">
        <v>0.4</v>
      </c>
      <c r="AA158" s="505"/>
      <c r="AB158" s="505"/>
      <c r="AC158" s="505"/>
      <c r="AD158" s="505"/>
      <c r="AE158" s="505"/>
      <c r="AF158" s="505"/>
      <c r="AG158" s="505"/>
      <c r="AH158" s="505"/>
      <c r="AI158" s="505"/>
      <c r="AJ158" s="505"/>
      <c r="AK158" s="450"/>
      <c r="AL158" s="450"/>
      <c r="AM158" s="450"/>
      <c r="AN158" s="450"/>
      <c r="AO158" s="450"/>
      <c r="AP158" s="450"/>
      <c r="AQ158" s="450"/>
      <c r="AR158" s="450"/>
      <c r="AS158" s="450"/>
      <c r="AT158" s="450"/>
      <c r="AU158" s="450"/>
      <c r="AV158" s="450"/>
    </row>
    <row r="159" spans="1:65">
      <c r="B159" s="581" t="s">
        <v>390</v>
      </c>
      <c r="C159" s="581"/>
      <c r="D159" s="581"/>
      <c r="E159" s="581"/>
      <c r="F159" s="581"/>
      <c r="G159" s="581"/>
      <c r="H159" s="581"/>
      <c r="I159" s="581"/>
      <c r="J159" s="581"/>
      <c r="K159" s="581"/>
      <c r="L159" s="597"/>
      <c r="M159" s="509"/>
      <c r="N159" s="509"/>
      <c r="O159" s="509"/>
      <c r="P159" s="509"/>
      <c r="Q159" s="509"/>
      <c r="R159" s="509"/>
      <c r="S159" s="509"/>
      <c r="T159" s="509"/>
      <c r="U159" s="509"/>
      <c r="V159" s="509"/>
      <c r="W159" s="509">
        <v>2.8</v>
      </c>
      <c r="X159" s="509">
        <v>1</v>
      </c>
      <c r="Y159" s="455"/>
      <c r="Z159" s="510">
        <v>2.8</v>
      </c>
      <c r="AA159" s="511"/>
      <c r="AB159" s="511"/>
      <c r="AC159" s="511"/>
      <c r="AD159" s="511"/>
      <c r="AE159" s="511"/>
      <c r="AF159" s="511"/>
      <c r="AG159" s="511"/>
      <c r="AH159" s="511"/>
      <c r="AI159" s="511"/>
      <c r="AJ159" s="511"/>
      <c r="AK159" s="455"/>
      <c r="AL159" s="455"/>
      <c r="AM159" s="455"/>
      <c r="AN159" s="455"/>
      <c r="AO159" s="455"/>
      <c r="AP159" s="455"/>
      <c r="AQ159" s="455"/>
      <c r="AR159" s="455"/>
      <c r="AS159" s="455"/>
      <c r="AT159" s="455"/>
      <c r="AU159" s="455"/>
      <c r="AV159" s="455"/>
    </row>
    <row r="161" spans="1:65">
      <c r="B161" s="582" t="s">
        <v>393</v>
      </c>
      <c r="C161" s="582"/>
      <c r="D161" s="582"/>
      <c r="E161" s="582"/>
      <c r="F161" s="582"/>
      <c r="G161" s="582"/>
      <c r="H161" s="582"/>
      <c r="I161" s="582"/>
      <c r="J161" s="582"/>
      <c r="K161" s="582"/>
      <c r="L161" s="605"/>
      <c r="M161" s="514"/>
      <c r="N161" s="514"/>
      <c r="O161" s="514"/>
      <c r="P161" s="515"/>
      <c r="Q161" s="516"/>
      <c r="R161" s="516"/>
      <c r="S161" s="516"/>
      <c r="T161" s="515"/>
      <c r="U161" s="517"/>
      <c r="V161" s="516"/>
      <c r="W161" s="516"/>
      <c r="X161" s="515"/>
      <c r="Y161" s="517"/>
      <c r="Z161" s="516"/>
      <c r="AA161" s="514"/>
      <c r="AB161" s="514"/>
      <c r="AC161" s="514"/>
      <c r="AD161" s="514"/>
      <c r="AE161" s="514"/>
      <c r="AF161" s="514"/>
      <c r="AG161" s="514"/>
      <c r="AH161" s="514"/>
      <c r="AI161" s="514"/>
      <c r="AJ161" s="514"/>
      <c r="AK161" s="514"/>
      <c r="AL161" s="514"/>
      <c r="AM161" s="514"/>
      <c r="AN161" s="514"/>
      <c r="AO161" s="514"/>
      <c r="AP161" s="514"/>
      <c r="AQ161" s="514"/>
      <c r="AR161" s="514"/>
      <c r="AS161" s="514"/>
      <c r="AT161" s="514"/>
      <c r="AU161" s="514"/>
      <c r="AV161" s="514"/>
    </row>
    <row r="162" spans="1:65" s="258" customFormat="1">
      <c r="A162" s="460"/>
      <c r="B162" s="564" t="s">
        <v>400</v>
      </c>
      <c r="C162" s="588">
        <f>SUM(M162:P162)</f>
        <v>-416.31</v>
      </c>
      <c r="D162" s="588">
        <f>SUM(Q162:T162)</f>
        <v>-674.32217999999989</v>
      </c>
      <c r="E162" s="588">
        <f>SUM(U162:X162)</f>
        <v>-1208.4230700000001</v>
      </c>
      <c r="F162" s="588">
        <f>SUM(Y162:AB162)</f>
        <v>-1705.49899</v>
      </c>
      <c r="G162" s="588">
        <f ca="1">SUM(AC162:AF162)</f>
        <v>-2325.8295836452098</v>
      </c>
      <c r="H162" s="588">
        <f ca="1">SUM(AG162:AJ162)</f>
        <v>-2881.2392630920349</v>
      </c>
      <c r="I162" s="588">
        <f ca="1">SUM(AK162:AN162)</f>
        <v>-3446.9399809665774</v>
      </c>
      <c r="J162" s="588">
        <f ca="1">SUM(AO162:AR162)</f>
        <v>-4072.7864832070427</v>
      </c>
      <c r="K162" s="588">
        <f ca="1">SUM(AS162:AV162)</f>
        <v>-4781.8812815301717</v>
      </c>
      <c r="L162" s="586"/>
      <c r="M162" s="518">
        <v>-89.65</v>
      </c>
      <c r="N162" s="518">
        <v>-89.91</v>
      </c>
      <c r="O162" s="518">
        <v>-110.14</v>
      </c>
      <c r="P162" s="518">
        <v>-126.61</v>
      </c>
      <c r="Q162" s="518">
        <f t="shared" ref="Q162:AR162" si="493">Q177+Q173+Q169</f>
        <v>-134.01178999999996</v>
      </c>
      <c r="R162" s="518">
        <f t="shared" si="493"/>
        <v>-152.3467</v>
      </c>
      <c r="S162" s="518">
        <f t="shared" si="493"/>
        <v>-185.45828999999998</v>
      </c>
      <c r="T162" s="518">
        <f t="shared" si="493"/>
        <v>-202.50540000000001</v>
      </c>
      <c r="U162" s="518">
        <f t="shared" si="493"/>
        <v>-241.19440000000003</v>
      </c>
      <c r="V162" s="518">
        <f t="shared" si="493"/>
        <v>-283.04336000000001</v>
      </c>
      <c r="W162" s="518">
        <f t="shared" si="493"/>
        <v>-335.24545999999998</v>
      </c>
      <c r="X162" s="518">
        <f t="shared" si="493"/>
        <v>-348.93985000000004</v>
      </c>
      <c r="Y162" s="518">
        <f t="shared" si="493"/>
        <v>-364.65543000000002</v>
      </c>
      <c r="Z162" s="518">
        <f t="shared" si="493"/>
        <v>-392.25355999999999</v>
      </c>
      <c r="AA162" s="518">
        <f t="shared" si="493"/>
        <v>-451.15</v>
      </c>
      <c r="AB162" s="518">
        <f t="shared" si="493"/>
        <v>-497.44</v>
      </c>
      <c r="AC162" s="518">
        <f t="shared" ca="1" si="493"/>
        <v>-512.86822374511974</v>
      </c>
      <c r="AD162" s="518">
        <f t="shared" ca="1" si="493"/>
        <v>-555.04562384702422</v>
      </c>
      <c r="AE162" s="518">
        <f t="shared" ca="1" si="493"/>
        <v>-608.56088943235795</v>
      </c>
      <c r="AF162" s="518">
        <f t="shared" ca="1" si="493"/>
        <v>-649.35484662070758</v>
      </c>
      <c r="AG162" s="518">
        <f t="shared" ca="1" si="493"/>
        <v>-647.01484503627353</v>
      </c>
      <c r="AH162" s="518">
        <f t="shared" ca="1" si="493"/>
        <v>-692.82572369046557</v>
      </c>
      <c r="AI162" s="518">
        <f t="shared" ca="1" si="493"/>
        <v>-750.05940881158256</v>
      </c>
      <c r="AJ162" s="518">
        <f t="shared" ca="1" si="493"/>
        <v>-791.3392855537129</v>
      </c>
      <c r="AK162" s="518">
        <f t="shared" ca="1" si="493"/>
        <v>-777.25545701033229</v>
      </c>
      <c r="AL162" s="518">
        <f t="shared" ca="1" si="493"/>
        <v>-828.26016486382628</v>
      </c>
      <c r="AM162" s="518">
        <f t="shared" ca="1" si="493"/>
        <v>-896.27263045348491</v>
      </c>
      <c r="AN162" s="518">
        <f t="shared" ca="1" si="493"/>
        <v>-945.15172863893417</v>
      </c>
      <c r="AO162" s="518">
        <f t="shared" ca="1" si="493"/>
        <v>-919.75099422264998</v>
      </c>
      <c r="AP162" s="518">
        <f t="shared" ca="1" si="493"/>
        <v>-977.9036840869212</v>
      </c>
      <c r="AQ162" s="518">
        <f t="shared" ca="1" si="493"/>
        <v>-1058.0764787027988</v>
      </c>
      <c r="AR162" s="518">
        <f t="shared" ca="1" si="493"/>
        <v>-1117.0553261946727</v>
      </c>
      <c r="AS162" s="518">
        <f t="shared" ref="AS162:AV162" ca="1" si="494">AS177+AS173+AS169</f>
        <v>-1079.4402682988855</v>
      </c>
      <c r="AT162" s="518">
        <f t="shared" ca="1" si="494"/>
        <v>-1146.6516444941283</v>
      </c>
      <c r="AU162" s="518">
        <f t="shared" ca="1" si="494"/>
        <v>-1241.0465126781016</v>
      </c>
      <c r="AV162" s="518">
        <f t="shared" ca="1" si="494"/>
        <v>-1314.7428560590558</v>
      </c>
      <c r="AW162" s="460"/>
      <c r="AX162" s="282"/>
      <c r="BC162" s="256"/>
      <c r="BD162" s="256"/>
      <c r="BF162" s="259"/>
      <c r="BG162" s="259"/>
      <c r="BH162" s="259"/>
      <c r="BI162" s="259"/>
      <c r="BJ162" s="259"/>
      <c r="BK162" s="259"/>
      <c r="BL162" s="259"/>
      <c r="BM162" s="259"/>
    </row>
    <row r="163" spans="1:65" s="258" customFormat="1">
      <c r="A163" s="460"/>
      <c r="B163" s="579" t="s">
        <v>315</v>
      </c>
      <c r="C163" s="559"/>
      <c r="D163" s="608">
        <f>D162/C162-1</f>
        <v>0.61975974634286923</v>
      </c>
      <c r="E163" s="608">
        <f t="shared" ref="E163" si="495">E162/D162-1</f>
        <v>0.79205594275424884</v>
      </c>
      <c r="F163" s="608">
        <f t="shared" ref="F163" si="496">F162/E162-1</f>
        <v>0.41134262688314949</v>
      </c>
      <c r="G163" s="608">
        <f t="shared" ref="G163" ca="1" si="497">G162/F162-1</f>
        <v>0.36372381178907043</v>
      </c>
      <c r="H163" s="608">
        <f t="shared" ref="H163" ca="1" si="498">H162/G162-1</f>
        <v>0.23880067712284681</v>
      </c>
      <c r="I163" s="608">
        <f t="shared" ref="I163" ca="1" si="499">I162/H162-1</f>
        <v>0.19633937560168269</v>
      </c>
      <c r="J163" s="608">
        <f t="shared" ref="J163:K163" ca="1" si="500">J162/I162-1</f>
        <v>0.18156582525262532</v>
      </c>
      <c r="K163" s="608">
        <f t="shared" ca="1" si="500"/>
        <v>0.17410556660578114</v>
      </c>
      <c r="L163" s="602"/>
      <c r="M163" s="500"/>
      <c r="N163" s="500"/>
      <c r="O163" s="500"/>
      <c r="P163" s="500"/>
      <c r="Q163" s="500">
        <f>Q162/M162-1</f>
        <v>0.49483312883435526</v>
      </c>
      <c r="R163" s="500">
        <f t="shared" ref="R163" si="501">R162/N162-1</f>
        <v>0.69443554665776897</v>
      </c>
      <c r="S163" s="500">
        <f t="shared" ref="S163" si="502">S162/O162-1</f>
        <v>0.68384138369348091</v>
      </c>
      <c r="T163" s="500">
        <f t="shared" ref="T163" si="503">T162/P162-1</f>
        <v>0.59944238211831613</v>
      </c>
      <c r="U163" s="500">
        <f t="shared" ref="U163" si="504">U162/Q162-1</f>
        <v>0.79979985343080706</v>
      </c>
      <c r="V163" s="500">
        <f t="shared" ref="V163" si="505">V162/R162-1</f>
        <v>0.85788966876210648</v>
      </c>
      <c r="W163" s="500">
        <f t="shared" ref="W163" si="506">W162/S162-1</f>
        <v>0.80765960906897183</v>
      </c>
      <c r="X163" s="500">
        <f t="shared" ref="X163" si="507">X162/T162-1</f>
        <v>0.7231138033849962</v>
      </c>
      <c r="Y163" s="500">
        <f t="shared" ref="Y163" si="508">Y162/U162-1</f>
        <v>0.51187353437724914</v>
      </c>
      <c r="Z163" s="500">
        <f t="shared" ref="Z163" si="509">Z162/V162-1</f>
        <v>0.38584264969155257</v>
      </c>
      <c r="AA163" s="500">
        <f t="shared" ref="AA163" si="510">AA162/W162-1</f>
        <v>0.34573037916755078</v>
      </c>
      <c r="AB163" s="500">
        <f t="shared" ref="AB163" si="511">AB162/X162-1</f>
        <v>0.42557521016874378</v>
      </c>
      <c r="AC163" s="500">
        <f t="shared" ref="AC163" ca="1" si="512">AC162/Y162-1</f>
        <v>0.40644614491307496</v>
      </c>
      <c r="AD163" s="500">
        <f t="shared" ref="AD163" ca="1" si="513">AD162/Z162-1</f>
        <v>0.41501742864239199</v>
      </c>
      <c r="AE163" s="500">
        <f t="shared" ref="AE163" ca="1" si="514">AE162/AA162-1</f>
        <v>0.3489103168178167</v>
      </c>
      <c r="AF163" s="500">
        <f t="shared" ref="AF163" ca="1" si="515">AF162/AB162-1</f>
        <v>0.30539330697311762</v>
      </c>
      <c r="AG163" s="500">
        <f t="shared" ref="AG163" ca="1" si="516">AG162/AC162-1</f>
        <v>0.26156157679564229</v>
      </c>
      <c r="AH163" s="500">
        <f t="shared" ref="AH163" ca="1" si="517">AH162/AD162-1</f>
        <v>0.24823202620441664</v>
      </c>
      <c r="AI163" s="500">
        <f t="shared" ref="AI163" ca="1" si="518">AI162/AE162-1</f>
        <v>0.23251333077156655</v>
      </c>
      <c r="AJ163" s="500">
        <f t="shared" ref="AJ163" ca="1" si="519">AJ162/AF162-1</f>
        <v>0.2186546226179773</v>
      </c>
      <c r="AK163" s="500">
        <f t="shared" ref="AK163" ca="1" si="520">AK162/AG162-1</f>
        <v>0.20129462712212898</v>
      </c>
      <c r="AL163" s="500">
        <f t="shared" ref="AL163" ca="1" si="521">AL162/AH162-1</f>
        <v>0.19548125385983628</v>
      </c>
      <c r="AM163" s="500">
        <f t="shared" ref="AM163" ca="1" si="522">AM162/AI162-1</f>
        <v>0.19493552100568556</v>
      </c>
      <c r="AN163" s="500">
        <f t="shared" ref="AN163" ca="1" si="523">AN162/AJ162-1</f>
        <v>0.19436978031186225</v>
      </c>
      <c r="AO163" s="500">
        <f t="shared" ref="AO163" ca="1" si="524">AO162/AK162-1</f>
        <v>0.1833316651907706</v>
      </c>
      <c r="AP163" s="500">
        <f t="shared" ref="AP163" ca="1" si="525">AP162/AL162-1</f>
        <v>0.18067211918576054</v>
      </c>
      <c r="AQ163" s="500">
        <f t="shared" ref="AQ163" ca="1" si="526">AQ162/AM162-1</f>
        <v>0.18052972137221945</v>
      </c>
      <c r="AR163" s="500">
        <f ca="1">AR162/AN162-1</f>
        <v>0.18187936639896796</v>
      </c>
      <c r="AS163" s="500">
        <f t="shared" ref="AS163:AV163" ca="1" si="527">AS162/AO162-1</f>
        <v>0.17362229024954834</v>
      </c>
      <c r="AT163" s="500">
        <f t="shared" ca="1" si="527"/>
        <v>0.17256092103259513</v>
      </c>
      <c r="AU163" s="500">
        <f t="shared" ca="1" si="527"/>
        <v>0.17292704039657325</v>
      </c>
      <c r="AV163" s="500">
        <f t="shared" ca="1" si="527"/>
        <v>0.17697201313906219</v>
      </c>
      <c r="AW163" s="460"/>
      <c r="AX163" s="282"/>
      <c r="BC163" s="256"/>
      <c r="BD163" s="256"/>
      <c r="BF163" s="259"/>
      <c r="BG163" s="259"/>
      <c r="BH163" s="259"/>
      <c r="BI163" s="259"/>
      <c r="BJ163" s="259"/>
      <c r="BK163" s="259"/>
      <c r="BL163" s="259"/>
      <c r="BM163" s="259"/>
    </row>
    <row r="164" spans="1:65" s="258" customFormat="1">
      <c r="A164" s="460"/>
      <c r="B164" s="579" t="s">
        <v>347</v>
      </c>
      <c r="C164" s="579"/>
      <c r="D164" s="579"/>
      <c r="E164" s="579"/>
      <c r="F164" s="579"/>
      <c r="G164" s="579"/>
      <c r="H164" s="579"/>
      <c r="I164" s="579"/>
      <c r="J164" s="579"/>
      <c r="K164" s="579"/>
      <c r="L164" s="602"/>
      <c r="M164" s="500"/>
      <c r="N164" s="500">
        <f>N162/M162-1</f>
        <v>2.9001673173452147E-3</v>
      </c>
      <c r="O164" s="500">
        <f t="shared" ref="O164:AR164" si="528">O162/N162-1</f>
        <v>0.22500278055833611</v>
      </c>
      <c r="P164" s="500">
        <f t="shared" si="528"/>
        <v>0.14953695296894853</v>
      </c>
      <c r="Q164" s="500">
        <f t="shared" si="528"/>
        <v>5.8461337966984939E-2</v>
      </c>
      <c r="R164" s="500">
        <f t="shared" si="528"/>
        <v>0.13681564883209196</v>
      </c>
      <c r="S164" s="500">
        <f t="shared" si="528"/>
        <v>0.21734366415550821</v>
      </c>
      <c r="T164" s="500">
        <f t="shared" si="528"/>
        <v>9.191883522704769E-2</v>
      </c>
      <c r="U164" s="500">
        <f t="shared" si="528"/>
        <v>0.19105169541157929</v>
      </c>
      <c r="V164" s="500">
        <f t="shared" si="528"/>
        <v>0.17350717927116044</v>
      </c>
      <c r="W164" s="500">
        <f t="shared" si="528"/>
        <v>0.18443145954739926</v>
      </c>
      <c r="X164" s="500">
        <f t="shared" si="528"/>
        <v>4.0848845499652953E-2</v>
      </c>
      <c r="Y164" s="500">
        <f t="shared" si="528"/>
        <v>4.5038077479542693E-2</v>
      </c>
      <c r="Z164" s="500">
        <f t="shared" si="528"/>
        <v>7.5682761669009002E-2</v>
      </c>
      <c r="AA164" s="500">
        <f t="shared" si="528"/>
        <v>0.15014889858488467</v>
      </c>
      <c r="AB164" s="500">
        <f t="shared" si="528"/>
        <v>0.10260445528094864</v>
      </c>
      <c r="AC164" s="500">
        <f t="shared" ca="1" si="528"/>
        <v>3.1015245547442394E-2</v>
      </c>
      <c r="AD164" s="500">
        <f t="shared" ca="1" si="528"/>
        <v>8.2238279053266972E-2</v>
      </c>
      <c r="AE164" s="500">
        <f t="shared" ca="1" si="528"/>
        <v>9.6415976067731446E-2</v>
      </c>
      <c r="AF164" s="500">
        <f t="shared" ca="1" si="528"/>
        <v>6.7033484893189055E-2</v>
      </c>
      <c r="AG164" s="500">
        <f t="shared" ca="1" si="528"/>
        <v>-3.6035791472283085E-3</v>
      </c>
      <c r="AH164" s="500">
        <f t="shared" ca="1" si="528"/>
        <v>7.0803442928150773E-2</v>
      </c>
      <c r="AI164" s="500">
        <f t="shared" ca="1" si="528"/>
        <v>8.2609064825496237E-2</v>
      </c>
      <c r="AJ164" s="500">
        <f t="shared" ca="1" si="528"/>
        <v>5.5035476199859268E-2</v>
      </c>
      <c r="AK164" s="500">
        <f t="shared" ca="1" si="528"/>
        <v>-1.7797459067795285E-2</v>
      </c>
      <c r="AL164" s="500">
        <f t="shared" ca="1" si="528"/>
        <v>6.5621550023824415E-2</v>
      </c>
      <c r="AM164" s="500">
        <f t="shared" ca="1" si="528"/>
        <v>8.2114857716041989E-2</v>
      </c>
      <c r="AN164" s="500">
        <f t="shared" ca="1" si="528"/>
        <v>5.4535971003285111E-2</v>
      </c>
      <c r="AO164" s="500">
        <f t="shared" ca="1" si="528"/>
        <v>-2.6874769041434821E-2</v>
      </c>
      <c r="AP164" s="500">
        <f t="shared" ca="1" si="528"/>
        <v>6.3226558307143188E-2</v>
      </c>
      <c r="AQ164" s="500">
        <f t="shared" ca="1" si="528"/>
        <v>8.1984346639143446E-2</v>
      </c>
      <c r="AR164" s="500">
        <f t="shared" ca="1" si="528"/>
        <v>5.5741573202895411E-2</v>
      </c>
      <c r="AS164" s="500">
        <f t="shared" ref="AS164" ca="1" si="529">AS162/AR162-1</f>
        <v>-3.367340633335103E-2</v>
      </c>
      <c r="AT164" s="500">
        <f t="shared" ref="AT164" ca="1" si="530">AT162/AS162-1</f>
        <v>6.2265025837106025E-2</v>
      </c>
      <c r="AU164" s="500">
        <f t="shared" ref="AU164" ca="1" si="531">AU162/AT162-1</f>
        <v>8.2322184455260405E-2</v>
      </c>
      <c r="AV164" s="500">
        <f t="shared" ref="AV164" ca="1" si="532">AV162/AU162-1</f>
        <v>5.938241848963588E-2</v>
      </c>
      <c r="AW164" s="460"/>
      <c r="AX164" s="282"/>
      <c r="BC164" s="256"/>
      <c r="BD164" s="256"/>
      <c r="BF164" s="259"/>
      <c r="BG164" s="259"/>
      <c r="BH164" s="259"/>
      <c r="BI164" s="259"/>
      <c r="BJ164" s="259"/>
      <c r="BK164" s="259"/>
      <c r="BL164" s="259"/>
      <c r="BM164" s="259"/>
    </row>
    <row r="165" spans="1:65">
      <c r="A165" s="614"/>
      <c r="B165" s="579" t="s">
        <v>401</v>
      </c>
      <c r="C165" s="500">
        <f t="shared" ref="C165:K165" si="533">(C21+C162)/C21</f>
        <v>0.59527721338090478</v>
      </c>
      <c r="D165" s="500">
        <f t="shared" si="533"/>
        <v>0.55618595743000432</v>
      </c>
      <c r="E165" s="500">
        <f t="shared" si="533"/>
        <v>0.49174668993943477</v>
      </c>
      <c r="F165" s="500">
        <f t="shared" si="533"/>
        <v>0.45457892060608773</v>
      </c>
      <c r="G165" s="500">
        <f t="shared" ca="1" si="533"/>
        <v>0.40054950782559201</v>
      </c>
      <c r="H165" s="500">
        <f t="shared" ca="1" si="533"/>
        <v>0.39081672973304982</v>
      </c>
      <c r="I165" s="500">
        <f t="shared" ca="1" si="533"/>
        <v>0.38724560668828917</v>
      </c>
      <c r="J165" s="500">
        <f t="shared" ca="1" si="533"/>
        <v>0.38558543591326616</v>
      </c>
      <c r="K165" s="500">
        <f t="shared" ca="1" si="533"/>
        <v>0.38371527844964021</v>
      </c>
      <c r="L165" s="602"/>
      <c r="M165" s="500">
        <f t="shared" ref="M165:AR165" si="534">(M21+M162)/M21</f>
        <v>0.59975891780883073</v>
      </c>
      <c r="N165" s="500">
        <f t="shared" si="534"/>
        <v>0.61624482478979037</v>
      </c>
      <c r="O165" s="500">
        <f t="shared" si="534"/>
        <v>0.58584643152590821</v>
      </c>
      <c r="P165" s="500">
        <f t="shared" si="534"/>
        <v>0.58408068066095065</v>
      </c>
      <c r="Q165" s="500">
        <f t="shared" si="534"/>
        <v>0.58114771057977821</v>
      </c>
      <c r="R165" s="500">
        <f t="shared" si="534"/>
        <v>0.57315093440923481</v>
      </c>
      <c r="S165" s="500">
        <f t="shared" si="534"/>
        <v>0.54080843319797967</v>
      </c>
      <c r="T165" s="500">
        <f t="shared" si="534"/>
        <v>0.53833348531825642</v>
      </c>
      <c r="U165" s="500">
        <f t="shared" si="534"/>
        <v>0.51324991927671937</v>
      </c>
      <c r="V165" s="500">
        <f t="shared" si="534"/>
        <v>0.4999763982616684</v>
      </c>
      <c r="W165" s="500">
        <f t="shared" si="534"/>
        <v>0.48589869651893886</v>
      </c>
      <c r="X165" s="500">
        <f t="shared" si="534"/>
        <v>0.4744248554042656</v>
      </c>
      <c r="Y165" s="500">
        <f t="shared" si="534"/>
        <v>0.50405909313458819</v>
      </c>
      <c r="Z165" s="500">
        <f t="shared" si="534"/>
        <v>0.46758933152358334</v>
      </c>
      <c r="AA165" s="500">
        <f t="shared" si="534"/>
        <v>0.44022582046032638</v>
      </c>
      <c r="AB165" s="500">
        <f t="shared" si="534"/>
        <v>0.41405955522050514</v>
      </c>
      <c r="AC165" s="500">
        <f t="shared" ca="1" si="534"/>
        <v>0.40842274659532596</v>
      </c>
      <c r="AD165" s="500">
        <f t="shared" ca="1" si="534"/>
        <v>0.40390420223454204</v>
      </c>
      <c r="AE165" s="500">
        <f t="shared" ca="1" si="534"/>
        <v>0.39865290172120171</v>
      </c>
      <c r="AF165" s="500">
        <f t="shared" ca="1" si="534"/>
        <v>0.39304379210265161</v>
      </c>
      <c r="AG165" s="500">
        <f t="shared" ca="1" si="534"/>
        <v>0.39509867039766022</v>
      </c>
      <c r="AH165" s="500">
        <f t="shared" ca="1" si="534"/>
        <v>0.39238833151082675</v>
      </c>
      <c r="AI165" s="500">
        <f t="shared" ca="1" si="534"/>
        <v>0.38981033458782277</v>
      </c>
      <c r="AJ165" s="500">
        <f t="shared" ca="1" si="534"/>
        <v>0.38683793953510365</v>
      </c>
      <c r="AK165" s="500">
        <f t="shared" ca="1" si="534"/>
        <v>0.3898530224826961</v>
      </c>
      <c r="AL165" s="500">
        <f t="shared" ca="1" si="534"/>
        <v>0.38816723456224927</v>
      </c>
      <c r="AM165" s="500">
        <f t="shared" ca="1" si="534"/>
        <v>0.3866789266998617</v>
      </c>
      <c r="AN165" s="500">
        <f t="shared" ca="1" si="534"/>
        <v>0.38481058452822253</v>
      </c>
      <c r="AO165" s="500">
        <f t="shared" ca="1" si="534"/>
        <v>0.38764441815590212</v>
      </c>
      <c r="AP165" s="500">
        <f t="shared" ca="1" si="534"/>
        <v>0.38632726100845488</v>
      </c>
      <c r="AQ165" s="500">
        <f t="shared" ca="1" si="534"/>
        <v>0.38515668322025703</v>
      </c>
      <c r="AR165" s="500">
        <f t="shared" ca="1" si="534"/>
        <v>0.38363388128695552</v>
      </c>
      <c r="AS165" s="500">
        <f t="shared" ref="AS165:AV165" ca="1" si="535">(AS21+AS162)/AS21</f>
        <v>0.38560271732744944</v>
      </c>
      <c r="AT165" s="500">
        <f t="shared" ca="1" si="535"/>
        <v>0.38435743454217691</v>
      </c>
      <c r="AU165" s="500">
        <f t="shared" ca="1" si="535"/>
        <v>0.38326541307288953</v>
      </c>
      <c r="AV165" s="500">
        <f t="shared" ca="1" si="535"/>
        <v>0.38201992639003313</v>
      </c>
    </row>
    <row r="166" spans="1:65">
      <c r="A166" s="614"/>
      <c r="B166" s="574"/>
      <c r="C166" s="574"/>
      <c r="D166" s="574"/>
      <c r="E166" s="574"/>
      <c r="F166" s="574"/>
      <c r="G166" s="574"/>
      <c r="H166" s="574"/>
      <c r="I166" s="574"/>
      <c r="J166" s="574"/>
      <c r="K166" s="574"/>
      <c r="L166" s="600"/>
      <c r="M166" s="474"/>
      <c r="N166" s="474"/>
      <c r="O166" s="474"/>
      <c r="P166" s="474"/>
      <c r="Q166" s="474"/>
      <c r="R166" s="474"/>
      <c r="S166" s="474"/>
      <c r="T166" s="474"/>
      <c r="U166" s="474"/>
      <c r="V166" s="474"/>
      <c r="W166" s="474"/>
      <c r="X166" s="474"/>
      <c r="Y166" s="474"/>
      <c r="Z166" s="474"/>
      <c r="AA166" s="474"/>
      <c r="AB166" s="474"/>
      <c r="AC166" s="474"/>
      <c r="AD166" s="474"/>
      <c r="AE166" s="474"/>
      <c r="AF166" s="474"/>
      <c r="AG166" s="474"/>
      <c r="AH166" s="474"/>
      <c r="AI166" s="474"/>
      <c r="AJ166" s="474"/>
      <c r="AK166" s="474"/>
      <c r="AL166" s="474"/>
      <c r="AM166" s="474"/>
      <c r="AN166" s="474"/>
      <c r="AO166" s="474"/>
      <c r="AP166" s="474"/>
      <c r="AQ166" s="474"/>
      <c r="AR166" s="474"/>
      <c r="AS166" s="474"/>
      <c r="AT166" s="474"/>
      <c r="AU166" s="474"/>
      <c r="AV166" s="474"/>
    </row>
    <row r="167" spans="1:65" s="258" customFormat="1">
      <c r="A167" s="460"/>
      <c r="B167" s="583" t="s">
        <v>394</v>
      </c>
      <c r="C167" s="583"/>
      <c r="D167" s="583"/>
      <c r="E167" s="583"/>
      <c r="F167" s="583"/>
      <c r="G167" s="583"/>
      <c r="H167" s="583"/>
      <c r="I167" s="583"/>
      <c r="J167" s="583"/>
      <c r="K167" s="583"/>
      <c r="L167" s="604"/>
      <c r="M167" s="487"/>
      <c r="N167" s="487"/>
      <c r="O167" s="487"/>
      <c r="P167" s="487"/>
      <c r="Q167" s="487"/>
      <c r="R167" s="487"/>
      <c r="S167" s="487"/>
      <c r="T167" s="487"/>
      <c r="U167" s="487"/>
      <c r="V167" s="487"/>
      <c r="W167" s="487"/>
      <c r="X167" s="487"/>
      <c r="Y167" s="487"/>
      <c r="Z167" s="487"/>
      <c r="AA167" s="487"/>
      <c r="AB167" s="487"/>
      <c r="AC167" s="487"/>
      <c r="AD167" s="487"/>
      <c r="AE167" s="487"/>
      <c r="AF167" s="487"/>
      <c r="AG167" s="487"/>
      <c r="AH167" s="487"/>
      <c r="AI167" s="487"/>
      <c r="AJ167" s="487"/>
      <c r="AK167" s="487"/>
      <c r="AL167" s="487"/>
      <c r="AM167" s="487"/>
      <c r="AN167" s="487"/>
      <c r="AO167" s="487"/>
      <c r="AP167" s="487"/>
      <c r="AQ167" s="487"/>
      <c r="AR167" s="487"/>
      <c r="AS167" s="487"/>
      <c r="AT167" s="487"/>
      <c r="AU167" s="487"/>
      <c r="AV167" s="487"/>
      <c r="AW167" s="460"/>
      <c r="AX167" s="282"/>
      <c r="BC167" s="256"/>
      <c r="BD167" s="256"/>
      <c r="BF167" s="259"/>
      <c r="BG167" s="259"/>
      <c r="BH167" s="259"/>
      <c r="BI167" s="259"/>
      <c r="BJ167" s="259"/>
      <c r="BK167" s="259"/>
      <c r="BL167" s="259"/>
      <c r="BM167" s="259"/>
    </row>
    <row r="168" spans="1:65">
      <c r="B168" s="563" t="s">
        <v>395</v>
      </c>
      <c r="C168" s="474">
        <f>C170/C34</f>
        <v>0.64767883573615637</v>
      </c>
      <c r="D168" s="474">
        <f t="shared" ref="D168:K168" si="536">D170/D34</f>
        <v>0.65108390687320294</v>
      </c>
      <c r="E168" s="474">
        <f t="shared" si="536"/>
        <v>0.60139653728008935</v>
      </c>
      <c r="F168" s="474">
        <f t="shared" si="536"/>
        <v>0.58139522547920686</v>
      </c>
      <c r="G168" s="474">
        <f t="shared" ca="1" si="536"/>
        <v>0.52500000000000002</v>
      </c>
      <c r="H168" s="474">
        <f t="shared" ca="1" si="536"/>
        <v>0.52626737606267582</v>
      </c>
      <c r="I168" s="474">
        <f t="shared" ca="1" si="536"/>
        <v>0.52826787615139814</v>
      </c>
      <c r="J168" s="474">
        <f t="shared" ca="1" si="536"/>
        <v>0.53026832664495227</v>
      </c>
      <c r="K168" s="474">
        <f t="shared" ca="1" si="536"/>
        <v>0.53226816169208069</v>
      </c>
      <c r="L168" s="587"/>
      <c r="M168" s="474">
        <v>0.65300000000000002</v>
      </c>
      <c r="N168" s="474">
        <v>0.66200000000000003</v>
      </c>
      <c r="O168" s="474">
        <v>0.64200000000000002</v>
      </c>
      <c r="P168" s="474">
        <v>0.63700000000000001</v>
      </c>
      <c r="Q168" s="474">
        <v>0.65600000000000003</v>
      </c>
      <c r="R168" s="474">
        <v>0.66700000000000004</v>
      </c>
      <c r="S168" s="474">
        <v>0.65200000000000002</v>
      </c>
      <c r="T168" s="474">
        <v>0.63200000000000001</v>
      </c>
      <c r="U168" s="474">
        <v>0.60899999999999999</v>
      </c>
      <c r="V168" s="474">
        <v>0.60599999999999998</v>
      </c>
      <c r="W168" s="474">
        <v>0.59899999999999998</v>
      </c>
      <c r="X168" s="474">
        <v>0.59299999999999997</v>
      </c>
      <c r="Y168" s="474">
        <v>0.63300000000000001</v>
      </c>
      <c r="Z168" s="474">
        <v>0.58988804107537618</v>
      </c>
      <c r="AA168" s="474">
        <f>AA170/AA34</f>
        <v>0.56507525710004769</v>
      </c>
      <c r="AB168" s="474">
        <f>AB170/AB34</f>
        <v>0.53426038349636884</v>
      </c>
      <c r="AC168" s="475">
        <v>0.52500000000000002</v>
      </c>
      <c r="AD168" s="475">
        <f t="shared" ref="AD168:AF168" si="537">AC168</f>
        <v>0.52500000000000002</v>
      </c>
      <c r="AE168" s="475">
        <f t="shared" si="537"/>
        <v>0.52500000000000002</v>
      </c>
      <c r="AF168" s="475">
        <f t="shared" si="537"/>
        <v>0.52500000000000002</v>
      </c>
      <c r="AG168" s="475">
        <f t="shared" ref="AG168:AQ168" si="538">AF168+0.0005</f>
        <v>0.52549999999999997</v>
      </c>
      <c r="AH168" s="475">
        <f t="shared" si="538"/>
        <v>0.52599999999999991</v>
      </c>
      <c r="AI168" s="475">
        <f t="shared" si="538"/>
        <v>0.52649999999999986</v>
      </c>
      <c r="AJ168" s="475">
        <f t="shared" si="538"/>
        <v>0.5269999999999998</v>
      </c>
      <c r="AK168" s="475">
        <f t="shared" si="538"/>
        <v>0.52749999999999975</v>
      </c>
      <c r="AL168" s="475">
        <f t="shared" si="538"/>
        <v>0.52799999999999969</v>
      </c>
      <c r="AM168" s="475">
        <f t="shared" si="538"/>
        <v>0.52849999999999964</v>
      </c>
      <c r="AN168" s="475">
        <f t="shared" si="538"/>
        <v>0.52899999999999958</v>
      </c>
      <c r="AO168" s="475">
        <f t="shared" si="538"/>
        <v>0.52949999999999953</v>
      </c>
      <c r="AP168" s="475">
        <f t="shared" si="538"/>
        <v>0.52999999999999947</v>
      </c>
      <c r="AQ168" s="475">
        <f t="shared" si="538"/>
        <v>0.53049999999999942</v>
      </c>
      <c r="AR168" s="475">
        <f>AQ168+0.0005</f>
        <v>0.53099999999999936</v>
      </c>
      <c r="AS168" s="475">
        <f t="shared" ref="AS168:AV168" si="539">AR168+0.0005</f>
        <v>0.53149999999999931</v>
      </c>
      <c r="AT168" s="475">
        <f t="shared" si="539"/>
        <v>0.53199999999999925</v>
      </c>
      <c r="AU168" s="475">
        <f t="shared" si="539"/>
        <v>0.5324999999999992</v>
      </c>
      <c r="AV168" s="475">
        <f t="shared" si="539"/>
        <v>0.53299999999999914</v>
      </c>
      <c r="AX168" s="281"/>
      <c r="AY168" s="266"/>
    </row>
    <row r="169" spans="1:65">
      <c r="A169" s="583"/>
      <c r="B169" s="563" t="s">
        <v>396</v>
      </c>
      <c r="C169" s="607">
        <f>SUM(M169:P169)</f>
        <v>-284.21395999999993</v>
      </c>
      <c r="D169" s="607">
        <f>SUM(Q169:T169)</f>
        <v>-376.16643999999997</v>
      </c>
      <c r="E169" s="607">
        <f>SUM(U169:X169)</f>
        <v>-613.7815700000001</v>
      </c>
      <c r="F169" s="607">
        <f>SUM(Y169:AB169)</f>
        <v>-739.44858999999997</v>
      </c>
      <c r="G169" s="607">
        <f ca="1">SUM(AC169:AF169)</f>
        <v>-930.28711260975388</v>
      </c>
      <c r="H169" s="607">
        <f ca="1">SUM(AG169:AJ169)</f>
        <v>-1043.0677238161363</v>
      </c>
      <c r="I169" s="607">
        <f ca="1">SUM(AK169:AN169)</f>
        <v>-1171.9263697404247</v>
      </c>
      <c r="J169" s="607">
        <f ca="1">SUM(AO169:AR169)</f>
        <v>-1309.588935977313</v>
      </c>
      <c r="K169" s="607">
        <f ca="1">SUM(AS169:AV169)</f>
        <v>-1447.1526568429601</v>
      </c>
      <c r="L169" s="587"/>
      <c r="M169" s="519">
        <f t="shared" ref="M169:Z169" si="540">(M168-1)*M34</f>
        <v>-64.63221999999999</v>
      </c>
      <c r="N169" s="519">
        <f t="shared" si="540"/>
        <v>-62.286639999999984</v>
      </c>
      <c r="O169" s="519">
        <f t="shared" si="540"/>
        <v>-73.558260000000004</v>
      </c>
      <c r="P169" s="519">
        <f t="shared" si="540"/>
        <v>-83.736840000000001</v>
      </c>
      <c r="Q169" s="519">
        <f t="shared" si="540"/>
        <v>-85.876159999999985</v>
      </c>
      <c r="R169" s="519">
        <f t="shared" si="540"/>
        <v>-85.514399999999995</v>
      </c>
      <c r="S169" s="519">
        <f t="shared" si="540"/>
        <v>-97.352999999999994</v>
      </c>
      <c r="T169" s="519">
        <f t="shared" si="540"/>
        <v>-107.42287999999999</v>
      </c>
      <c r="U169" s="519">
        <f t="shared" si="540"/>
        <v>-137.27228000000002</v>
      </c>
      <c r="V169" s="519">
        <f t="shared" si="540"/>
        <v>-145.00776000000002</v>
      </c>
      <c r="W169" s="519">
        <f t="shared" si="540"/>
        <v>-168.91724000000002</v>
      </c>
      <c r="X169" s="519">
        <f t="shared" si="540"/>
        <v>-162.58429000000001</v>
      </c>
      <c r="Y169" s="519">
        <f t="shared" si="540"/>
        <v>-172.03859</v>
      </c>
      <c r="Z169" s="519">
        <f t="shared" si="540"/>
        <v>-172.53</v>
      </c>
      <c r="AA169" s="520">
        <v>-191.58</v>
      </c>
      <c r="AB169" s="519">
        <v>-203.3</v>
      </c>
      <c r="AC169" s="519">
        <f t="shared" ref="AC169:AR169" ca="1" si="541">(AC168-1)*AC34</f>
        <v>-225.23581165467658</v>
      </c>
      <c r="AD169" s="519">
        <f t="shared" ca="1" si="541"/>
        <v>-228.75809162308508</v>
      </c>
      <c r="AE169" s="519">
        <f t="shared" ca="1" si="541"/>
        <v>-237.26365289320853</v>
      </c>
      <c r="AF169" s="519">
        <f t="shared" ca="1" si="541"/>
        <v>-239.02955643878369</v>
      </c>
      <c r="AG169" s="519">
        <f t="shared" ca="1" si="541"/>
        <v>-251.66118453775246</v>
      </c>
      <c r="AH169" s="519">
        <f t="shared" ca="1" si="541"/>
        <v>-254.61867842139844</v>
      </c>
      <c r="AI169" s="519">
        <f t="shared" ca="1" si="541"/>
        <v>-265.50964943992864</v>
      </c>
      <c r="AJ169" s="519">
        <f t="shared" ca="1" si="541"/>
        <v>-271.27821141705687</v>
      </c>
      <c r="AK169" s="519">
        <f t="shared" ca="1" si="541"/>
        <v>-282.85032461388943</v>
      </c>
      <c r="AL169" s="519">
        <f t="shared" ca="1" si="541"/>
        <v>-285.39113401240883</v>
      </c>
      <c r="AM169" s="519">
        <f t="shared" ca="1" si="541"/>
        <v>-298.21338119920858</v>
      </c>
      <c r="AN169" s="519">
        <f t="shared" ca="1" si="541"/>
        <v>-305.47152991491777</v>
      </c>
      <c r="AO169" s="519">
        <f t="shared" ca="1" si="541"/>
        <v>-316.00348414706167</v>
      </c>
      <c r="AP169" s="519">
        <f t="shared" ca="1" si="541"/>
        <v>-318.54198642265561</v>
      </c>
      <c r="AQ169" s="519">
        <f t="shared" ca="1" si="541"/>
        <v>-333.03571782571908</v>
      </c>
      <c r="AR169" s="519">
        <f t="shared" ca="1" si="541"/>
        <v>-342.00774758187657</v>
      </c>
      <c r="AS169" s="519">
        <f t="shared" ref="AS169:AV169" ca="1" si="542">(AS168-1)*AS34</f>
        <v>-349.8924551816911</v>
      </c>
      <c r="AT169" s="519">
        <f t="shared" ca="1" si="542"/>
        <v>-351.62997965290202</v>
      </c>
      <c r="AU169" s="519">
        <f t="shared" ca="1" si="542"/>
        <v>-367.16813173576088</v>
      </c>
      <c r="AV169" s="519">
        <f t="shared" ca="1" si="542"/>
        <v>-378.46209027260619</v>
      </c>
      <c r="AX169" s="281"/>
      <c r="AY169" s="266"/>
    </row>
    <row r="170" spans="1:65">
      <c r="A170" s="583"/>
      <c r="B170" s="563" t="s">
        <v>397</v>
      </c>
      <c r="C170" s="607">
        <f>SUM(M170:P170)</f>
        <v>522.47604000000001</v>
      </c>
      <c r="D170" s="607">
        <f>SUM(Q170:T170)</f>
        <v>701.93356000000006</v>
      </c>
      <c r="E170" s="607">
        <f>SUM(U170:X170)</f>
        <v>926.04843000000005</v>
      </c>
      <c r="F170" s="607">
        <f>SUM(Y170:AB170)</f>
        <v>1027.0114099999998</v>
      </c>
      <c r="G170" s="607">
        <f ca="1">SUM(AC170:AF170)</f>
        <v>1028.2120718318333</v>
      </c>
      <c r="H170" s="607">
        <f ca="1">SUM(AG170:AJ170)</f>
        <v>1158.7390995073433</v>
      </c>
      <c r="I170" s="607">
        <f ca="1">SUM(AK170:AN170)</f>
        <v>1312.3784093772756</v>
      </c>
      <c r="J170" s="607">
        <f ca="1">SUM(AO170:AR170)</f>
        <v>1478.3621651771059</v>
      </c>
      <c r="K170" s="607">
        <f ca="1">SUM(AS170:AV170)</f>
        <v>1646.8267097920393</v>
      </c>
      <c r="L170" s="587"/>
      <c r="M170" s="519">
        <f t="shared" ref="M170:Z170" si="543">M34*M168</f>
        <v>121.62778</v>
      </c>
      <c r="N170" s="519">
        <f t="shared" si="543"/>
        <v>121.99335999999998</v>
      </c>
      <c r="O170" s="519">
        <f t="shared" si="543"/>
        <v>131.91174000000001</v>
      </c>
      <c r="P170" s="519">
        <f t="shared" si="543"/>
        <v>146.94316000000001</v>
      </c>
      <c r="Q170" s="519">
        <f t="shared" si="543"/>
        <v>163.76383999999999</v>
      </c>
      <c r="R170" s="519">
        <f t="shared" si="543"/>
        <v>171.28560000000002</v>
      </c>
      <c r="S170" s="519">
        <f t="shared" si="543"/>
        <v>182.39700000000002</v>
      </c>
      <c r="T170" s="519">
        <f t="shared" si="543"/>
        <v>184.48711999999998</v>
      </c>
      <c r="U170" s="519">
        <f t="shared" si="543"/>
        <v>213.80772000000002</v>
      </c>
      <c r="V170" s="519">
        <f t="shared" si="543"/>
        <v>223.03224</v>
      </c>
      <c r="W170" s="519">
        <f t="shared" si="543"/>
        <v>252.32275999999999</v>
      </c>
      <c r="X170" s="519">
        <f t="shared" si="543"/>
        <v>236.88571000000002</v>
      </c>
      <c r="Y170" s="519">
        <f t="shared" si="543"/>
        <v>296.73140999999998</v>
      </c>
      <c r="Z170" s="519">
        <f t="shared" si="543"/>
        <v>248.16</v>
      </c>
      <c r="AA170" s="519">
        <f>AA34+AA169</f>
        <v>248.91</v>
      </c>
      <c r="AB170" s="519">
        <f>AB34+AB169</f>
        <v>233.20999999999998</v>
      </c>
      <c r="AC170" s="519">
        <f t="shared" ref="AC170:AR170" ca="1" si="544">AC34*AC168</f>
        <v>248.94484446043202</v>
      </c>
      <c r="AD170" s="519">
        <f t="shared" ca="1" si="544"/>
        <v>252.83789074130459</v>
      </c>
      <c r="AE170" s="519">
        <f t="shared" ca="1" si="544"/>
        <v>262.23877425038842</v>
      </c>
      <c r="AF170" s="519">
        <f t="shared" ca="1" si="544"/>
        <v>264.1905623797083</v>
      </c>
      <c r="AG170" s="519">
        <f t="shared" ca="1" si="544"/>
        <v>278.71012112663624</v>
      </c>
      <c r="AH170" s="519">
        <f t="shared" ca="1" si="544"/>
        <v>282.55152921868256</v>
      </c>
      <c r="AI170" s="519">
        <f t="shared" ca="1" si="544"/>
        <v>295.22878654724894</v>
      </c>
      <c r="AJ170" s="519">
        <f t="shared" ca="1" si="544"/>
        <v>302.24866261477558</v>
      </c>
      <c r="AK170" s="519">
        <f t="shared" ca="1" si="544"/>
        <v>315.77470102397143</v>
      </c>
      <c r="AL170" s="519">
        <f t="shared" ca="1" si="544"/>
        <v>319.25109906472818</v>
      </c>
      <c r="AM170" s="519">
        <f t="shared" ca="1" si="544"/>
        <v>334.26462770685373</v>
      </c>
      <c r="AN170" s="519">
        <f t="shared" ca="1" si="544"/>
        <v>343.08798158172232</v>
      </c>
      <c r="AO170" s="519">
        <f t="shared" ca="1" si="544"/>
        <v>355.62985091576803</v>
      </c>
      <c r="AP170" s="519">
        <f t="shared" ca="1" si="544"/>
        <v>359.20692085958962</v>
      </c>
      <c r="AQ170" s="519">
        <f t="shared" ca="1" si="544"/>
        <v>376.30553419924081</v>
      </c>
      <c r="AR170" s="519">
        <f t="shared" ca="1" si="544"/>
        <v>387.21985920250751</v>
      </c>
      <c r="AS170" s="519">
        <f t="shared" ref="AS170:AV170" ca="1" si="545">AS34*AS168</f>
        <v>396.94309483258979</v>
      </c>
      <c r="AT170" s="519">
        <f t="shared" ca="1" si="545"/>
        <v>399.71613071654559</v>
      </c>
      <c r="AU170" s="519">
        <f t="shared" ca="1" si="545"/>
        <v>418.21824630864603</v>
      </c>
      <c r="AV170" s="519">
        <f t="shared" ca="1" si="545"/>
        <v>431.94923793425784</v>
      </c>
      <c r="AX170" s="281"/>
      <c r="AY170" s="266"/>
      <c r="BF170" s="259"/>
      <c r="BG170" s="259"/>
      <c r="BH170" s="259"/>
      <c r="BI170" s="259"/>
      <c r="BJ170" s="259"/>
      <c r="BK170" s="259"/>
      <c r="BL170" s="259"/>
      <c r="BM170" s="259"/>
    </row>
    <row r="171" spans="1:65">
      <c r="A171" s="583"/>
      <c r="B171" s="450" t="s">
        <v>398</v>
      </c>
      <c r="C171" s="450"/>
      <c r="D171" s="450"/>
      <c r="E171" s="450"/>
      <c r="F171" s="450"/>
      <c r="G171" s="450"/>
      <c r="H171" s="450"/>
      <c r="I171" s="450"/>
      <c r="J171" s="450"/>
      <c r="K171" s="450"/>
      <c r="M171" s="519"/>
      <c r="N171" s="519"/>
      <c r="O171" s="519"/>
      <c r="P171" s="519"/>
      <c r="Q171" s="519"/>
      <c r="R171" s="519"/>
      <c r="S171" s="519"/>
      <c r="T171" s="519"/>
      <c r="U171" s="519"/>
      <c r="V171" s="519"/>
      <c r="W171" s="519"/>
      <c r="X171" s="519"/>
      <c r="Y171" s="519"/>
      <c r="Z171" s="519"/>
      <c r="AA171" s="519"/>
      <c r="AB171" s="519"/>
      <c r="AC171" s="519"/>
      <c r="AD171" s="519"/>
      <c r="AE171" s="519"/>
      <c r="AF171" s="519"/>
      <c r="AG171" s="519"/>
      <c r="AH171" s="519"/>
      <c r="AI171" s="519"/>
      <c r="AJ171" s="519"/>
      <c r="AK171" s="519"/>
      <c r="AL171" s="519"/>
      <c r="AM171" s="519"/>
      <c r="AN171" s="519"/>
      <c r="AO171" s="519"/>
      <c r="AP171" s="519"/>
      <c r="AQ171" s="519"/>
      <c r="AR171" s="519"/>
      <c r="AS171" s="519"/>
      <c r="AT171" s="519"/>
      <c r="AU171" s="519"/>
      <c r="AV171" s="519"/>
      <c r="AX171" s="281"/>
      <c r="AY171" s="266"/>
      <c r="BF171" s="259"/>
      <c r="BG171" s="259"/>
      <c r="BH171" s="259"/>
      <c r="BI171" s="259"/>
      <c r="BJ171" s="259"/>
      <c r="BK171" s="259"/>
      <c r="BL171" s="259"/>
      <c r="BM171" s="259"/>
    </row>
    <row r="172" spans="1:65">
      <c r="B172" s="563" t="s">
        <v>395</v>
      </c>
      <c r="C172" s="474">
        <f>C174/C109</f>
        <v>0.48843359285550719</v>
      </c>
      <c r="D172" s="474">
        <f t="shared" ref="D172:K172" si="546">D174/D109</f>
        <v>0.42934846125324433</v>
      </c>
      <c r="E172" s="474">
        <f t="shared" si="546"/>
        <v>0.36696026113405372</v>
      </c>
      <c r="F172" s="474">
        <f t="shared" si="546"/>
        <v>0.35835858055407288</v>
      </c>
      <c r="G172" s="474">
        <f t="shared" ca="1" si="546"/>
        <v>0.36861186625496789</v>
      </c>
      <c r="H172" s="474">
        <f t="shared" ca="1" si="546"/>
        <v>0.37259887471140068</v>
      </c>
      <c r="I172" s="474">
        <f t="shared" ca="1" si="546"/>
        <v>0.37659616610352703</v>
      </c>
      <c r="J172" s="474">
        <f t="shared" ca="1" si="546"/>
        <v>0.38059518805484588</v>
      </c>
      <c r="K172" s="474">
        <f t="shared" ca="1" si="546"/>
        <v>0.38459735789104182</v>
      </c>
      <c r="L172" s="587"/>
      <c r="M172" s="474">
        <v>0.39</v>
      </c>
      <c r="N172" s="474">
        <v>0.51900000000000002</v>
      </c>
      <c r="O172" s="474">
        <v>0.48899999999999999</v>
      </c>
      <c r="P172" s="474">
        <v>0.51300000000000001</v>
      </c>
      <c r="Q172" s="474">
        <v>0.437</v>
      </c>
      <c r="R172" s="474">
        <v>0.45300000000000001</v>
      </c>
      <c r="S172" s="474">
        <v>0.36299999999999999</v>
      </c>
      <c r="T172" s="474">
        <v>0.46600000000000003</v>
      </c>
      <c r="U172" s="474">
        <v>0.34799999999999998</v>
      </c>
      <c r="V172" s="474">
        <v>0.378</v>
      </c>
      <c r="W172" s="474">
        <v>0.36299999999999999</v>
      </c>
      <c r="X172" s="474">
        <v>0.372</v>
      </c>
      <c r="Y172" s="474">
        <v>0.312</v>
      </c>
      <c r="Z172" s="474">
        <v>0.374</v>
      </c>
      <c r="AA172" s="474">
        <f>AA174/AA109</f>
        <v>0.36732935311134357</v>
      </c>
      <c r="AB172" s="474">
        <f>AB174/AB109</f>
        <v>0.36593671109023662</v>
      </c>
      <c r="AC172" s="475">
        <f>AB172+0.001</f>
        <v>0.36693671109023662</v>
      </c>
      <c r="AD172" s="475">
        <f t="shared" ref="AD172:AR172" si="547">AC172+0.001</f>
        <v>0.36793671109023662</v>
      </c>
      <c r="AE172" s="475">
        <f t="shared" si="547"/>
        <v>0.36893671109023662</v>
      </c>
      <c r="AF172" s="475">
        <f t="shared" si="547"/>
        <v>0.36993671109023663</v>
      </c>
      <c r="AG172" s="475">
        <f t="shared" si="547"/>
        <v>0.37093671109023663</v>
      </c>
      <c r="AH172" s="475">
        <f t="shared" si="547"/>
        <v>0.37193671109023663</v>
      </c>
      <c r="AI172" s="475">
        <f t="shared" si="547"/>
        <v>0.37293671109023663</v>
      </c>
      <c r="AJ172" s="475">
        <f t="shared" si="547"/>
        <v>0.37393671109023663</v>
      </c>
      <c r="AK172" s="475">
        <f t="shared" si="547"/>
        <v>0.37493671109023663</v>
      </c>
      <c r="AL172" s="475">
        <f t="shared" si="547"/>
        <v>0.37593671109023663</v>
      </c>
      <c r="AM172" s="475">
        <f t="shared" si="547"/>
        <v>0.37693671109023663</v>
      </c>
      <c r="AN172" s="475">
        <f t="shared" si="547"/>
        <v>0.37793671109023663</v>
      </c>
      <c r="AO172" s="475">
        <f t="shared" si="547"/>
        <v>0.37893671109023663</v>
      </c>
      <c r="AP172" s="475">
        <f t="shared" si="547"/>
        <v>0.37993671109023663</v>
      </c>
      <c r="AQ172" s="475">
        <f t="shared" si="547"/>
        <v>0.38093671109023663</v>
      </c>
      <c r="AR172" s="475">
        <f t="shared" si="547"/>
        <v>0.38193671109023664</v>
      </c>
      <c r="AS172" s="475">
        <f t="shared" ref="AS172" si="548">AR172+0.001</f>
        <v>0.38293671109023664</v>
      </c>
      <c r="AT172" s="475">
        <f t="shared" ref="AT172" si="549">AS172+0.001</f>
        <v>0.38393671109023664</v>
      </c>
      <c r="AU172" s="475">
        <f t="shared" ref="AU172" si="550">AT172+0.001</f>
        <v>0.38493671109023664</v>
      </c>
      <c r="AV172" s="475">
        <f t="shared" ref="AV172" si="551">AU172+0.001</f>
        <v>0.38593671109023664</v>
      </c>
      <c r="AX172" s="281"/>
      <c r="AY172" s="266"/>
    </row>
    <row r="173" spans="1:65">
      <c r="B173" s="563" t="s">
        <v>396</v>
      </c>
      <c r="C173" s="607">
        <f>SUM(M173:P173)</f>
        <v>-89.360419999999991</v>
      </c>
      <c r="D173" s="607">
        <f>SUM(Q173:T173)</f>
        <v>-153.90472</v>
      </c>
      <c r="E173" s="607">
        <f>SUM(U173:X173)</f>
        <v>-255.99494000000001</v>
      </c>
      <c r="F173" s="607">
        <f>SUM(Y173:AB173)</f>
        <v>-372.65892000000002</v>
      </c>
      <c r="G173" s="607">
        <f ca="1">SUM(AC173:AF173)</f>
        <v>-479.3373913885988</v>
      </c>
      <c r="H173" s="607">
        <f ca="1">SUM(AG173:AJ173)</f>
        <v>-582.04397350161503</v>
      </c>
      <c r="I173" s="607">
        <f ca="1">SUM(AK173:AN173)</f>
        <v>-695.14425892845202</v>
      </c>
      <c r="J173" s="607">
        <f ca="1">SUM(AO173:AR173)</f>
        <v>-817.69682273702324</v>
      </c>
      <c r="K173" s="607">
        <f ca="1">SUM(AS173:AV173)</f>
        <v>-948.23522381788712</v>
      </c>
      <c r="L173" s="587"/>
      <c r="M173" s="519">
        <f t="shared" ref="M173:Z173" si="552">(M172-1)*M109</f>
        <v>-16.616399999999999</v>
      </c>
      <c r="N173" s="519">
        <f t="shared" si="552"/>
        <v>-19.591129999999996</v>
      </c>
      <c r="O173" s="519">
        <f t="shared" si="552"/>
        <v>-25.233180000000001</v>
      </c>
      <c r="P173" s="519">
        <f t="shared" si="552"/>
        <v>-27.919709999999998</v>
      </c>
      <c r="Q173" s="519">
        <f t="shared" si="552"/>
        <v>-26.466629999999995</v>
      </c>
      <c r="R173" s="519">
        <f t="shared" si="552"/>
        <v>-35.730039999999988</v>
      </c>
      <c r="S173" s="519">
        <f t="shared" si="552"/>
        <v>-47.450129999999994</v>
      </c>
      <c r="T173" s="519">
        <f t="shared" si="552"/>
        <v>-44.257919999999999</v>
      </c>
      <c r="U173" s="519">
        <f t="shared" si="552"/>
        <v>-44.909759999999999</v>
      </c>
      <c r="V173" s="519">
        <f t="shared" si="552"/>
        <v>-63.120560000000005</v>
      </c>
      <c r="W173" s="519">
        <f t="shared" si="552"/>
        <v>-70.337540000000004</v>
      </c>
      <c r="X173" s="519">
        <f t="shared" si="552"/>
        <v>-77.627080000000007</v>
      </c>
      <c r="Y173" s="519">
        <f t="shared" si="552"/>
        <v>-73.540320000000008</v>
      </c>
      <c r="Z173" s="519">
        <f t="shared" si="552"/>
        <v>-88.328599999999994</v>
      </c>
      <c r="AA173" s="520">
        <v>-102.79</v>
      </c>
      <c r="AB173" s="519">
        <v>-108</v>
      </c>
      <c r="AC173" s="519">
        <f t="shared" ref="AC173:AR173" si="553">(AC172-1)*AC109</f>
        <v>-91.390704620176223</v>
      </c>
      <c r="AD173" s="519">
        <f t="shared" si="553"/>
        <v>-115.45077252798465</v>
      </c>
      <c r="AE173" s="519">
        <f t="shared" ca="1" si="553"/>
        <v>-130.87877073960362</v>
      </c>
      <c r="AF173" s="519">
        <f t="shared" ca="1" si="553"/>
        <v>-141.61714350083429</v>
      </c>
      <c r="AG173" s="519">
        <f t="shared" si="553"/>
        <v>-112.78088960205147</v>
      </c>
      <c r="AH173" s="519">
        <f t="shared" si="553"/>
        <v>-140.89536531560935</v>
      </c>
      <c r="AI173" s="519">
        <f t="shared" ca="1" si="553"/>
        <v>-159.65127641953956</v>
      </c>
      <c r="AJ173" s="519">
        <f t="shared" ca="1" si="553"/>
        <v>-168.71644216441462</v>
      </c>
      <c r="AK173" s="519">
        <f t="shared" si="553"/>
        <v>-135.83295810499038</v>
      </c>
      <c r="AL173" s="519">
        <f t="shared" si="553"/>
        <v>-167.70356302779447</v>
      </c>
      <c r="AM173" s="519">
        <f t="shared" ca="1" si="553"/>
        <v>-190.29842117897982</v>
      </c>
      <c r="AN173" s="519">
        <f t="shared" ca="1" si="553"/>
        <v>-201.30931661668737</v>
      </c>
      <c r="AO173" s="519">
        <f t="shared" si="553"/>
        <v>-160.48451428175773</v>
      </c>
      <c r="AP173" s="519">
        <f t="shared" si="553"/>
        <v>-196.77629663249078</v>
      </c>
      <c r="AQ173" s="519">
        <f t="shared" ca="1" si="553"/>
        <v>-223.5332684752284</v>
      </c>
      <c r="AR173" s="519">
        <f t="shared" ca="1" si="553"/>
        <v>-236.90274334754628</v>
      </c>
      <c r="AS173" s="519">
        <f t="shared" ref="AS173:AV173" si="554">(AS172-1)*AS109</f>
        <v>-185.9326211990101</v>
      </c>
      <c r="AT173" s="519">
        <f t="shared" si="554"/>
        <v>-227.63755873088112</v>
      </c>
      <c r="AU173" s="519">
        <f t="shared" ca="1" si="554"/>
        <v>-258.79548624685879</v>
      </c>
      <c r="AV173" s="519">
        <f t="shared" ca="1" si="554"/>
        <v>-275.86955764113719</v>
      </c>
      <c r="AX173" s="281"/>
      <c r="AY173" s="266"/>
    </row>
    <row r="174" spans="1:65">
      <c r="B174" s="563" t="s">
        <v>397</v>
      </c>
      <c r="C174" s="607">
        <f>SUM(M174:P174)</f>
        <v>85.319580000000002</v>
      </c>
      <c r="D174" s="607">
        <f>SUM(Q174:T174)</f>
        <v>115.79527999999999</v>
      </c>
      <c r="E174" s="607">
        <f>SUM(U174:X174)</f>
        <v>148.39506</v>
      </c>
      <c r="F174" s="607">
        <f>SUM(Y174:AB174)</f>
        <v>208.13108000000003</v>
      </c>
      <c r="G174" s="607">
        <f ca="1">SUM(AC174:AF174)</f>
        <v>279.84284303463068</v>
      </c>
      <c r="H174" s="607">
        <f ca="1">SUM(AG174:AJ174)</f>
        <v>345.66232162796348</v>
      </c>
      <c r="I174" s="607">
        <f ca="1">SUM(AK174:AN174)</f>
        <v>419.93431635649375</v>
      </c>
      <c r="J174" s="607">
        <f ca="1">SUM(AO174:AR174)</f>
        <v>502.43632277271342</v>
      </c>
      <c r="K174" s="607">
        <f ca="1">SUM(AS174:AV174)</f>
        <v>592.60187848691635</v>
      </c>
      <c r="L174" s="587"/>
      <c r="M174" s="519">
        <f t="shared" ref="M174:Z174" si="555">M109*M172</f>
        <v>10.6236</v>
      </c>
      <c r="N174" s="519">
        <f t="shared" si="555"/>
        <v>21.138870000000001</v>
      </c>
      <c r="O174" s="519">
        <f t="shared" si="555"/>
        <v>24.146820000000002</v>
      </c>
      <c r="P174" s="519">
        <f t="shared" si="555"/>
        <v>29.41029</v>
      </c>
      <c r="Q174" s="519">
        <f t="shared" si="555"/>
        <v>20.543369999999999</v>
      </c>
      <c r="R174" s="519">
        <f t="shared" si="555"/>
        <v>29.589959999999998</v>
      </c>
      <c r="S174" s="519">
        <f t="shared" si="555"/>
        <v>27.039869999999997</v>
      </c>
      <c r="T174" s="519">
        <f t="shared" si="555"/>
        <v>38.622079999999997</v>
      </c>
      <c r="U174" s="519">
        <f t="shared" si="555"/>
        <v>23.970239999999997</v>
      </c>
      <c r="V174" s="519">
        <f t="shared" si="555"/>
        <v>38.359439999999999</v>
      </c>
      <c r="W174" s="519">
        <f t="shared" si="555"/>
        <v>40.082459999999998</v>
      </c>
      <c r="X174" s="519">
        <f t="shared" si="555"/>
        <v>45.982920000000007</v>
      </c>
      <c r="Y174" s="519">
        <f t="shared" si="555"/>
        <v>33.349680000000006</v>
      </c>
      <c r="Z174" s="519">
        <f t="shared" si="555"/>
        <v>52.7714</v>
      </c>
      <c r="AA174" s="519">
        <f>AA173+AA109</f>
        <v>59.679999999999993</v>
      </c>
      <c r="AB174" s="519">
        <f>AB173+AB109</f>
        <v>62.330000000000013</v>
      </c>
      <c r="AC174" s="519">
        <f t="shared" ref="AC174:AR174" si="556">AC109*AC172</f>
        <v>52.971962148205954</v>
      </c>
      <c r="AD174" s="519">
        <f t="shared" si="556"/>
        <v>67.206209064988386</v>
      </c>
      <c r="AE174" s="519">
        <f t="shared" ca="1" si="556"/>
        <v>76.515278382968873</v>
      </c>
      <c r="AF174" s="519">
        <f t="shared" ca="1" si="556"/>
        <v>83.149393438467484</v>
      </c>
      <c r="AG174" s="519">
        <f t="shared" si="556"/>
        <v>66.502962421030816</v>
      </c>
      <c r="AH174" s="519">
        <f t="shared" si="556"/>
        <v>83.437703984119153</v>
      </c>
      <c r="AI174" s="519">
        <f t="shared" ca="1" si="556"/>
        <v>94.950259411262266</v>
      </c>
      <c r="AJ174" s="519">
        <f t="shared" ca="1" si="556"/>
        <v>100.77139581155124</v>
      </c>
      <c r="AK174" s="519">
        <f t="shared" si="556"/>
        <v>81.477769488547381</v>
      </c>
      <c r="AL174" s="519">
        <f t="shared" si="556"/>
        <v>101.02489129415751</v>
      </c>
      <c r="AM174" s="519">
        <f t="shared" ca="1" si="556"/>
        <v>115.12548128197908</v>
      </c>
      <c r="AN174" s="519">
        <f t="shared" ca="1" si="556"/>
        <v>122.3061742918098</v>
      </c>
      <c r="AO174" s="519">
        <f t="shared" si="556"/>
        <v>97.918320256213377</v>
      </c>
      <c r="AP174" s="519">
        <f t="shared" si="556"/>
        <v>120.57243236334446</v>
      </c>
      <c r="AQ174" s="519">
        <f t="shared" ca="1" si="556"/>
        <v>137.54979440335768</v>
      </c>
      <c r="AR174" s="519">
        <f t="shared" ca="1" si="556"/>
        <v>146.39577574979791</v>
      </c>
      <c r="AS174" s="519">
        <f t="shared" ref="AS174:AV174" si="557">AS109*AS172</f>
        <v>115.38593808121971</v>
      </c>
      <c r="AT174" s="519">
        <f t="shared" si="557"/>
        <v>141.86596928119602</v>
      </c>
      <c r="AU174" s="519">
        <f t="shared" ca="1" si="557"/>
        <v>161.96688229831864</v>
      </c>
      <c r="AV174" s="519">
        <f t="shared" ca="1" si="557"/>
        <v>173.38308882618199</v>
      </c>
      <c r="AX174" s="281"/>
      <c r="AY174" s="266"/>
      <c r="BF174" s="259"/>
      <c r="BG174" s="259"/>
      <c r="BH174" s="259"/>
      <c r="BI174" s="259"/>
      <c r="BJ174" s="259"/>
      <c r="BK174" s="259"/>
      <c r="BL174" s="259"/>
      <c r="BM174" s="259"/>
    </row>
    <row r="175" spans="1:65">
      <c r="B175" s="450" t="s">
        <v>381</v>
      </c>
      <c r="C175" s="450"/>
      <c r="D175" s="450"/>
      <c r="E175" s="450"/>
      <c r="F175" s="450"/>
      <c r="G175" s="450"/>
      <c r="H175" s="450"/>
      <c r="I175" s="450"/>
      <c r="J175" s="450"/>
      <c r="K175" s="450"/>
      <c r="M175" s="519"/>
      <c r="N175" s="519"/>
      <c r="O175" s="519"/>
      <c r="P175" s="519"/>
      <c r="Q175" s="519"/>
      <c r="R175" s="519"/>
      <c r="S175" s="519"/>
      <c r="T175" s="519"/>
      <c r="U175" s="519"/>
      <c r="V175" s="519"/>
      <c r="W175" s="519"/>
      <c r="X175" s="519"/>
      <c r="Y175" s="519"/>
      <c r="Z175" s="519"/>
      <c r="AA175" s="519"/>
      <c r="AB175" s="519"/>
      <c r="AC175" s="519"/>
      <c r="AD175" s="519"/>
      <c r="AE175" s="519"/>
      <c r="AF175" s="519"/>
      <c r="AG175" s="519"/>
      <c r="AH175" s="519"/>
      <c r="AI175" s="519"/>
      <c r="AJ175" s="519"/>
      <c r="AK175" s="519"/>
      <c r="AL175" s="519"/>
      <c r="AM175" s="519"/>
      <c r="AN175" s="519"/>
      <c r="AO175" s="519"/>
      <c r="AP175" s="519"/>
      <c r="AQ175" s="519"/>
      <c r="AR175" s="519"/>
      <c r="AS175" s="519"/>
      <c r="AT175" s="519"/>
      <c r="AU175" s="519"/>
      <c r="AV175" s="519"/>
      <c r="AX175" s="281"/>
      <c r="AY175" s="266"/>
      <c r="BF175" s="259"/>
      <c r="BG175" s="259"/>
      <c r="BH175" s="259"/>
      <c r="BI175" s="259"/>
      <c r="BJ175" s="259"/>
      <c r="BK175" s="259"/>
      <c r="BL175" s="259"/>
      <c r="BM175" s="259"/>
    </row>
    <row r="176" spans="1:65">
      <c r="B176" s="563" t="s">
        <v>395</v>
      </c>
      <c r="C176" s="474">
        <f>C178/C137</f>
        <v>9.5733812949639549E-2</v>
      </c>
      <c r="D176" s="474">
        <f t="shared" ref="D176:K176" si="558">D178/D137</f>
        <v>0.15927835412052688</v>
      </c>
      <c r="E176" s="474">
        <f t="shared" si="558"/>
        <v>0.21859209008260649</v>
      </c>
      <c r="F176" s="474">
        <f t="shared" si="558"/>
        <v>0.23893921943336455</v>
      </c>
      <c r="G176" s="474">
        <f t="shared" si="558"/>
        <v>0.21170157825561742</v>
      </c>
      <c r="H176" s="474">
        <f t="shared" si="558"/>
        <v>0.21499999999999997</v>
      </c>
      <c r="I176" s="474">
        <f t="shared" si="558"/>
        <v>0.22017857796728577</v>
      </c>
      <c r="J176" s="474">
        <f t="shared" si="558"/>
        <v>0.22817280229416334</v>
      </c>
      <c r="K176" s="474">
        <f t="shared" si="558"/>
        <v>0.23617336311459225</v>
      </c>
      <c r="L176" s="587"/>
      <c r="M176" s="474">
        <f>1-(-M177/M137)</f>
        <v>0.19910581506196212</v>
      </c>
      <c r="N176" s="474">
        <f>1-(-N177/N137)</f>
        <v>0.13445797413792882</v>
      </c>
      <c r="O176" s="474">
        <f>1-(-O177/O137)</f>
        <v>-2.3314697926058781E-2</v>
      </c>
      <c r="P176" s="474">
        <f>1-(-P177/P137)</f>
        <v>8.8204268292682575E-2</v>
      </c>
      <c r="Q176" s="474">
        <v>7.0000000000000007E-2</v>
      </c>
      <c r="R176" s="474">
        <v>0.106</v>
      </c>
      <c r="S176" s="474">
        <v>0.18099999999999999</v>
      </c>
      <c r="T176" s="474">
        <v>0.20399999999999999</v>
      </c>
      <c r="U176" s="474">
        <v>0.219</v>
      </c>
      <c r="V176" s="474">
        <v>0.224</v>
      </c>
      <c r="W176" s="474">
        <v>0.20300000000000001</v>
      </c>
      <c r="X176" s="474">
        <v>0.22800000000000001</v>
      </c>
      <c r="Y176" s="474">
        <v>0.254</v>
      </c>
      <c r="Z176" s="474">
        <v>0.249</v>
      </c>
      <c r="AA176" s="474">
        <f>AA178/AA137</f>
        <v>0.22764668210256667</v>
      </c>
      <c r="AB176" s="474">
        <f>AB178/AB137</f>
        <v>0.23120766562035361</v>
      </c>
      <c r="AC176" s="475">
        <v>0.21</v>
      </c>
      <c r="AD176" s="475">
        <f>AC176</f>
        <v>0.21</v>
      </c>
      <c r="AE176" s="475">
        <f>AD176+0.002</f>
        <v>0.21199999999999999</v>
      </c>
      <c r="AF176" s="475">
        <f t="shared" ref="AF176:AR176" si="559">AE176+0.002</f>
        <v>0.214</v>
      </c>
      <c r="AG176" s="475">
        <v>0.215</v>
      </c>
      <c r="AH176" s="475">
        <v>0.215</v>
      </c>
      <c r="AI176" s="475">
        <v>0.215</v>
      </c>
      <c r="AJ176" s="475">
        <v>0.215</v>
      </c>
      <c r="AK176" s="475">
        <f t="shared" si="559"/>
        <v>0.217</v>
      </c>
      <c r="AL176" s="475">
        <f t="shared" si="559"/>
        <v>0.219</v>
      </c>
      <c r="AM176" s="475">
        <f t="shared" si="559"/>
        <v>0.221</v>
      </c>
      <c r="AN176" s="475">
        <f t="shared" si="559"/>
        <v>0.223</v>
      </c>
      <c r="AO176" s="475">
        <f t="shared" si="559"/>
        <v>0.22500000000000001</v>
      </c>
      <c r="AP176" s="475">
        <f t="shared" si="559"/>
        <v>0.22700000000000001</v>
      </c>
      <c r="AQ176" s="475">
        <f t="shared" si="559"/>
        <v>0.22900000000000001</v>
      </c>
      <c r="AR176" s="475">
        <f t="shared" si="559"/>
        <v>0.23100000000000001</v>
      </c>
      <c r="AS176" s="475">
        <f t="shared" ref="AS176" si="560">AR176+0.002</f>
        <v>0.23300000000000001</v>
      </c>
      <c r="AT176" s="475">
        <f t="shared" ref="AT176" si="561">AS176+0.002</f>
        <v>0.23500000000000001</v>
      </c>
      <c r="AU176" s="475">
        <f t="shared" ref="AU176" si="562">AT176+0.002</f>
        <v>0.23700000000000002</v>
      </c>
      <c r="AV176" s="475">
        <f t="shared" ref="AV176" si="563">AU176+0.002</f>
        <v>0.23900000000000002</v>
      </c>
      <c r="AX176" s="281"/>
      <c r="AY176" s="266"/>
    </row>
    <row r="177" spans="1:65">
      <c r="B177" s="563" t="s">
        <v>396</v>
      </c>
      <c r="C177" s="607">
        <f>SUM(M177:P177)</f>
        <v>-42.735620000000033</v>
      </c>
      <c r="D177" s="607">
        <f>SUM(Q177:T177)</f>
        <v>-144.25101999999998</v>
      </c>
      <c r="E177" s="607">
        <f>SUM(U177:X177)</f>
        <v>-338.64655999999997</v>
      </c>
      <c r="F177" s="607">
        <f>SUM(Y177:AB177)</f>
        <v>-593.39148</v>
      </c>
      <c r="G177" s="607">
        <f>SUM(AC177:AF177)</f>
        <v>-916.20507964685703</v>
      </c>
      <c r="H177" s="607">
        <f>SUM(AG177:AJ177)</f>
        <v>-1256.1275657742831</v>
      </c>
      <c r="I177" s="607">
        <f>SUM(AK177:AN177)</f>
        <v>-1579.8693522977007</v>
      </c>
      <c r="J177" s="607">
        <f>SUM(AO177:AR177)</f>
        <v>-1945.5007244927065</v>
      </c>
      <c r="K177" s="607">
        <f>SUM(AS177:AV177)</f>
        <v>-2386.493400869324</v>
      </c>
      <c r="L177" s="587"/>
      <c r="M177" s="519">
        <f>M162-M173-M169</f>
        <v>-8.4013800000000174</v>
      </c>
      <c r="N177" s="519">
        <f>N162-N173-N169</f>
        <v>-8.0322300000000197</v>
      </c>
      <c r="O177" s="519">
        <f>O162-O173-O169</f>
        <v>-11.348559999999992</v>
      </c>
      <c r="P177" s="519">
        <f>P162-P173-P169</f>
        <v>-14.953450000000004</v>
      </c>
      <c r="Q177" s="519">
        <f t="shared" ref="Q177:Z177" si="564">(Q176-1)*Q137</f>
        <v>-21.669</v>
      </c>
      <c r="R177" s="519">
        <f t="shared" si="564"/>
        <v>-31.102260000000001</v>
      </c>
      <c r="S177" s="519">
        <f t="shared" si="564"/>
        <v>-40.655159999999995</v>
      </c>
      <c r="T177" s="519">
        <f t="shared" si="564"/>
        <v>-50.824600000000004</v>
      </c>
      <c r="U177" s="519">
        <f t="shared" si="564"/>
        <v>-59.012360000000001</v>
      </c>
      <c r="V177" s="519">
        <f t="shared" si="564"/>
        <v>-74.915040000000005</v>
      </c>
      <c r="W177" s="519">
        <f t="shared" si="564"/>
        <v>-95.990679999999983</v>
      </c>
      <c r="X177" s="519">
        <f t="shared" si="564"/>
        <v>-108.72848</v>
      </c>
      <c r="Y177" s="519">
        <f t="shared" si="564"/>
        <v>-119.07652</v>
      </c>
      <c r="Z177" s="519">
        <f t="shared" si="564"/>
        <v>-131.39496</v>
      </c>
      <c r="AA177" s="519">
        <v>-156.78</v>
      </c>
      <c r="AB177" s="519">
        <v>-186.14</v>
      </c>
      <c r="AC177" s="519">
        <f t="shared" ref="AC177:AR177" si="565">(AC176-1)*AC137</f>
        <v>-196.24170747026693</v>
      </c>
      <c r="AD177" s="519">
        <f t="shared" si="565"/>
        <v>-210.83675969595456</v>
      </c>
      <c r="AE177" s="519">
        <f t="shared" si="565"/>
        <v>-240.41846579954586</v>
      </c>
      <c r="AF177" s="519">
        <f t="shared" si="565"/>
        <v>-268.70814668108966</v>
      </c>
      <c r="AG177" s="519">
        <f t="shared" si="565"/>
        <v>-282.57277089646965</v>
      </c>
      <c r="AH177" s="519">
        <f t="shared" si="565"/>
        <v>-297.31167995345771</v>
      </c>
      <c r="AI177" s="519">
        <f t="shared" si="565"/>
        <v>-324.89848295211436</v>
      </c>
      <c r="AJ177" s="519">
        <f t="shared" si="565"/>
        <v>-351.34463197224136</v>
      </c>
      <c r="AK177" s="519">
        <f t="shared" si="565"/>
        <v>-358.57217429145248</v>
      </c>
      <c r="AL177" s="519">
        <f t="shared" si="565"/>
        <v>-375.16546782362286</v>
      </c>
      <c r="AM177" s="519">
        <f t="shared" si="565"/>
        <v>-407.7608280752965</v>
      </c>
      <c r="AN177" s="519">
        <f t="shared" si="565"/>
        <v>-438.37088210732895</v>
      </c>
      <c r="AO177" s="519">
        <f t="shared" si="565"/>
        <v>-443.26299579383061</v>
      </c>
      <c r="AP177" s="519">
        <f t="shared" si="565"/>
        <v>-462.58540103177489</v>
      </c>
      <c r="AQ177" s="519">
        <f t="shared" si="565"/>
        <v>-501.50749240185138</v>
      </c>
      <c r="AR177" s="519">
        <f t="shared" si="565"/>
        <v>-538.14483526524975</v>
      </c>
      <c r="AS177" s="519">
        <f t="shared" ref="AS177:AV177" si="566">(AS176-1)*AS137</f>
        <v>-543.61519191818434</v>
      </c>
      <c r="AT177" s="519">
        <f t="shared" si="566"/>
        <v>-567.38410611034521</v>
      </c>
      <c r="AU177" s="519">
        <f t="shared" si="566"/>
        <v>-615.08289469548197</v>
      </c>
      <c r="AV177" s="519">
        <f t="shared" si="566"/>
        <v>-660.41120814531234</v>
      </c>
      <c r="AX177" s="281"/>
    </row>
    <row r="178" spans="1:65">
      <c r="B178" s="571" t="s">
        <v>399</v>
      </c>
      <c r="C178" s="616">
        <f>SUM(M178:P178)</f>
        <v>4.5243799999999652</v>
      </c>
      <c r="D178" s="616">
        <f>SUM(Q178:T178)</f>
        <v>27.328980000000001</v>
      </c>
      <c r="E178" s="616">
        <f>SUM(U178:X178)</f>
        <v>94.733440000000002</v>
      </c>
      <c r="F178" s="616">
        <f>SUM(Y178:AB178)</f>
        <v>186.29852000000002</v>
      </c>
      <c r="G178" s="616">
        <f>SUM(AC178:AF178)</f>
        <v>246.05156628100963</v>
      </c>
      <c r="H178" s="616">
        <f>SUM(AG178:AJ178)</f>
        <v>344.0349383967781</v>
      </c>
      <c r="I178" s="616">
        <f>SUM(AK178:AN178)</f>
        <v>446.06800677041656</v>
      </c>
      <c r="J178" s="616">
        <f>SUM(AO178:AR178)</f>
        <v>575.14214774018831</v>
      </c>
      <c r="K178" s="616">
        <f>SUM(AS178:AV178)</f>
        <v>737.89803250687953</v>
      </c>
      <c r="L178" s="587"/>
      <c r="M178" s="521">
        <f t="shared" ref="M178:Z178" si="567">M137*M176</f>
        <v>2.0886199999999828</v>
      </c>
      <c r="N178" s="521">
        <f t="shared" si="567"/>
        <v>1.2477699999999794</v>
      </c>
      <c r="O178" s="521">
        <f t="shared" si="567"/>
        <v>-0.25855999999999185</v>
      </c>
      <c r="P178" s="521">
        <f t="shared" si="567"/>
        <v>1.446549999999994</v>
      </c>
      <c r="Q178" s="521">
        <f t="shared" si="567"/>
        <v>1.6310000000000002</v>
      </c>
      <c r="R178" s="521">
        <f t="shared" si="567"/>
        <v>3.6877399999999998</v>
      </c>
      <c r="S178" s="521">
        <f t="shared" si="567"/>
        <v>8.9848400000000002</v>
      </c>
      <c r="T178" s="521">
        <f t="shared" si="567"/>
        <v>13.025399999999999</v>
      </c>
      <c r="U178" s="521">
        <f t="shared" si="567"/>
        <v>16.547640000000001</v>
      </c>
      <c r="V178" s="521">
        <f t="shared" si="567"/>
        <v>21.624960000000002</v>
      </c>
      <c r="W178" s="521">
        <f t="shared" si="567"/>
        <v>24.44932</v>
      </c>
      <c r="X178" s="521">
        <f t="shared" si="567"/>
        <v>32.111519999999999</v>
      </c>
      <c r="Y178" s="521">
        <f t="shared" si="567"/>
        <v>40.543480000000002</v>
      </c>
      <c r="Z178" s="521">
        <f t="shared" si="567"/>
        <v>43.565040000000003</v>
      </c>
      <c r="AA178" s="521">
        <f>AA177+AA137</f>
        <v>46.210000000000008</v>
      </c>
      <c r="AB178" s="521">
        <f>AB177+AB137</f>
        <v>55.980000000000018</v>
      </c>
      <c r="AC178" s="521">
        <f t="shared" ref="AC178:AR178" si="568">AC137*AC176</f>
        <v>52.165517175640574</v>
      </c>
      <c r="AD178" s="521">
        <f t="shared" si="568"/>
        <v>56.045214602722098</v>
      </c>
      <c r="AE178" s="521">
        <f t="shared" si="568"/>
        <v>64.681110088202686</v>
      </c>
      <c r="AF178" s="521">
        <f t="shared" si="568"/>
        <v>73.159724414444256</v>
      </c>
      <c r="AG178" s="521">
        <f t="shared" si="568"/>
        <v>77.392542347440724</v>
      </c>
      <c r="AH178" s="521">
        <f t="shared" si="568"/>
        <v>81.429313617825997</v>
      </c>
      <c r="AI178" s="521">
        <f t="shared" si="568"/>
        <v>88.984934821279722</v>
      </c>
      <c r="AJ178" s="521">
        <f t="shared" si="568"/>
        <v>96.228147610231701</v>
      </c>
      <c r="AK178" s="521">
        <f t="shared" si="568"/>
        <v>99.374408456251828</v>
      </c>
      <c r="AL178" s="521">
        <f t="shared" si="568"/>
        <v>105.20004795566378</v>
      </c>
      <c r="AM178" s="521">
        <f t="shared" si="568"/>
        <v>115.68054300980812</v>
      </c>
      <c r="AN178" s="521">
        <f t="shared" si="568"/>
        <v>125.81300734869286</v>
      </c>
      <c r="AO178" s="521">
        <f t="shared" si="568"/>
        <v>128.68925684337017</v>
      </c>
      <c r="AP178" s="521">
        <f t="shared" si="568"/>
        <v>135.84331957854189</v>
      </c>
      <c r="AQ178" s="521">
        <f t="shared" si="568"/>
        <v>148.95618127110762</v>
      </c>
      <c r="AR178" s="521">
        <f t="shared" si="568"/>
        <v>161.65339004716864</v>
      </c>
      <c r="AS178" s="521">
        <f t="shared" ref="AS178:AV178" si="569">AS137*AS176</f>
        <v>165.13994747970921</v>
      </c>
      <c r="AT178" s="521">
        <f t="shared" si="569"/>
        <v>174.29446396853743</v>
      </c>
      <c r="AU178" s="521">
        <f t="shared" si="569"/>
        <v>191.05458196963204</v>
      </c>
      <c r="AV178" s="521">
        <f t="shared" si="569"/>
        <v>207.40903908900086</v>
      </c>
      <c r="AX178" s="281"/>
      <c r="BF178" s="259"/>
      <c r="BG178" s="259"/>
      <c r="BH178" s="259"/>
      <c r="BI178" s="259"/>
      <c r="BJ178" s="259"/>
      <c r="BK178" s="259"/>
      <c r="BL178" s="259"/>
      <c r="BM178" s="259"/>
    </row>
    <row r="180" spans="1:65">
      <c r="B180" s="582" t="s">
        <v>402</v>
      </c>
      <c r="C180" s="582"/>
      <c r="D180" s="582"/>
      <c r="E180" s="582"/>
      <c r="F180" s="582"/>
      <c r="G180" s="582"/>
      <c r="H180" s="582"/>
      <c r="I180" s="582"/>
      <c r="J180" s="582"/>
      <c r="K180" s="582"/>
      <c r="L180" s="605"/>
      <c r="M180" s="514"/>
      <c r="N180" s="514"/>
      <c r="O180" s="514"/>
      <c r="P180" s="515"/>
      <c r="Q180" s="516"/>
      <c r="R180" s="516"/>
      <c r="S180" s="516"/>
      <c r="T180" s="515"/>
      <c r="U180" s="517"/>
      <c r="V180" s="516"/>
      <c r="W180" s="516"/>
      <c r="X180" s="515"/>
      <c r="Y180" s="517"/>
      <c r="Z180" s="516"/>
      <c r="AA180" s="514"/>
      <c r="AB180" s="514"/>
      <c r="AC180" s="514"/>
      <c r="AD180" s="514"/>
      <c r="AE180" s="514"/>
      <c r="AF180" s="514"/>
      <c r="AG180" s="514"/>
      <c r="AH180" s="514"/>
      <c r="AI180" s="514"/>
      <c r="AJ180" s="514"/>
      <c r="AK180" s="514"/>
      <c r="AL180" s="514"/>
      <c r="AM180" s="514"/>
      <c r="AN180" s="514"/>
      <c r="AO180" s="514"/>
      <c r="AP180" s="514"/>
      <c r="AQ180" s="514"/>
      <c r="AR180" s="514"/>
      <c r="AS180" s="514"/>
      <c r="AT180" s="514"/>
      <c r="AU180" s="514"/>
      <c r="AV180" s="514"/>
    </row>
    <row r="181" spans="1:65" s="258" customFormat="1">
      <c r="A181" s="460"/>
      <c r="B181" s="573" t="s">
        <v>1029</v>
      </c>
      <c r="C181" s="588">
        <f>SUM(M181:P181)</f>
        <v>-248.18</v>
      </c>
      <c r="D181" s="588">
        <f>SUM(Q181:T181)</f>
        <v>-345.95</v>
      </c>
      <c r="E181" s="588">
        <f>SUM(U181:X181)</f>
        <v>-507.03</v>
      </c>
      <c r="F181" s="588">
        <f>SUM(Y181:AB181)</f>
        <v>-657.55</v>
      </c>
      <c r="G181" s="588">
        <f ca="1">SUM(AC181:AF181)</f>
        <v>-789.75372236927433</v>
      </c>
      <c r="H181" s="588">
        <f ca="1">SUM(AG181:AJ181)</f>
        <v>-932.25779218879416</v>
      </c>
      <c r="I181" s="588">
        <f ca="1">SUM(AK181:AN181)</f>
        <v>-1076.2029682828822</v>
      </c>
      <c r="J181" s="588">
        <f ca="1">SUM(AO181:AR181)</f>
        <v>-1229.1070674956432</v>
      </c>
      <c r="K181" s="588">
        <f ca="1">SUM(AS181:AV181)</f>
        <v>-1392.8143840884236</v>
      </c>
      <c r="L181" s="599"/>
      <c r="M181" s="461">
        <f t="shared" ref="M181:AR181" si="570">SUM(M185:M187)</f>
        <v>-49.94</v>
      </c>
      <c r="N181" s="461">
        <f t="shared" si="570"/>
        <v>-56.120000000000005</v>
      </c>
      <c r="O181" s="461">
        <f t="shared" si="570"/>
        <v>-64.22</v>
      </c>
      <c r="P181" s="461">
        <f t="shared" si="570"/>
        <v>-77.900000000000006</v>
      </c>
      <c r="Q181" s="461">
        <f t="shared" si="570"/>
        <v>-64</v>
      </c>
      <c r="R181" s="461">
        <f t="shared" si="570"/>
        <v>-76.64</v>
      </c>
      <c r="S181" s="461">
        <f t="shared" si="570"/>
        <v>-91.6</v>
      </c>
      <c r="T181" s="461">
        <f t="shared" si="570"/>
        <v>-113.71000000000001</v>
      </c>
      <c r="U181" s="461">
        <f t="shared" si="570"/>
        <v>-101.7</v>
      </c>
      <c r="V181" s="461">
        <f t="shared" si="570"/>
        <v>-118.30000000000001</v>
      </c>
      <c r="W181" s="461">
        <f t="shared" si="570"/>
        <v>-138.69999999999999</v>
      </c>
      <c r="X181" s="461">
        <f t="shared" si="570"/>
        <v>-148.33000000000001</v>
      </c>
      <c r="Y181" s="461">
        <f t="shared" si="570"/>
        <v>-150</v>
      </c>
      <c r="Z181" s="461">
        <f t="shared" si="570"/>
        <v>-162.17000000000002</v>
      </c>
      <c r="AA181" s="461">
        <f t="shared" si="570"/>
        <v>-174.63</v>
      </c>
      <c r="AB181" s="461">
        <f t="shared" si="570"/>
        <v>-170.75</v>
      </c>
      <c r="AC181" s="461">
        <f t="shared" ca="1" si="570"/>
        <v>-178.59181279105604</v>
      </c>
      <c r="AD181" s="461">
        <f t="shared" ca="1" si="570"/>
        <v>-189.61229931365494</v>
      </c>
      <c r="AE181" s="461">
        <f t="shared" ca="1" si="570"/>
        <v>-204.69050342850338</v>
      </c>
      <c r="AF181" s="461">
        <f t="shared" ca="1" si="570"/>
        <v>-216.85910683605994</v>
      </c>
      <c r="AG181" s="461">
        <f t="shared" ca="1" si="570"/>
        <v>-212.58691786012989</v>
      </c>
      <c r="AH181" s="461">
        <f t="shared" ca="1" si="570"/>
        <v>-225.98196049914037</v>
      </c>
      <c r="AI181" s="461">
        <f t="shared" ca="1" si="570"/>
        <v>-241.02026375251361</v>
      </c>
      <c r="AJ181" s="461">
        <f t="shared" ca="1" si="570"/>
        <v>-252.66865007701028</v>
      </c>
      <c r="AK181" s="461">
        <f t="shared" ca="1" si="570"/>
        <v>-246.4931830794884</v>
      </c>
      <c r="AL181" s="461">
        <f t="shared" ca="1" si="570"/>
        <v>-260.16717417239374</v>
      </c>
      <c r="AM181" s="461">
        <f t="shared" ca="1" si="570"/>
        <v>-278.65456087849589</v>
      </c>
      <c r="AN181" s="461">
        <f t="shared" ca="1" si="570"/>
        <v>-290.88805015250415</v>
      </c>
      <c r="AO181" s="461">
        <f t="shared" ca="1" si="570"/>
        <v>-281.96152769411293</v>
      </c>
      <c r="AP181" s="461">
        <f t="shared" ca="1" si="570"/>
        <v>-296.84603129601362</v>
      </c>
      <c r="AQ181" s="461">
        <f t="shared" ca="1" si="570"/>
        <v>-318.03207073221711</v>
      </c>
      <c r="AR181" s="461">
        <f t="shared" ca="1" si="570"/>
        <v>-332.26743777329943</v>
      </c>
      <c r="AS181" s="461">
        <f t="shared" ref="AS181:AV181" ca="1" si="571">SUM(AS185:AS187)</f>
        <v>-319.47315490617655</v>
      </c>
      <c r="AT181" s="461">
        <f t="shared" ca="1" si="571"/>
        <v>-335.93738116231395</v>
      </c>
      <c r="AU181" s="461">
        <f t="shared" ca="1" si="571"/>
        <v>-359.97244247064918</v>
      </c>
      <c r="AV181" s="461">
        <f t="shared" ca="1" si="571"/>
        <v>-377.43140554928385</v>
      </c>
      <c r="AW181" s="460"/>
    </row>
    <row r="182" spans="1:65">
      <c r="B182" s="579" t="s">
        <v>315</v>
      </c>
      <c r="C182" s="559"/>
      <c r="D182" s="608">
        <f>D181/C181-1</f>
        <v>0.39394794101055686</v>
      </c>
      <c r="E182" s="608">
        <f t="shared" ref="E182" si="572">E181/D181-1</f>
        <v>0.46561641855759506</v>
      </c>
      <c r="F182" s="608">
        <f t="shared" ref="F182" si="573">F181/E181-1</f>
        <v>0.29686606315208164</v>
      </c>
      <c r="G182" s="608">
        <f t="shared" ref="G182" ca="1" si="574">G181/F181-1</f>
        <v>0.20105501082697042</v>
      </c>
      <c r="H182" s="608">
        <f t="shared" ref="H182" ca="1" si="575">H181/G181-1</f>
        <v>0.18044114992203553</v>
      </c>
      <c r="I182" s="608">
        <f t="shared" ref="I182" ca="1" si="576">I181/H181-1</f>
        <v>0.15440490527424555</v>
      </c>
      <c r="J182" s="608">
        <f t="shared" ref="J182:K182" ca="1" si="577">J181/I181-1</f>
        <v>0.14207738105082957</v>
      </c>
      <c r="K182" s="608">
        <f t="shared" ca="1" si="577"/>
        <v>0.13319207164461355</v>
      </c>
      <c r="L182" s="602"/>
      <c r="M182" s="500"/>
      <c r="N182" s="500"/>
      <c r="O182" s="500"/>
      <c r="P182" s="500"/>
      <c r="Q182" s="500">
        <f>Q181/M181-1</f>
        <v>0.28153784541449745</v>
      </c>
      <c r="R182" s="500">
        <f t="shared" ref="R182" si="578">R181/N181-1</f>
        <v>0.36564504632929418</v>
      </c>
      <c r="S182" s="500">
        <f t="shared" ref="S182" si="579">S181/O181-1</f>
        <v>0.42634693241980681</v>
      </c>
      <c r="T182" s="500">
        <f t="shared" ref="T182" si="580">T181/P181-1</f>
        <v>0.45969191270860077</v>
      </c>
      <c r="U182" s="500">
        <f t="shared" ref="U182" si="581">U181/Q181-1</f>
        <v>0.58906250000000004</v>
      </c>
      <c r="V182" s="500">
        <f t="shared" ref="V182" si="582">V181/R181-1</f>
        <v>0.54358037578288121</v>
      </c>
      <c r="W182" s="500">
        <f t="shared" ref="W182" si="583">W181/S181-1</f>
        <v>0.51419213973799116</v>
      </c>
      <c r="X182" s="500">
        <f t="shared" ref="X182" si="584">X181/T181-1</f>
        <v>0.30445871075543041</v>
      </c>
      <c r="Y182" s="500">
        <f t="shared" ref="Y182" si="585">Y181/U181-1</f>
        <v>0.47492625368731556</v>
      </c>
      <c r="Z182" s="500">
        <f t="shared" ref="Z182" si="586">Z181/V181-1</f>
        <v>0.3708368554522401</v>
      </c>
      <c r="AA182" s="500">
        <f t="shared" ref="AA182" si="587">AA181/W181-1</f>
        <v>0.25904830569574622</v>
      </c>
      <c r="AB182" s="500">
        <f t="shared" ref="AB182" si="588">AB181/X181-1</f>
        <v>0.15114946403289942</v>
      </c>
      <c r="AC182" s="500">
        <f t="shared" ref="AC182" ca="1" si="589">AC181/Y181-1</f>
        <v>0.19061208527370699</v>
      </c>
      <c r="AD182" s="500">
        <f t="shared" ref="AD182" ca="1" si="590">AD181/Z181-1</f>
        <v>0.16921933349975293</v>
      </c>
      <c r="AE182" s="500">
        <f t="shared" ref="AE182" ca="1" si="591">AE181/AA181-1</f>
        <v>0.17213825475865185</v>
      </c>
      <c r="AF182" s="500">
        <f t="shared" ref="AF182" ca="1" si="592">AF181/AB181-1</f>
        <v>0.27003869303695427</v>
      </c>
      <c r="AG182" s="500">
        <f t="shared" ref="AG182" ca="1" si="593">AG181/AC181-1</f>
        <v>0.19035085952594311</v>
      </c>
      <c r="AH182" s="500">
        <f t="shared" ref="AH182" ca="1" si="594">AH181/AD181-1</f>
        <v>0.19181066479934961</v>
      </c>
      <c r="AI182" s="500">
        <f t="shared" ref="AI182" ca="1" si="595">AI181/AE181-1</f>
        <v>0.17748630110092001</v>
      </c>
      <c r="AJ182" s="500">
        <f t="shared" ref="AJ182" ca="1" si="596">AJ181/AF181-1</f>
        <v>0.16512815054625052</v>
      </c>
      <c r="AK182" s="500">
        <f t="shared" ref="AK182" ca="1" si="597">AK181/AG181-1</f>
        <v>0.15949365822061967</v>
      </c>
      <c r="AL182" s="500">
        <f t="shared" ref="AL182" ca="1" si="598">AL181/AH181-1</f>
        <v>0.15127408222207817</v>
      </c>
      <c r="AM182" s="500">
        <f t="shared" ref="AM182" ca="1" si="599">AM181/AI181-1</f>
        <v>0.15614578019309699</v>
      </c>
      <c r="AN182" s="500">
        <f t="shared" ref="AN182" ca="1" si="600">AN181/AJ181-1</f>
        <v>0.15126292899354565</v>
      </c>
      <c r="AO182" s="500">
        <f t="shared" ref="AO182" ca="1" si="601">AO181/AK181-1</f>
        <v>0.14389178707301942</v>
      </c>
      <c r="AP182" s="500">
        <f t="shared" ref="AP182" ca="1" si="602">AP181/AL181-1</f>
        <v>0.14098187921015537</v>
      </c>
      <c r="AQ182" s="500">
        <f t="shared" ref="AQ182" ca="1" si="603">AQ181/AM181-1</f>
        <v>0.1413129924361487</v>
      </c>
      <c r="AR182" s="500">
        <f ca="1">AR181/AN181-1</f>
        <v>0.14225193368755185</v>
      </c>
      <c r="AS182" s="500">
        <f t="shared" ref="AS182:AV182" ca="1" si="604">AS181/AO181-1</f>
        <v>0.1330381045911988</v>
      </c>
      <c r="AT182" s="500">
        <f t="shared" ca="1" si="604"/>
        <v>0.13168897591667172</v>
      </c>
      <c r="AU182" s="500">
        <f t="shared" ca="1" si="604"/>
        <v>0.13187466170273709</v>
      </c>
      <c r="AV182" s="500">
        <f t="shared" ca="1" si="604"/>
        <v>0.13592655385869934</v>
      </c>
    </row>
    <row r="183" spans="1:65">
      <c r="B183" s="579" t="s">
        <v>347</v>
      </c>
      <c r="C183" s="579"/>
      <c r="D183" s="579"/>
      <c r="E183" s="579"/>
      <c r="F183" s="579"/>
      <c r="G183" s="579"/>
      <c r="H183" s="579"/>
      <c r="I183" s="579"/>
      <c r="J183" s="579"/>
      <c r="K183" s="579"/>
      <c r="L183" s="602"/>
      <c r="M183" s="500"/>
      <c r="N183" s="500">
        <f>N181/M181-1</f>
        <v>0.12374849819783762</v>
      </c>
      <c r="O183" s="500">
        <f t="shared" ref="O183:AR183" si="605">O181/N181-1</f>
        <v>0.1443335709194582</v>
      </c>
      <c r="P183" s="500">
        <f t="shared" si="605"/>
        <v>0.21301775147929014</v>
      </c>
      <c r="Q183" s="500">
        <f t="shared" si="605"/>
        <v>-0.17843388960205397</v>
      </c>
      <c r="R183" s="500">
        <f t="shared" si="605"/>
        <v>0.19750000000000001</v>
      </c>
      <c r="S183" s="500">
        <f t="shared" si="605"/>
        <v>0.19519832985386221</v>
      </c>
      <c r="T183" s="500">
        <f t="shared" si="605"/>
        <v>0.24137554585152854</v>
      </c>
      <c r="U183" s="500">
        <f t="shared" si="605"/>
        <v>-0.10561955852607519</v>
      </c>
      <c r="V183" s="500">
        <f t="shared" si="605"/>
        <v>0.16322517207472975</v>
      </c>
      <c r="W183" s="500">
        <f t="shared" si="605"/>
        <v>0.17244294167371077</v>
      </c>
      <c r="X183" s="500">
        <f t="shared" si="605"/>
        <v>6.9430425378514959E-2</v>
      </c>
      <c r="Y183" s="500">
        <f t="shared" si="605"/>
        <v>1.1258679970336249E-2</v>
      </c>
      <c r="Z183" s="500">
        <f t="shared" si="605"/>
        <v>8.1133333333333502E-2</v>
      </c>
      <c r="AA183" s="500">
        <f t="shared" si="605"/>
        <v>7.6832953073934673E-2</v>
      </c>
      <c r="AB183" s="500">
        <f t="shared" si="605"/>
        <v>-2.2218404626925481E-2</v>
      </c>
      <c r="AC183" s="500">
        <f t="shared" ca="1" si="605"/>
        <v>4.5925697165774881E-2</v>
      </c>
      <c r="AD183" s="500">
        <f t="shared" ca="1" si="605"/>
        <v>6.170768049424713E-2</v>
      </c>
      <c r="AE183" s="500">
        <f t="shared" ca="1" si="605"/>
        <v>7.9521234484405401E-2</v>
      </c>
      <c r="AF183" s="500">
        <f t="shared" ca="1" si="605"/>
        <v>5.9448793196245964E-2</v>
      </c>
      <c r="AG183" s="500">
        <f t="shared" ca="1" si="605"/>
        <v>-1.9700297756735319E-2</v>
      </c>
      <c r="AH183" s="500">
        <f t="shared" ca="1" si="605"/>
        <v>6.300972220606571E-2</v>
      </c>
      <c r="AI183" s="500">
        <f t="shared" ca="1" si="605"/>
        <v>6.6546476630954032E-2</v>
      </c>
      <c r="AJ183" s="500">
        <f t="shared" ca="1" si="605"/>
        <v>4.8329489575438922E-2</v>
      </c>
      <c r="AK183" s="500">
        <f t="shared" ca="1" si="605"/>
        <v>-2.4440970399927653E-2</v>
      </c>
      <c r="AL183" s="500">
        <f t="shared" ca="1" si="605"/>
        <v>5.5474114626917759E-2</v>
      </c>
      <c r="AM183" s="500">
        <f t="shared" ca="1" si="605"/>
        <v>7.1059643726813615E-2</v>
      </c>
      <c r="AN183" s="500">
        <f t="shared" ca="1" si="605"/>
        <v>4.3901988309254847E-2</v>
      </c>
      <c r="AO183" s="500">
        <f t="shared" ca="1" si="605"/>
        <v>-3.0687140477964947E-2</v>
      </c>
      <c r="AP183" s="500">
        <f t="shared" ca="1" si="605"/>
        <v>5.2789129508647781E-2</v>
      </c>
      <c r="AQ183" s="500">
        <f t="shared" ca="1" si="605"/>
        <v>7.1370465502625713E-2</v>
      </c>
      <c r="AR183" s="500">
        <f t="shared" ca="1" si="605"/>
        <v>4.4760790974028852E-2</v>
      </c>
      <c r="AS183" s="500">
        <f t="shared" ref="AS183" ca="1" si="606">AS181/AR181-1</f>
        <v>-3.8505978656422579E-2</v>
      </c>
      <c r="AT183" s="500">
        <f t="shared" ref="AT183" ca="1" si="607">AT181/AS181-1</f>
        <v>5.1535554719684296E-2</v>
      </c>
      <c r="AU183" s="500">
        <f t="shared" ref="AU183" ca="1" si="608">AU181/AT181-1</f>
        <v>7.1546254320302261E-2</v>
      </c>
      <c r="AV183" s="500">
        <f t="shared" ref="AV183" ca="1" si="609">AV181/AU181-1</f>
        <v>4.8500832338181477E-2</v>
      </c>
    </row>
    <row r="184" spans="1:65">
      <c r="B184" s="579"/>
      <c r="C184" s="579"/>
      <c r="D184" s="579"/>
      <c r="E184" s="579"/>
      <c r="F184" s="579"/>
      <c r="G184" s="579"/>
      <c r="H184" s="579"/>
      <c r="I184" s="579"/>
      <c r="J184" s="579"/>
      <c r="K184" s="579"/>
      <c r="L184" s="602"/>
      <c r="M184" s="500"/>
      <c r="N184" s="500"/>
      <c r="O184" s="500"/>
      <c r="P184" s="500"/>
      <c r="Q184" s="500"/>
      <c r="R184" s="500"/>
      <c r="S184" s="500"/>
      <c r="T184" s="500"/>
      <c r="U184" s="500"/>
      <c r="V184" s="500"/>
      <c r="W184" s="500"/>
      <c r="X184" s="500"/>
      <c r="Y184" s="500"/>
      <c r="Z184" s="500"/>
      <c r="AA184" s="500"/>
      <c r="AB184" s="500"/>
      <c r="AC184" s="500"/>
      <c r="AD184" s="500"/>
      <c r="AE184" s="500"/>
      <c r="AF184" s="500"/>
      <c r="AG184" s="500"/>
      <c r="AH184" s="500"/>
      <c r="AI184" s="500"/>
      <c r="AJ184" s="500"/>
      <c r="AK184" s="500"/>
      <c r="AL184" s="500"/>
      <c r="AM184" s="500"/>
      <c r="AN184" s="500"/>
      <c r="AO184" s="500"/>
      <c r="AP184" s="500"/>
      <c r="AQ184" s="500"/>
      <c r="AR184" s="500"/>
      <c r="AS184" s="500"/>
      <c r="AT184" s="500"/>
      <c r="AU184" s="500"/>
      <c r="AV184" s="500"/>
    </row>
    <row r="185" spans="1:65">
      <c r="B185" s="450" t="s">
        <v>403</v>
      </c>
      <c r="C185" s="607">
        <f>SUM(M185:P185)</f>
        <v>-79.930000000000007</v>
      </c>
      <c r="D185" s="607">
        <f>SUM(Q185:T185)</f>
        <v>-121.36000000000001</v>
      </c>
      <c r="E185" s="607">
        <f>SUM(U185:X185)</f>
        <v>-176.52</v>
      </c>
      <c r="F185" s="607">
        <f>SUM(Y185:AB185)</f>
        <v>-242.33000000000004</v>
      </c>
      <c r="G185" s="607">
        <f ca="1">SUM(AC185:AF185)</f>
        <v>-281.15348215085857</v>
      </c>
      <c r="H185" s="607">
        <f ca="1">SUM(AG185:AJ185)</f>
        <v>-328.55748270250672</v>
      </c>
      <c r="I185" s="607">
        <f ca="1">SUM(AK185:AN185)</f>
        <v>-373.53128359229413</v>
      </c>
      <c r="J185" s="607">
        <f ca="1">SUM(AO185:AR185)</f>
        <v>-419.13287101899567</v>
      </c>
      <c r="K185" s="607">
        <f t="shared" ref="K185:K187" ca="1" si="610">SUM(AS185:AV185)</f>
        <v>-465.81574024238762</v>
      </c>
      <c r="M185" s="468">
        <v>-13.26</v>
      </c>
      <c r="N185" s="468">
        <v>-16.010000000000002</v>
      </c>
      <c r="O185" s="468">
        <v>-20.420000000000002</v>
      </c>
      <c r="P185" s="468">
        <v>-30.24</v>
      </c>
      <c r="Q185" s="468">
        <v>-20.32</v>
      </c>
      <c r="R185" s="468">
        <v>-23.65</v>
      </c>
      <c r="S185" s="468">
        <v>-32.770000000000003</v>
      </c>
      <c r="T185" s="468">
        <v>-44.62</v>
      </c>
      <c r="U185" s="468">
        <v>-31.58</v>
      </c>
      <c r="V185" s="468">
        <v>-36.6</v>
      </c>
      <c r="W185" s="468">
        <v>-48.12</v>
      </c>
      <c r="X185" s="468">
        <v>-60.22</v>
      </c>
      <c r="Y185" s="468">
        <v>-55.7</v>
      </c>
      <c r="Z185" s="468">
        <v>-63.6</v>
      </c>
      <c r="AA185" s="468">
        <v>-65.73</v>
      </c>
      <c r="AB185" s="468">
        <v>-57.3</v>
      </c>
      <c r="AC185" s="468">
        <f t="shared" ref="AC185:AR185" ca="1" si="611">AC189*AC$21</f>
        <v>-63.287389969646071</v>
      </c>
      <c r="AD185" s="468">
        <f t="shared" ca="1" si="611"/>
        <v>-67.972850492690867</v>
      </c>
      <c r="AE185" s="468">
        <f t="shared" ca="1" si="611"/>
        <v>-72.863715755082083</v>
      </c>
      <c r="AF185" s="468">
        <f t="shared" ca="1" si="611"/>
        <v>-77.029525933439572</v>
      </c>
      <c r="AG185" s="468">
        <f t="shared" ca="1" si="611"/>
        <v>-74.873432965196713</v>
      </c>
      <c r="AH185" s="468">
        <f t="shared" ca="1" si="611"/>
        <v>-79.817098935776528</v>
      </c>
      <c r="AI185" s="468">
        <f t="shared" ca="1" si="611"/>
        <v>-84.816413881804777</v>
      </c>
      <c r="AJ185" s="468">
        <f t="shared" ca="1" si="611"/>
        <v>-89.050536919728728</v>
      </c>
      <c r="AK185" s="468">
        <f t="shared" ca="1" si="611"/>
        <v>-85.987057678589451</v>
      </c>
      <c r="AL185" s="468">
        <f t="shared" ca="1" si="611"/>
        <v>-90.531108587553859</v>
      </c>
      <c r="AM185" s="468">
        <f t="shared" ca="1" si="611"/>
        <v>-96.585657574570192</v>
      </c>
      <c r="AN185" s="468">
        <f t="shared" ca="1" si="611"/>
        <v>-100.42745975158061</v>
      </c>
      <c r="AO185" s="468">
        <f t="shared" ca="1" si="611"/>
        <v>-96.816648240470244</v>
      </c>
      <c r="AP185" s="468">
        <f t="shared" ca="1" si="611"/>
        <v>-101.50560590228315</v>
      </c>
      <c r="AQ185" s="468">
        <f t="shared" ca="1" si="611"/>
        <v>-108.25187913004171</v>
      </c>
      <c r="AR185" s="468">
        <f t="shared" ca="1" si="611"/>
        <v>-112.55873774620056</v>
      </c>
      <c r="AS185" s="468">
        <f t="shared" ref="AS185:AV185" ca="1" si="612">AS189*AS$21</f>
        <v>-107.68525879007635</v>
      </c>
      <c r="AT185" s="468">
        <f t="shared" ca="1" si="612"/>
        <v>-112.68445931539198</v>
      </c>
      <c r="AU185" s="468">
        <f t="shared" ca="1" si="612"/>
        <v>-120.13615560533205</v>
      </c>
      <c r="AV185" s="468">
        <f t="shared" ca="1" si="612"/>
        <v>-125.30986653158722</v>
      </c>
    </row>
    <row r="186" spans="1:65">
      <c r="B186" s="450" t="s">
        <v>404</v>
      </c>
      <c r="C186" s="607">
        <f>SUM(M186:P186)</f>
        <v>-90.389999999999986</v>
      </c>
      <c r="D186" s="607">
        <f>SUM(Q186:T186)</f>
        <v>-118.44973121948709</v>
      </c>
      <c r="E186" s="607">
        <f>SUM(U186:X186)</f>
        <v>-174.56227562999999</v>
      </c>
      <c r="F186" s="607">
        <f>SUM(Y186:AB186)</f>
        <v>-229.36</v>
      </c>
      <c r="G186" s="607">
        <f ca="1">SUM(AC186:AF186)</f>
        <v>-277.27354608606595</v>
      </c>
      <c r="H186" s="607">
        <f ca="1">SUM(AG186:AJ186)</f>
        <v>-328.55748270250672</v>
      </c>
      <c r="I186" s="607">
        <f ca="1">SUM(AK186:AN186)</f>
        <v>-383.43140650763405</v>
      </c>
      <c r="J186" s="607">
        <f ca="1">SUM(AO186:AR186)</f>
        <v>-443.29939368402864</v>
      </c>
      <c r="K186" s="607">
        <f t="shared" ca="1" si="610"/>
        <v>-508.95802922272827</v>
      </c>
      <c r="M186" s="468">
        <v>-20.27</v>
      </c>
      <c r="N186" s="468">
        <v>-20.72</v>
      </c>
      <c r="O186" s="468">
        <v>-24.61</v>
      </c>
      <c r="P186" s="468">
        <v>-24.79</v>
      </c>
      <c r="Q186" s="468">
        <v>-23.33</v>
      </c>
      <c r="R186" s="468">
        <v>-27.459731219487097</v>
      </c>
      <c r="S186" s="468">
        <v>-31.65</v>
      </c>
      <c r="T186" s="468">
        <v>-36.01</v>
      </c>
      <c r="U186" s="468">
        <v>-35.97381</v>
      </c>
      <c r="V186" s="468">
        <v>-42.406809999999993</v>
      </c>
      <c r="W186" s="468">
        <v>-48.281655629999996</v>
      </c>
      <c r="X186" s="468">
        <v>-47.9</v>
      </c>
      <c r="Y186" s="468">
        <v>-50.055628663574034</v>
      </c>
      <c r="Z186" s="468">
        <v>-57.222200000000001</v>
      </c>
      <c r="AA186" s="468">
        <v>-62.54</v>
      </c>
      <c r="AB186" s="468">
        <f>-229.36-AA186-Z186-Y186</f>
        <v>-59.542171336425987</v>
      </c>
      <c r="AC186" s="468">
        <f t="shared" ref="AC186:AR186" ca="1" si="613">AC190*AC$21</f>
        <v>-62.420439422116672</v>
      </c>
      <c r="AD186" s="468">
        <f t="shared" ca="1" si="613"/>
        <v>-67.04171555443483</v>
      </c>
      <c r="AE186" s="468">
        <f t="shared" ca="1" si="613"/>
        <v>-71.851719702928165</v>
      </c>
      <c r="AF186" s="468">
        <f t="shared" ca="1" si="613"/>
        <v>-75.959671406586253</v>
      </c>
      <c r="AG186" s="468">
        <f t="shared" ca="1" si="613"/>
        <v>-74.873432965196713</v>
      </c>
      <c r="AH186" s="468">
        <f t="shared" ca="1" si="613"/>
        <v>-79.817098935776528</v>
      </c>
      <c r="AI186" s="468">
        <f t="shared" ca="1" si="613"/>
        <v>-84.816413881804777</v>
      </c>
      <c r="AJ186" s="468">
        <f t="shared" ca="1" si="613"/>
        <v>-89.050536919728728</v>
      </c>
      <c r="AK186" s="468">
        <f t="shared" ca="1" si="613"/>
        <v>-87.515716481764386</v>
      </c>
      <c r="AL186" s="468">
        <f t="shared" ca="1" si="613"/>
        <v>-92.561712892321452</v>
      </c>
      <c r="AM186" s="468">
        <f t="shared" ca="1" si="613"/>
        <v>-99.325676229167954</v>
      </c>
      <c r="AN186" s="468">
        <f t="shared" ca="1" si="613"/>
        <v>-104.02830090438022</v>
      </c>
      <c r="AO186" s="468">
        <f t="shared" ca="1" si="613"/>
        <v>-101.21700494624568</v>
      </c>
      <c r="AP186" s="468">
        <f t="shared" ca="1" si="613"/>
        <v>-106.86321580608725</v>
      </c>
      <c r="AQ186" s="468">
        <f t="shared" ca="1" si="613"/>
        <v>-114.83881318397303</v>
      </c>
      <c r="AR186" s="468">
        <f t="shared" ca="1" si="613"/>
        <v>-120.38035974772272</v>
      </c>
      <c r="AS186" s="468">
        <f t="shared" ref="AS186:AV186" ca="1" si="614">AS190*AS$21</f>
        <v>-116.13389693896269</v>
      </c>
      <c r="AT186" s="468">
        <f t="shared" ca="1" si="614"/>
        <v>-122.51597713940133</v>
      </c>
      <c r="AU186" s="468">
        <f t="shared" ca="1" si="614"/>
        <v>-131.72230974268757</v>
      </c>
      <c r="AV186" s="468">
        <f t="shared" ca="1" si="614"/>
        <v>-138.58584540167669</v>
      </c>
    </row>
    <row r="187" spans="1:65">
      <c r="B187" s="450" t="s">
        <v>405</v>
      </c>
      <c r="C187" s="607">
        <f>SUM(M187:P187)</f>
        <v>-77.859999999999985</v>
      </c>
      <c r="D187" s="607">
        <f>SUM(Q187:T187)</f>
        <v>-106.14026878051291</v>
      </c>
      <c r="E187" s="607">
        <f>SUM(U187:X187)</f>
        <v>-155.94772437000003</v>
      </c>
      <c r="F187" s="607">
        <f>SUM(Y187:AB187)</f>
        <v>-185.85999999999999</v>
      </c>
      <c r="G187" s="607">
        <f ca="1">SUM(AC187:AF187)</f>
        <v>-231.32669413234979</v>
      </c>
      <c r="H187" s="607">
        <f ca="1">SUM(AG187:AJ187)</f>
        <v>-275.14282678378072</v>
      </c>
      <c r="I187" s="607">
        <f ca="1">SUM(AK187:AN187)</f>
        <v>-319.24027818295406</v>
      </c>
      <c r="J187" s="607">
        <f ca="1">SUM(AO187:AR187)</f>
        <v>-366.67480279261872</v>
      </c>
      <c r="K187" s="607">
        <f t="shared" ca="1" si="610"/>
        <v>-418.0406146233077</v>
      </c>
      <c r="M187" s="468">
        <v>-16.41</v>
      </c>
      <c r="N187" s="468">
        <v>-19.39</v>
      </c>
      <c r="O187" s="468">
        <v>-19.189999999999998</v>
      </c>
      <c r="P187" s="468">
        <v>-22.869999999999997</v>
      </c>
      <c r="Q187" s="468">
        <v>-20.350000000000001</v>
      </c>
      <c r="R187" s="468">
        <v>-25.530268780512905</v>
      </c>
      <c r="S187" s="468">
        <v>-27.18</v>
      </c>
      <c r="T187" s="468">
        <v>-33.080000000000005</v>
      </c>
      <c r="U187" s="468">
        <v>-34.146190000000004</v>
      </c>
      <c r="V187" s="468">
        <v>-39.29319000000001</v>
      </c>
      <c r="W187" s="468">
        <v>-42.298344370000002</v>
      </c>
      <c r="X187" s="468">
        <v>-40.21</v>
      </c>
      <c r="Y187" s="468">
        <v>-44.244371336425964</v>
      </c>
      <c r="Z187" s="468">
        <v>-41.347799999999992</v>
      </c>
      <c r="AA187" s="468">
        <v>-46.36</v>
      </c>
      <c r="AB187" s="468">
        <f>-113.45-AB186</f>
        <v>-53.907828663574016</v>
      </c>
      <c r="AC187" s="468">
        <f t="shared" ref="AC187:AR187" ca="1" si="615">AC191*AC$21</f>
        <v>-52.883983399293292</v>
      </c>
      <c r="AD187" s="468">
        <f t="shared" ca="1" si="615"/>
        <v>-54.597733266529247</v>
      </c>
      <c r="AE187" s="468">
        <f t="shared" ca="1" si="615"/>
        <v>-59.97506797049315</v>
      </c>
      <c r="AF187" s="468">
        <f t="shared" ca="1" si="615"/>
        <v>-63.869909496034097</v>
      </c>
      <c r="AG187" s="468">
        <f t="shared" ca="1" si="615"/>
        <v>-62.840051929736468</v>
      </c>
      <c r="AH187" s="468">
        <f t="shared" ca="1" si="615"/>
        <v>-66.347762627587329</v>
      </c>
      <c r="AI187" s="468">
        <f t="shared" ca="1" si="615"/>
        <v>-71.387435988904059</v>
      </c>
      <c r="AJ187" s="468">
        <f t="shared" ca="1" si="615"/>
        <v>-74.567576237552828</v>
      </c>
      <c r="AK187" s="468">
        <f t="shared" ca="1" si="615"/>
        <v>-72.990408919134552</v>
      </c>
      <c r="AL187" s="468">
        <f t="shared" ca="1" si="615"/>
        <v>-77.074352692518431</v>
      </c>
      <c r="AM187" s="468">
        <f t="shared" ca="1" si="615"/>
        <v>-82.743227074757741</v>
      </c>
      <c r="AN187" s="468">
        <f t="shared" ca="1" si="615"/>
        <v>-86.432289496543319</v>
      </c>
      <c r="AO187" s="468">
        <f t="shared" ca="1" si="615"/>
        <v>-83.927874507397007</v>
      </c>
      <c r="AP187" s="468">
        <f t="shared" ca="1" si="615"/>
        <v>-88.477209587643216</v>
      </c>
      <c r="AQ187" s="468">
        <f t="shared" ca="1" si="615"/>
        <v>-94.941378418202333</v>
      </c>
      <c r="AR187" s="468">
        <f t="shared" ca="1" si="615"/>
        <v>-99.32834027937615</v>
      </c>
      <c r="AS187" s="468">
        <f t="shared" ref="AS187:AV187" ca="1" si="616">AS191*AS$21</f>
        <v>-95.653999177137536</v>
      </c>
      <c r="AT187" s="468">
        <f t="shared" ca="1" si="616"/>
        <v>-100.73694470752064</v>
      </c>
      <c r="AU187" s="468">
        <f t="shared" ca="1" si="616"/>
        <v>-108.11397712262959</v>
      </c>
      <c r="AV187" s="468">
        <f t="shared" ca="1" si="616"/>
        <v>-113.53569361601996</v>
      </c>
    </row>
    <row r="188" spans="1:65">
      <c r="B188" s="450" t="s">
        <v>1030</v>
      </c>
      <c r="C188" s="450"/>
      <c r="D188" s="450"/>
      <c r="E188" s="450"/>
      <c r="F188" s="450"/>
      <c r="G188" s="450"/>
      <c r="H188" s="450"/>
      <c r="I188" s="450"/>
      <c r="J188" s="450"/>
      <c r="K188" s="450"/>
      <c r="M188" s="468"/>
      <c r="N188" s="468"/>
      <c r="O188" s="468"/>
      <c r="P188" s="468"/>
      <c r="Q188" s="468"/>
      <c r="R188" s="468"/>
      <c r="S188" s="468"/>
      <c r="T188" s="468"/>
      <c r="U188" s="468"/>
      <c r="V188" s="468"/>
      <c r="W188" s="468"/>
      <c r="X188" s="468"/>
      <c r="Y188" s="468"/>
      <c r="Z188" s="468"/>
      <c r="AA188" s="468"/>
      <c r="AB188" s="468"/>
      <c r="AC188" s="468"/>
      <c r="AD188" s="468"/>
      <c r="AE188" s="468"/>
      <c r="AF188" s="468"/>
      <c r="AG188" s="468"/>
      <c r="AH188" s="468"/>
      <c r="AI188" s="468"/>
      <c r="AJ188" s="468"/>
      <c r="AK188" s="468"/>
      <c r="AL188" s="468"/>
      <c r="AM188" s="468"/>
      <c r="AN188" s="468"/>
      <c r="AO188" s="468"/>
      <c r="AP188" s="468"/>
      <c r="AQ188" s="468"/>
      <c r="AR188" s="468"/>
      <c r="AS188" s="468"/>
      <c r="AT188" s="468"/>
      <c r="AU188" s="468"/>
      <c r="AV188" s="468"/>
    </row>
    <row r="189" spans="1:65">
      <c r="B189" s="579" t="s">
        <v>1033</v>
      </c>
      <c r="C189" s="500">
        <f t="shared" ref="C189:J189" si="617">C185/C21</f>
        <v>-7.7705297337234955E-2</v>
      </c>
      <c r="D189" s="500">
        <f t="shared" si="617"/>
        <v>-7.9874685727072917E-2</v>
      </c>
      <c r="E189" s="500">
        <f t="shared" si="617"/>
        <v>-7.4242934051144002E-2</v>
      </c>
      <c r="F189" s="500">
        <f t="shared" si="617"/>
        <v>-7.7497489558482111E-2</v>
      </c>
      <c r="G189" s="500">
        <f t="shared" ca="1" si="617"/>
        <v>-7.2463431730770397E-2</v>
      </c>
      <c r="H189" s="500">
        <f t="shared" ca="1" si="617"/>
        <v>-6.9467233890390223E-2</v>
      </c>
      <c r="I189" s="500">
        <f t="shared" ca="1" si="617"/>
        <v>-6.6401775581934649E-2</v>
      </c>
      <c r="J189" s="500">
        <f t="shared" ca="1" si="617"/>
        <v>-6.3229766967498116E-2</v>
      </c>
      <c r="K189" s="500">
        <f t="shared" ref="K189" ca="1" si="618">K185/K21</f>
        <v>-6.0033929507591698E-2</v>
      </c>
      <c r="L189" s="602"/>
      <c r="M189" s="500">
        <f t="shared" ref="M189:AB189" si="619">M185/M21</f>
        <v>-5.9199071387115498E-2</v>
      </c>
      <c r="N189" s="500">
        <f t="shared" si="619"/>
        <v>-6.8334115839344414E-2</v>
      </c>
      <c r="O189" s="500">
        <f t="shared" si="619"/>
        <v>-7.6784237045950207E-2</v>
      </c>
      <c r="P189" s="500">
        <f t="shared" si="619"/>
        <v>-9.933970631713808E-2</v>
      </c>
      <c r="Q189" s="500">
        <f t="shared" si="619"/>
        <v>-6.3509923425535242E-2</v>
      </c>
      <c r="R189" s="500">
        <f t="shared" si="619"/>
        <v>-6.6263203608752902E-2</v>
      </c>
      <c r="S189" s="500">
        <f t="shared" si="619"/>
        <v>-8.1137961770823025E-2</v>
      </c>
      <c r="T189" s="500">
        <f t="shared" si="619"/>
        <v>-0.10172350902790443</v>
      </c>
      <c r="U189" s="500">
        <f t="shared" si="619"/>
        <v>-6.3731030029060373E-2</v>
      </c>
      <c r="V189" s="500">
        <f t="shared" si="619"/>
        <v>-6.4657456806698932E-2</v>
      </c>
      <c r="W189" s="500">
        <f t="shared" si="619"/>
        <v>-7.3792363134488573E-2</v>
      </c>
      <c r="X189" s="500">
        <f t="shared" si="619"/>
        <v>-9.0703699240872376E-2</v>
      </c>
      <c r="Y189" s="500">
        <f t="shared" si="619"/>
        <v>-7.5753454466325754E-2</v>
      </c>
      <c r="Z189" s="500">
        <f t="shared" si="619"/>
        <v>-8.6325076348829313E-2</v>
      </c>
      <c r="AA189" s="500">
        <f t="shared" si="619"/>
        <v>-8.1555927787083565E-2</v>
      </c>
      <c r="AB189" s="500">
        <f t="shared" si="619"/>
        <v>-6.7494346023369761E-2</v>
      </c>
      <c r="AC189" s="475">
        <v>-7.2999999999999995E-2</v>
      </c>
      <c r="AD189" s="475">
        <v>-7.2999999999999995E-2</v>
      </c>
      <c r="AE189" s="475">
        <v>-7.1999999999999995E-2</v>
      </c>
      <c r="AF189" s="475">
        <v>-7.1999999999999995E-2</v>
      </c>
      <c r="AG189" s="475">
        <v>-7.0000000000000007E-2</v>
      </c>
      <c r="AH189" s="475">
        <v>-7.0000000000000007E-2</v>
      </c>
      <c r="AI189" s="475">
        <v>-6.9000000000000006E-2</v>
      </c>
      <c r="AJ189" s="475">
        <v>-6.9000000000000006E-2</v>
      </c>
      <c r="AK189" s="475">
        <f>(AVERAGE(AG189:AJ189)+0.001)+0.001</f>
        <v>-6.7500000000000004E-2</v>
      </c>
      <c r="AL189" s="475">
        <f t="shared" ref="AL189:AV189" si="620">(AVERAGE(AH189:AK189)+0.001)+0.001</f>
        <v>-6.6875000000000004E-2</v>
      </c>
      <c r="AM189" s="475">
        <f t="shared" si="620"/>
        <v>-6.6093750000000007E-2</v>
      </c>
      <c r="AN189" s="475">
        <f t="shared" si="620"/>
        <v>-6.5367187500000007E-2</v>
      </c>
      <c r="AO189" s="475">
        <f t="shared" si="620"/>
        <v>-6.4458984375E-2</v>
      </c>
      <c r="AP189" s="475">
        <f t="shared" si="620"/>
        <v>-6.3698730468750006E-2</v>
      </c>
      <c r="AQ189" s="475">
        <f t="shared" si="620"/>
        <v>-6.2904663085937507E-2</v>
      </c>
      <c r="AR189" s="475">
        <f t="shared" si="620"/>
        <v>-6.2107391357421882E-2</v>
      </c>
      <c r="AS189" s="475">
        <f t="shared" si="620"/>
        <v>-6.1292442321777343E-2</v>
      </c>
      <c r="AT189" s="475">
        <f t="shared" si="620"/>
        <v>-6.0500806808471683E-2</v>
      </c>
      <c r="AU189" s="475">
        <f t="shared" si="620"/>
        <v>-5.9701325893402102E-2</v>
      </c>
      <c r="AV189" s="475">
        <f t="shared" si="620"/>
        <v>-5.8900491595268251E-2</v>
      </c>
      <c r="AX189" s="630"/>
    </row>
    <row r="190" spans="1:65">
      <c r="B190" s="579" t="s">
        <v>1031</v>
      </c>
      <c r="C190" s="500">
        <f t="shared" ref="C190:J190" si="621">C186/C21</f>
        <v>-8.7874162721289464E-2</v>
      </c>
      <c r="D190" s="500">
        <f t="shared" si="621"/>
        <v>-7.7959253919024279E-2</v>
      </c>
      <c r="E190" s="500">
        <f t="shared" si="621"/>
        <v>-7.3419530463492574E-2</v>
      </c>
      <c r="F190" s="500">
        <f t="shared" si="621"/>
        <v>-7.3349664528260861E-2</v>
      </c>
      <c r="G190" s="500">
        <f t="shared" ca="1" si="621"/>
        <v>-7.1463431730770424E-2</v>
      </c>
      <c r="H190" s="500">
        <f t="shared" ca="1" si="621"/>
        <v>-6.9467233890390223E-2</v>
      </c>
      <c r="I190" s="500">
        <f t="shared" ca="1" si="621"/>
        <v>-6.8161697090344378E-2</v>
      </c>
      <c r="J190" s="500">
        <f t="shared" ca="1" si="621"/>
        <v>-6.6875492946493309E-2</v>
      </c>
      <c r="K190" s="500">
        <f t="shared" ref="K190" ca="1" si="622">K186/K21</f>
        <v>-6.5594070378087427E-2</v>
      </c>
      <c r="L190" s="602"/>
      <c r="M190" s="500">
        <f t="shared" ref="M190:AA190" si="623">M186/M21</f>
        <v>-9.0495111388901289E-2</v>
      </c>
      <c r="N190" s="500">
        <f t="shared" si="623"/>
        <v>-8.8437406632805513E-2</v>
      </c>
      <c r="O190" s="500">
        <f t="shared" si="623"/>
        <v>-9.2539670602391502E-2</v>
      </c>
      <c r="P190" s="500">
        <f t="shared" si="623"/>
        <v>-8.1436220886304658E-2</v>
      </c>
      <c r="Q190" s="500">
        <f t="shared" si="623"/>
        <v>-7.2917643381778405E-2</v>
      </c>
      <c r="R190" s="500">
        <f t="shared" si="623"/>
        <v>-7.6937410606279177E-2</v>
      </c>
      <c r="S190" s="500">
        <f t="shared" si="623"/>
        <v>-7.8364860849757356E-2</v>
      </c>
      <c r="T190" s="500">
        <f t="shared" si="623"/>
        <v>-8.209465621010395E-2</v>
      </c>
      <c r="U190" s="500">
        <f t="shared" si="623"/>
        <v>-7.2598098966742006E-2</v>
      </c>
      <c r="V190" s="500">
        <f t="shared" si="623"/>
        <v>-7.491575098046141E-2</v>
      </c>
      <c r="W190" s="500">
        <f t="shared" si="623"/>
        <v>-7.4040263195828848E-2</v>
      </c>
      <c r="X190" s="500">
        <f t="shared" si="623"/>
        <v>-7.2147246656223629E-2</v>
      </c>
      <c r="Y190" s="500">
        <f t="shared" si="623"/>
        <v>-6.8076962060132237E-2</v>
      </c>
      <c r="Z190" s="500">
        <f t="shared" si="623"/>
        <v>-7.7668408551068879E-2</v>
      </c>
      <c r="AA190" s="500">
        <f t="shared" si="623"/>
        <v>-7.7597865872572738E-2</v>
      </c>
      <c r="AB190" s="500">
        <f t="shared" ref="AB190" si="624">AB186/AB21</f>
        <v>-7.0135426093603917E-2</v>
      </c>
      <c r="AC190" s="475">
        <v>-7.1999999999999995E-2</v>
      </c>
      <c r="AD190" s="475">
        <v>-7.1999999999999995E-2</v>
      </c>
      <c r="AE190" s="475">
        <v>-7.0999999999999994E-2</v>
      </c>
      <c r="AF190" s="475">
        <v>-7.0999999999999994E-2</v>
      </c>
      <c r="AG190" s="475">
        <v>-7.0000000000000007E-2</v>
      </c>
      <c r="AH190" s="475">
        <v>-7.0000000000000007E-2</v>
      </c>
      <c r="AI190" s="475">
        <v>-6.9000000000000006E-2</v>
      </c>
      <c r="AJ190" s="475">
        <v>-6.9000000000000006E-2</v>
      </c>
      <c r="AK190" s="475">
        <f>AVERAGE(AG190:AJ190)+0.0008</f>
        <v>-6.8700000000000011E-2</v>
      </c>
      <c r="AL190" s="475">
        <f t="shared" ref="AL190:AV190" si="625">AVERAGE(AH190:AK190)+0.0008</f>
        <v>-6.8375000000000019E-2</v>
      </c>
      <c r="AM190" s="475">
        <f t="shared" si="625"/>
        <v>-6.7968750000000022E-2</v>
      </c>
      <c r="AN190" s="475">
        <f t="shared" si="625"/>
        <v>-6.7710937500000012E-2</v>
      </c>
      <c r="AO190" s="475">
        <f t="shared" si="625"/>
        <v>-6.7388671875000028E-2</v>
      </c>
      <c r="AP190" s="475">
        <f t="shared" si="625"/>
        <v>-6.7060839843750025E-2</v>
      </c>
      <c r="AQ190" s="475">
        <f t="shared" si="625"/>
        <v>-6.6732299804687534E-2</v>
      </c>
      <c r="AR190" s="475">
        <f t="shared" si="625"/>
        <v>-6.6423187255859412E-2</v>
      </c>
      <c r="AS190" s="475">
        <f t="shared" si="625"/>
        <v>-6.6101249694824254E-2</v>
      </c>
      <c r="AT190" s="475">
        <f t="shared" si="625"/>
        <v>-6.5779394149780318E-2</v>
      </c>
      <c r="AU190" s="475">
        <f t="shared" si="625"/>
        <v>-6.5459032726287891E-2</v>
      </c>
      <c r="AV190" s="475">
        <f t="shared" si="625"/>
        <v>-6.5140715956687967E-2</v>
      </c>
    </row>
    <row r="191" spans="1:65">
      <c r="B191" s="584" t="s">
        <v>1032</v>
      </c>
      <c r="C191" s="522">
        <f t="shared" ref="C191:J191" si="626">C187/C21</f>
        <v>-7.5692911931403886E-2</v>
      </c>
      <c r="D191" s="522">
        <f t="shared" si="626"/>
        <v>-6.9857618752723435E-2</v>
      </c>
      <c r="E191" s="522">
        <f t="shared" si="626"/>
        <v>-6.5590395512281296E-2</v>
      </c>
      <c r="F191" s="522">
        <f t="shared" si="626"/>
        <v>-5.9438300702923622E-2</v>
      </c>
      <c r="G191" s="522">
        <f t="shared" ca="1" si="626"/>
        <v>-5.9621264440786671E-2</v>
      </c>
      <c r="H191" s="522">
        <f t="shared" ca="1" si="626"/>
        <v>-5.8173720300743567E-2</v>
      </c>
      <c r="I191" s="522">
        <f t="shared" ca="1" si="626"/>
        <v>-5.6750591556225465E-2</v>
      </c>
      <c r="J191" s="522">
        <f t="shared" ca="1" si="626"/>
        <v>-5.5316020137155607E-2</v>
      </c>
      <c r="K191" s="522">
        <f t="shared" ref="K191" ca="1" si="627">K187/K21</f>
        <v>-5.3876712660132338E-2</v>
      </c>
      <c r="L191" s="602"/>
      <c r="M191" s="522">
        <f t="shared" ref="M191:AA191" si="628">M187/M21</f>
        <v>-7.3262199205321676E-2</v>
      </c>
      <c r="N191" s="522">
        <f t="shared" si="628"/>
        <v>-8.2760681207051101E-2</v>
      </c>
      <c r="O191" s="522">
        <f t="shared" si="628"/>
        <v>-7.2159133639166706E-2</v>
      </c>
      <c r="P191" s="522">
        <f t="shared" si="628"/>
        <v>-7.5128937945533977E-2</v>
      </c>
      <c r="Q191" s="522">
        <f t="shared" si="628"/>
        <v>-6.3603688076261919E-2</v>
      </c>
      <c r="R191" s="522">
        <f t="shared" si="628"/>
        <v>-7.1531391052402304E-2</v>
      </c>
      <c r="S191" s="522">
        <f t="shared" si="628"/>
        <v>-6.7297216995147069E-2</v>
      </c>
      <c r="T191" s="522">
        <f t="shared" si="628"/>
        <v>-7.5414918840051082E-2</v>
      </c>
      <c r="U191" s="522">
        <f t="shared" si="628"/>
        <v>-6.8909811914756217E-2</v>
      </c>
      <c r="V191" s="522">
        <f t="shared" si="628"/>
        <v>-6.9415238667279097E-2</v>
      </c>
      <c r="W191" s="522">
        <f t="shared" si="628"/>
        <v>-6.4864812712774111E-2</v>
      </c>
      <c r="X191" s="522">
        <f t="shared" si="628"/>
        <v>-6.056452584648752E-2</v>
      </c>
      <c r="Y191" s="522">
        <f t="shared" si="628"/>
        <v>-6.0173500348746009E-2</v>
      </c>
      <c r="Z191" s="522">
        <f t="shared" si="628"/>
        <v>-5.6121886664404472E-2</v>
      </c>
      <c r="AA191" s="522">
        <f t="shared" si="628"/>
        <v>-5.752217879521062E-2</v>
      </c>
      <c r="AB191" s="522">
        <f t="shared" ref="AB191" si="629">AB187/AB21</f>
        <v>-6.3498667385476368E-2</v>
      </c>
      <c r="AC191" s="480">
        <v>-6.0999999999999999E-2</v>
      </c>
      <c r="AD191" s="480">
        <f t="shared" ref="AD191:AQ191" si="630">AVERAGE(Z191:AC191)+0.0009</f>
        <v>-5.8635683211272868E-2</v>
      </c>
      <c r="AE191" s="480">
        <f t="shared" si="630"/>
        <v>-5.9264132347989967E-2</v>
      </c>
      <c r="AF191" s="480">
        <f t="shared" si="630"/>
        <v>-5.9699620736184802E-2</v>
      </c>
      <c r="AG191" s="480">
        <f t="shared" si="630"/>
        <v>-5.8749859073861904E-2</v>
      </c>
      <c r="AH191" s="480">
        <f t="shared" si="630"/>
        <v>-5.8187323842327388E-2</v>
      </c>
      <c r="AI191" s="480">
        <f t="shared" si="630"/>
        <v>-5.8075234000091014E-2</v>
      </c>
      <c r="AJ191" s="480">
        <f t="shared" si="630"/>
        <v>-5.7778009413116282E-2</v>
      </c>
      <c r="AK191" s="480">
        <f t="shared" si="630"/>
        <v>-5.7297606582349149E-2</v>
      </c>
      <c r="AL191" s="480">
        <f t="shared" si="630"/>
        <v>-5.6934543459470958E-2</v>
      </c>
      <c r="AM191" s="480">
        <f t="shared" si="630"/>
        <v>-5.6621348363756853E-2</v>
      </c>
      <c r="AN191" s="480">
        <f t="shared" si="630"/>
        <v>-5.6257876954673311E-2</v>
      </c>
      <c r="AO191" s="480">
        <f t="shared" si="630"/>
        <v>-5.5877843840062572E-2</v>
      </c>
      <c r="AP191" s="480">
        <f t="shared" si="630"/>
        <v>-5.5522903154490919E-2</v>
      </c>
      <c r="AQ191" s="480">
        <f t="shared" si="630"/>
        <v>-5.5169993078245924E-2</v>
      </c>
      <c r="AR191" s="480">
        <f t="shared" ref="AR191" si="631">AVERAGE(AN191:AQ191)+0.0009</f>
        <v>-5.480715425686819E-2</v>
      </c>
      <c r="AS191" s="480">
        <f t="shared" ref="AS191" si="632">AVERAGE(AO191:AR191)+0.0009</f>
        <v>-5.4444473582416907E-2</v>
      </c>
      <c r="AT191" s="480">
        <f t="shared" ref="AT191" si="633">AVERAGE(AP191:AS191)+0.0009</f>
        <v>-5.4086131018005489E-2</v>
      </c>
      <c r="AU191" s="480">
        <f t="shared" ref="AU191" si="634">AVERAGE(AQ191:AT191)+0.0009</f>
        <v>-5.3726937983884129E-2</v>
      </c>
      <c r="AV191" s="480">
        <f t="shared" ref="AV191" si="635">AVERAGE(AR191:AU191)+0.0009</f>
        <v>-5.3366174210293688E-2</v>
      </c>
    </row>
    <row r="193" spans="1:49">
      <c r="B193" s="585" t="s">
        <v>1035</v>
      </c>
      <c r="C193" s="585"/>
      <c r="D193" s="585"/>
      <c r="E193" s="585"/>
      <c r="F193" s="585"/>
      <c r="G193" s="585"/>
      <c r="H193" s="585"/>
      <c r="I193" s="585"/>
      <c r="J193" s="585"/>
      <c r="K193" s="585"/>
      <c r="L193" s="605"/>
      <c r="M193" s="523"/>
      <c r="N193" s="523"/>
      <c r="O193" s="523"/>
      <c r="P193" s="523"/>
      <c r="Q193" s="523"/>
      <c r="R193" s="523"/>
      <c r="S193" s="523"/>
      <c r="T193" s="523"/>
      <c r="U193" s="523"/>
      <c r="V193" s="523"/>
      <c r="W193" s="523"/>
      <c r="X193" s="523"/>
      <c r="Y193" s="524"/>
      <c r="Z193" s="524"/>
      <c r="AA193" s="524"/>
      <c r="AB193" s="523"/>
      <c r="AC193" s="523"/>
      <c r="AD193" s="523"/>
      <c r="AE193" s="523"/>
      <c r="AF193" s="523"/>
      <c r="AG193" s="523"/>
      <c r="AH193" s="523"/>
      <c r="AI193" s="523"/>
      <c r="AJ193" s="523"/>
      <c r="AK193" s="523"/>
      <c r="AL193" s="523"/>
      <c r="AM193" s="523"/>
      <c r="AN193" s="523"/>
      <c r="AO193" s="523"/>
      <c r="AP193" s="523"/>
      <c r="AQ193" s="523"/>
      <c r="AR193" s="523"/>
      <c r="AS193" s="523"/>
      <c r="AT193" s="523"/>
      <c r="AU193" s="523"/>
      <c r="AV193" s="523"/>
    </row>
    <row r="194" spans="1:49" s="258" customFormat="1">
      <c r="A194" s="460"/>
      <c r="B194" s="573" t="s">
        <v>1034</v>
      </c>
      <c r="C194" s="588">
        <f>SUM(M194:P194)</f>
        <v>18.86</v>
      </c>
      <c r="D194" s="588">
        <f>SUM(Q194:T194)</f>
        <v>35.939999999999991</v>
      </c>
      <c r="E194" s="588">
        <f>SUM(U194:X194)</f>
        <v>201.4</v>
      </c>
      <c r="F194" s="588">
        <f>SUM(Y194:AB194)</f>
        <v>167.14</v>
      </c>
      <c r="G194" s="588"/>
      <c r="H194" s="588"/>
      <c r="I194" s="588"/>
      <c r="J194" s="588"/>
      <c r="K194" s="588"/>
      <c r="L194" s="599"/>
      <c r="M194" s="460">
        <f t="shared" ref="M194:AA194" si="636">SUM(M198:M205)</f>
        <v>4.1100000000000003</v>
      </c>
      <c r="N194" s="460">
        <f t="shared" si="636"/>
        <v>6.120000000000001</v>
      </c>
      <c r="O194" s="460">
        <f t="shared" si="636"/>
        <v>6.1399999999999988</v>
      </c>
      <c r="P194" s="460">
        <f t="shared" si="636"/>
        <v>2.4900000000000015</v>
      </c>
      <c r="Q194" s="460">
        <f t="shared" si="636"/>
        <v>5.0600000000000005</v>
      </c>
      <c r="R194" s="460">
        <f t="shared" si="636"/>
        <v>9.1099999999999977</v>
      </c>
      <c r="S194" s="460">
        <f t="shared" si="636"/>
        <v>11.549999999999997</v>
      </c>
      <c r="T194" s="460">
        <f t="shared" si="636"/>
        <v>10.219999999999995</v>
      </c>
      <c r="U194" s="460">
        <f t="shared" si="636"/>
        <v>31.909999999999997</v>
      </c>
      <c r="V194" s="460">
        <f t="shared" si="636"/>
        <v>51.25</v>
      </c>
      <c r="W194" s="460">
        <f t="shared" si="636"/>
        <v>39.18</v>
      </c>
      <c r="X194" s="460">
        <f t="shared" si="636"/>
        <v>79.06</v>
      </c>
      <c r="Y194" s="460">
        <f t="shared" si="636"/>
        <v>75.849999999999994</v>
      </c>
      <c r="Z194" s="460">
        <f t="shared" si="636"/>
        <v>25.060000000000002</v>
      </c>
      <c r="AA194" s="460">
        <f t="shared" si="636"/>
        <v>87.62</v>
      </c>
      <c r="AB194" s="460">
        <v>-21.39</v>
      </c>
      <c r="AC194" s="460"/>
      <c r="AD194" s="460"/>
      <c r="AE194" s="460"/>
      <c r="AF194" s="460"/>
      <c r="AG194" s="460"/>
      <c r="AH194" s="460"/>
      <c r="AI194" s="460"/>
      <c r="AJ194" s="460"/>
      <c r="AK194" s="460"/>
      <c r="AL194" s="460"/>
      <c r="AM194" s="460"/>
      <c r="AN194" s="460"/>
      <c r="AO194" s="460"/>
      <c r="AP194" s="460"/>
      <c r="AQ194" s="460"/>
      <c r="AR194" s="460"/>
      <c r="AS194" s="460"/>
      <c r="AT194" s="460"/>
      <c r="AU194" s="460"/>
      <c r="AV194" s="460"/>
      <c r="AW194" s="460"/>
    </row>
    <row r="195" spans="1:49">
      <c r="B195" s="579" t="s">
        <v>315</v>
      </c>
      <c r="C195" s="559"/>
      <c r="D195" s="608">
        <f>D194/C194-1</f>
        <v>0.90562036055143125</v>
      </c>
      <c r="E195" s="608">
        <f t="shared" ref="E195:F195" si="637">E194/D194-1</f>
        <v>4.6037840845854214</v>
      </c>
      <c r="F195" s="608">
        <f t="shared" si="637"/>
        <v>-0.17010923535253242</v>
      </c>
      <c r="G195" s="608"/>
      <c r="H195" s="608"/>
      <c r="I195" s="608"/>
      <c r="J195" s="608"/>
      <c r="K195" s="608"/>
      <c r="L195" s="602"/>
      <c r="M195" s="500"/>
      <c r="N195" s="500"/>
      <c r="O195" s="500"/>
      <c r="P195" s="500"/>
      <c r="Q195" s="500">
        <f>Q194/M194-1</f>
        <v>0.23114355231143557</v>
      </c>
      <c r="R195" s="500">
        <f t="shared" ref="R195" si="638">R194/N194-1</f>
        <v>0.48856209150326735</v>
      </c>
      <c r="S195" s="500">
        <f t="shared" ref="S195" si="639">S194/O194-1</f>
        <v>0.88110749185667747</v>
      </c>
      <c r="T195" s="500">
        <f t="shared" ref="T195" si="640">T194/P194-1</f>
        <v>3.1044176706827269</v>
      </c>
      <c r="U195" s="500">
        <f t="shared" ref="U195" si="641">U194/Q194-1</f>
        <v>5.3063241106719357</v>
      </c>
      <c r="V195" s="500">
        <f t="shared" ref="V195" si="642">V194/R194-1</f>
        <v>4.6256860592755231</v>
      </c>
      <c r="W195" s="500">
        <f t="shared" ref="W195" si="643">W194/S194-1</f>
        <v>2.3922077922077931</v>
      </c>
      <c r="X195" s="500">
        <f t="shared" ref="X195" si="644">X194/T194-1</f>
        <v>6.735812133072411</v>
      </c>
      <c r="Y195" s="500">
        <f t="shared" ref="Y195" si="645">Y194/U194-1</f>
        <v>1.3769978063303041</v>
      </c>
      <c r="Z195" s="500">
        <f t="shared" ref="Z195" si="646">Z194/V194-1</f>
        <v>-0.51102439024390245</v>
      </c>
      <c r="AA195" s="500">
        <f t="shared" ref="AA195:AB195" si="647">AA194/W194-1</f>
        <v>1.2363450740173558</v>
      </c>
      <c r="AB195" s="500">
        <f t="shared" si="647"/>
        <v>-1.2705540096129522</v>
      </c>
      <c r="AC195" s="500"/>
      <c r="AD195" s="500"/>
      <c r="AE195" s="500"/>
      <c r="AF195" s="500"/>
      <c r="AG195" s="500"/>
      <c r="AH195" s="500"/>
      <c r="AI195" s="500"/>
      <c r="AJ195" s="500"/>
      <c r="AK195" s="500"/>
      <c r="AL195" s="500"/>
      <c r="AM195" s="500"/>
      <c r="AN195" s="500"/>
      <c r="AO195" s="500"/>
      <c r="AP195" s="500"/>
      <c r="AQ195" s="500"/>
      <c r="AR195" s="500"/>
      <c r="AS195" s="500"/>
      <c r="AT195" s="500"/>
      <c r="AU195" s="500"/>
      <c r="AV195" s="500"/>
    </row>
    <row r="196" spans="1:49">
      <c r="B196" s="579" t="s">
        <v>347</v>
      </c>
      <c r="C196" s="579"/>
      <c r="D196" s="579"/>
      <c r="E196" s="579"/>
      <c r="F196" s="579"/>
      <c r="G196" s="579"/>
      <c r="H196" s="579"/>
      <c r="I196" s="579"/>
      <c r="J196" s="579"/>
      <c r="K196" s="579"/>
      <c r="L196" s="602"/>
      <c r="M196" s="500"/>
      <c r="N196" s="500">
        <f>N194/M194-1</f>
        <v>0.48905109489051113</v>
      </c>
      <c r="O196" s="500">
        <f t="shared" ref="O196:AB196" si="648">O194/N194-1</f>
        <v>3.2679738562086946E-3</v>
      </c>
      <c r="P196" s="500">
        <f t="shared" si="648"/>
        <v>-0.59446254071661198</v>
      </c>
      <c r="Q196" s="500">
        <f t="shared" si="648"/>
        <v>1.032128514056224</v>
      </c>
      <c r="R196" s="500">
        <f t="shared" si="648"/>
        <v>0.80039525691699542</v>
      </c>
      <c r="S196" s="500">
        <f t="shared" si="648"/>
        <v>0.26783754116355651</v>
      </c>
      <c r="T196" s="500">
        <f t="shared" si="648"/>
        <v>-0.11515151515151534</v>
      </c>
      <c r="U196" s="500">
        <f t="shared" si="648"/>
        <v>2.1223091976516644</v>
      </c>
      <c r="V196" s="500">
        <f t="shared" si="648"/>
        <v>0.60607959887182727</v>
      </c>
      <c r="W196" s="500">
        <f t="shared" si="648"/>
        <v>-0.23551219512195121</v>
      </c>
      <c r="X196" s="500">
        <f t="shared" si="648"/>
        <v>1.0178662582950486</v>
      </c>
      <c r="Y196" s="500">
        <f t="shared" si="648"/>
        <v>-4.0602074373893293E-2</v>
      </c>
      <c r="Z196" s="500">
        <f t="shared" si="648"/>
        <v>-0.66961107448912327</v>
      </c>
      <c r="AA196" s="500">
        <f t="shared" si="648"/>
        <v>2.4964086193136472</v>
      </c>
      <c r="AB196" s="500">
        <f t="shared" si="648"/>
        <v>-1.2441223464962337</v>
      </c>
      <c r="AC196" s="500"/>
      <c r="AD196" s="500"/>
      <c r="AE196" s="500"/>
      <c r="AF196" s="500"/>
      <c r="AG196" s="500"/>
      <c r="AH196" s="500"/>
      <c r="AI196" s="500"/>
      <c r="AJ196" s="500"/>
      <c r="AK196" s="500"/>
      <c r="AL196" s="500"/>
      <c r="AM196" s="500"/>
      <c r="AN196" s="500"/>
      <c r="AO196" s="500"/>
      <c r="AP196" s="500"/>
      <c r="AQ196" s="500"/>
      <c r="AR196" s="500"/>
      <c r="AS196" s="500"/>
      <c r="AT196" s="500"/>
      <c r="AU196" s="500"/>
      <c r="AV196" s="500"/>
    </row>
    <row r="197" spans="1:49">
      <c r="B197" s="579"/>
      <c r="C197" s="579"/>
      <c r="D197" s="579"/>
      <c r="E197" s="579"/>
      <c r="F197" s="579"/>
      <c r="G197" s="579"/>
      <c r="H197" s="579"/>
      <c r="I197" s="579"/>
      <c r="J197" s="579"/>
      <c r="K197" s="579"/>
      <c r="L197" s="602"/>
      <c r="M197" s="500"/>
      <c r="N197" s="500"/>
      <c r="O197" s="500"/>
      <c r="P197" s="500"/>
      <c r="Q197" s="500"/>
      <c r="R197" s="500"/>
      <c r="S197" s="500"/>
      <c r="T197" s="500"/>
      <c r="U197" s="500"/>
      <c r="V197" s="500"/>
      <c r="W197" s="500"/>
      <c r="X197" s="500"/>
      <c r="Y197" s="500"/>
      <c r="Z197" s="500"/>
      <c r="AA197" s="500"/>
      <c r="AB197" s="500"/>
      <c r="AC197" s="500"/>
      <c r="AD197" s="500"/>
      <c r="AE197" s="500"/>
      <c r="AF197" s="500"/>
      <c r="AG197" s="500"/>
      <c r="AH197" s="500"/>
      <c r="AI197" s="500"/>
      <c r="AJ197" s="500"/>
      <c r="AK197" s="500"/>
      <c r="AL197" s="500"/>
      <c r="AM197" s="500"/>
      <c r="AN197" s="500"/>
      <c r="AO197" s="500"/>
      <c r="AP197" s="500"/>
      <c r="AQ197" s="500"/>
      <c r="AR197" s="500"/>
      <c r="AS197" s="500"/>
      <c r="AT197" s="500"/>
      <c r="AU197" s="500"/>
      <c r="AV197" s="500"/>
    </row>
    <row r="198" spans="1:49">
      <c r="B198" s="558" t="s">
        <v>409</v>
      </c>
      <c r="C198" s="607">
        <f>SUM(M198:P198)</f>
        <v>38.129999999999995</v>
      </c>
      <c r="D198" s="607">
        <f>SUM(Q198:T198)</f>
        <v>69.66</v>
      </c>
      <c r="E198" s="607">
        <f>SUM(U198:X198)</f>
        <v>135.18</v>
      </c>
      <c r="F198" s="607">
        <f t="shared" ref="F198:F205" si="649">SUM(Y198:AB198)</f>
        <v>29.32</v>
      </c>
      <c r="G198" s="558"/>
      <c r="H198" s="558"/>
      <c r="I198" s="558"/>
      <c r="J198" s="558"/>
      <c r="K198" s="558"/>
      <c r="L198" s="590"/>
      <c r="M198" s="450">
        <v>8.39</v>
      </c>
      <c r="N198" s="450">
        <v>14.87</v>
      </c>
      <c r="O198" s="450">
        <v>10.199999999999999</v>
      </c>
      <c r="P198" s="450">
        <v>4.6700000000000035</v>
      </c>
      <c r="Q198" s="450">
        <v>7.33</v>
      </c>
      <c r="R198" s="450">
        <v>23.27</v>
      </c>
      <c r="S198" s="450">
        <v>24.04</v>
      </c>
      <c r="T198" s="450">
        <v>15.019999999999998</v>
      </c>
      <c r="U198" s="450">
        <v>27.28</v>
      </c>
      <c r="V198" s="450">
        <v>31.32</v>
      </c>
      <c r="W198" s="450">
        <v>17.309999999999999</v>
      </c>
      <c r="X198" s="450">
        <v>59.27000000000001</v>
      </c>
      <c r="Y198" s="450">
        <v>15.72</v>
      </c>
      <c r="Z198" s="450">
        <v>7.25</v>
      </c>
      <c r="AA198" s="450">
        <v>5.28</v>
      </c>
      <c r="AB198" s="450">
        <f>29.32-AA198-Z198-Y198</f>
        <v>1.0699999999999985</v>
      </c>
      <c r="AC198" s="450"/>
      <c r="AD198" s="450"/>
      <c r="AE198" s="450"/>
      <c r="AF198" s="450"/>
      <c r="AG198" s="450"/>
      <c r="AH198" s="450"/>
      <c r="AI198" s="450"/>
      <c r="AJ198" s="450"/>
      <c r="AK198" s="450"/>
      <c r="AL198" s="450"/>
      <c r="AM198" s="450"/>
      <c r="AN198" s="450"/>
      <c r="AO198" s="450"/>
      <c r="AP198" s="450"/>
      <c r="AQ198" s="450"/>
      <c r="AR198" s="450"/>
      <c r="AS198" s="450"/>
      <c r="AT198" s="450"/>
      <c r="AU198" s="450"/>
      <c r="AV198" s="450"/>
    </row>
    <row r="199" spans="1:49">
      <c r="B199" s="558" t="s">
        <v>410</v>
      </c>
      <c r="C199" s="607">
        <f t="shared" ref="C199:C205" si="650">SUM(M199:P199)</f>
        <v>0</v>
      </c>
      <c r="D199" s="607">
        <f t="shared" ref="D199:D205" si="651">SUM(Q199:T199)</f>
        <v>0</v>
      </c>
      <c r="E199" s="607">
        <f t="shared" ref="E199:E205" si="652">SUM(U199:X199)</f>
        <v>0</v>
      </c>
      <c r="F199" s="607">
        <f t="shared" si="649"/>
        <v>287.38</v>
      </c>
      <c r="G199" s="558"/>
      <c r="H199" s="558"/>
      <c r="I199" s="558"/>
      <c r="J199" s="558"/>
      <c r="K199" s="558"/>
      <c r="L199" s="590"/>
      <c r="M199" s="450">
        <v>0</v>
      </c>
      <c r="N199" s="450">
        <v>0</v>
      </c>
      <c r="O199" s="450">
        <v>0</v>
      </c>
      <c r="P199" s="450">
        <v>0</v>
      </c>
      <c r="Q199" s="450">
        <v>0</v>
      </c>
      <c r="R199" s="450">
        <v>0</v>
      </c>
      <c r="S199" s="450">
        <v>0</v>
      </c>
      <c r="T199" s="450">
        <v>0</v>
      </c>
      <c r="U199" s="450">
        <v>0</v>
      </c>
      <c r="V199" s="450">
        <v>0</v>
      </c>
      <c r="W199" s="450">
        <v>0</v>
      </c>
      <c r="X199" s="450">
        <v>0</v>
      </c>
      <c r="Y199" s="450">
        <v>60.42</v>
      </c>
      <c r="Z199" s="450">
        <v>29.46</v>
      </c>
      <c r="AA199" s="450">
        <v>201.46</v>
      </c>
      <c r="AB199" s="450">
        <f>287.38-AA199-Z199-Y199</f>
        <v>-3.9600000000000151</v>
      </c>
      <c r="AC199" s="450"/>
      <c r="AD199" s="450"/>
      <c r="AE199" s="450"/>
      <c r="AF199" s="450"/>
      <c r="AG199" s="450"/>
      <c r="AH199" s="450"/>
      <c r="AI199" s="450"/>
      <c r="AJ199" s="450"/>
      <c r="AK199" s="450"/>
      <c r="AL199" s="450"/>
      <c r="AM199" s="450"/>
      <c r="AN199" s="450"/>
      <c r="AO199" s="450"/>
      <c r="AP199" s="450"/>
      <c r="AQ199" s="450"/>
      <c r="AR199" s="450"/>
      <c r="AS199" s="450"/>
      <c r="AT199" s="450"/>
      <c r="AU199" s="450"/>
      <c r="AV199" s="450"/>
    </row>
    <row r="200" spans="1:49">
      <c r="B200" s="558" t="s">
        <v>411</v>
      </c>
      <c r="C200" s="607">
        <f t="shared" si="650"/>
        <v>4.62</v>
      </c>
      <c r="D200" s="607">
        <f t="shared" si="651"/>
        <v>6.58</v>
      </c>
      <c r="E200" s="607">
        <f t="shared" si="652"/>
        <v>42.97999999999999</v>
      </c>
      <c r="F200" s="607">
        <f t="shared" si="649"/>
        <v>10.19</v>
      </c>
      <c r="G200" s="558"/>
      <c r="H200" s="558"/>
      <c r="I200" s="558"/>
      <c r="J200" s="558"/>
      <c r="K200" s="558"/>
      <c r="L200" s="590"/>
      <c r="M200" s="450">
        <v>0</v>
      </c>
      <c r="N200" s="450">
        <v>0</v>
      </c>
      <c r="O200" s="450">
        <v>0</v>
      </c>
      <c r="P200" s="450">
        <v>4.62</v>
      </c>
      <c r="Q200" s="450">
        <v>0</v>
      </c>
      <c r="R200" s="450">
        <v>6.63</v>
      </c>
      <c r="S200" s="450">
        <v>0</v>
      </c>
      <c r="T200" s="450">
        <v>-4.9999999999999822E-2</v>
      </c>
      <c r="U200" s="450">
        <v>0</v>
      </c>
      <c r="V200" s="450">
        <v>24.87</v>
      </c>
      <c r="W200" s="450">
        <v>14.38</v>
      </c>
      <c r="X200" s="450">
        <v>3.7299999999999933</v>
      </c>
      <c r="Y200" s="450">
        <v>0</v>
      </c>
      <c r="Z200" s="450">
        <v>3.39</v>
      </c>
      <c r="AA200" s="450">
        <v>2.75</v>
      </c>
      <c r="AB200" s="450">
        <f>10.19-AA200-Z200</f>
        <v>4.0499999999999989</v>
      </c>
      <c r="AC200" s="450"/>
      <c r="AD200" s="450"/>
      <c r="AE200" s="450"/>
      <c r="AF200" s="450"/>
      <c r="AG200" s="450"/>
      <c r="AH200" s="450"/>
      <c r="AI200" s="450"/>
      <c r="AJ200" s="450"/>
      <c r="AK200" s="450"/>
      <c r="AL200" s="450"/>
      <c r="AM200" s="450"/>
      <c r="AN200" s="450"/>
      <c r="AO200" s="450"/>
      <c r="AP200" s="450"/>
      <c r="AQ200" s="450"/>
      <c r="AR200" s="450"/>
      <c r="AS200" s="450"/>
      <c r="AT200" s="450"/>
      <c r="AU200" s="450"/>
      <c r="AV200" s="450"/>
    </row>
    <row r="201" spans="1:49">
      <c r="B201" s="558" t="s">
        <v>412</v>
      </c>
      <c r="C201" s="607">
        <f t="shared" si="650"/>
        <v>-23.73</v>
      </c>
      <c r="D201" s="607">
        <f t="shared" si="651"/>
        <v>-48.090000000000011</v>
      </c>
      <c r="E201" s="607">
        <f t="shared" si="652"/>
        <v>-27.94</v>
      </c>
      <c r="F201" s="607">
        <f t="shared" si="649"/>
        <v>-175.77</v>
      </c>
      <c r="G201" s="558"/>
      <c r="H201" s="558"/>
      <c r="I201" s="558"/>
      <c r="J201" s="558"/>
      <c r="K201" s="558"/>
      <c r="L201" s="590"/>
      <c r="M201" s="450">
        <v>-2.23</v>
      </c>
      <c r="N201" s="450">
        <v>-10.52</v>
      </c>
      <c r="O201" s="450">
        <v>-3.79</v>
      </c>
      <c r="P201" s="450">
        <v>-7.1900000000000013</v>
      </c>
      <c r="Q201" s="450">
        <v>-0.6</v>
      </c>
      <c r="R201" s="450">
        <v>-24.37</v>
      </c>
      <c r="S201" s="450">
        <v>-17.100000000000001</v>
      </c>
      <c r="T201" s="450">
        <v>-6.0200000000000014</v>
      </c>
      <c r="U201" s="450">
        <v>-5.03</v>
      </c>
      <c r="V201" s="450">
        <v>-15.72</v>
      </c>
      <c r="W201" s="450">
        <v>-2.95</v>
      </c>
      <c r="X201" s="450">
        <v>-4.2400000000000011</v>
      </c>
      <c r="Y201" s="450">
        <v>-6.36</v>
      </c>
      <c r="Z201" s="450">
        <v>-25.64</v>
      </c>
      <c r="AA201" s="450">
        <v>-135.13</v>
      </c>
      <c r="AB201" s="450">
        <f>-175.77-AA201-Z201-Y201</f>
        <v>-8.6400000000000148</v>
      </c>
      <c r="AC201" s="450"/>
      <c r="AD201" s="450"/>
      <c r="AE201" s="450"/>
      <c r="AF201" s="450"/>
      <c r="AG201" s="450"/>
      <c r="AH201" s="450"/>
      <c r="AI201" s="450"/>
      <c r="AJ201" s="450"/>
      <c r="AK201" s="450"/>
      <c r="AL201" s="450"/>
      <c r="AM201" s="450"/>
      <c r="AN201" s="450"/>
      <c r="AO201" s="450"/>
      <c r="AP201" s="450"/>
      <c r="AQ201" s="450"/>
      <c r="AR201" s="450"/>
      <c r="AS201" s="450"/>
      <c r="AT201" s="450"/>
      <c r="AU201" s="450"/>
      <c r="AV201" s="450"/>
    </row>
    <row r="202" spans="1:49">
      <c r="B202" s="558" t="s">
        <v>413</v>
      </c>
      <c r="C202" s="607">
        <f t="shared" si="650"/>
        <v>3.31</v>
      </c>
      <c r="D202" s="607">
        <f t="shared" si="651"/>
        <v>3.8</v>
      </c>
      <c r="E202" s="607">
        <f t="shared" si="652"/>
        <v>39.71</v>
      </c>
      <c r="F202" s="607">
        <f t="shared" si="649"/>
        <v>34.56</v>
      </c>
      <c r="G202" s="558"/>
      <c r="H202" s="558"/>
      <c r="I202" s="558"/>
      <c r="J202" s="558"/>
      <c r="K202" s="558"/>
      <c r="L202" s="590"/>
      <c r="M202" s="450">
        <v>0.09</v>
      </c>
      <c r="N202" s="450">
        <v>0.56000000000000005</v>
      </c>
      <c r="O202" s="450">
        <v>0.41</v>
      </c>
      <c r="P202" s="450">
        <v>2.25</v>
      </c>
      <c r="Q202" s="450">
        <v>1.32</v>
      </c>
      <c r="R202" s="450">
        <v>1.54</v>
      </c>
      <c r="S202" s="450">
        <v>0.27</v>
      </c>
      <c r="T202" s="450">
        <v>0.66999999999999971</v>
      </c>
      <c r="U202" s="450">
        <v>8.0399999999999991</v>
      </c>
      <c r="V202" s="450">
        <v>10.14</v>
      </c>
      <c r="W202" s="450">
        <v>11.71</v>
      </c>
      <c r="X202" s="450">
        <v>9.82</v>
      </c>
      <c r="Y202" s="450">
        <v>12.24</v>
      </c>
      <c r="Z202" s="450">
        <v>7.04</v>
      </c>
      <c r="AA202" s="450">
        <v>6.92</v>
      </c>
      <c r="AB202" s="450">
        <f>34.56-AA202-Z202-Y202</f>
        <v>8.3600000000000012</v>
      </c>
      <c r="AC202" s="450"/>
      <c r="AD202" s="450"/>
      <c r="AE202" s="450"/>
      <c r="AF202" s="450"/>
      <c r="AG202" s="450"/>
      <c r="AH202" s="450"/>
      <c r="AI202" s="450"/>
      <c r="AJ202" s="450"/>
      <c r="AK202" s="450"/>
      <c r="AL202" s="450"/>
      <c r="AM202" s="450"/>
      <c r="AN202" s="450"/>
      <c r="AO202" s="450"/>
      <c r="AP202" s="450"/>
      <c r="AQ202" s="450"/>
      <c r="AR202" s="450"/>
      <c r="AS202" s="450"/>
      <c r="AT202" s="450"/>
      <c r="AU202" s="450"/>
      <c r="AV202" s="450"/>
    </row>
    <row r="203" spans="1:49">
      <c r="B203" s="558" t="s">
        <v>414</v>
      </c>
      <c r="C203" s="607">
        <f t="shared" si="650"/>
        <v>2.72</v>
      </c>
      <c r="D203" s="607">
        <f t="shared" si="651"/>
        <v>5.63</v>
      </c>
      <c r="E203" s="607">
        <f t="shared" si="652"/>
        <v>17.13</v>
      </c>
      <c r="F203" s="607">
        <f t="shared" si="649"/>
        <v>6.86</v>
      </c>
      <c r="G203" s="558"/>
      <c r="H203" s="558"/>
      <c r="I203" s="558"/>
      <c r="J203" s="558"/>
      <c r="K203" s="558"/>
      <c r="L203" s="590"/>
      <c r="M203" s="450">
        <v>0.41</v>
      </c>
      <c r="N203" s="450">
        <v>1.73</v>
      </c>
      <c r="O203" s="450">
        <v>0.3</v>
      </c>
      <c r="P203" s="450">
        <v>0.28000000000000042</v>
      </c>
      <c r="Q203" s="450">
        <v>0.18</v>
      </c>
      <c r="R203" s="450">
        <v>0.33</v>
      </c>
      <c r="S203" s="450">
        <v>3.41</v>
      </c>
      <c r="T203" s="450">
        <v>1.7099999999999997</v>
      </c>
      <c r="U203" s="450">
        <v>6.76</v>
      </c>
      <c r="V203" s="450">
        <v>0.97</v>
      </c>
      <c r="W203" s="450">
        <v>0.61</v>
      </c>
      <c r="X203" s="450">
        <v>8.7899999999999991</v>
      </c>
      <c r="Y203" s="450">
        <v>0.45</v>
      </c>
      <c r="Z203" s="450">
        <v>2.74</v>
      </c>
      <c r="AA203" s="450">
        <v>2.99</v>
      </c>
      <c r="AB203" s="450">
        <f>6.86-AA203-Z203-Y203</f>
        <v>0.67999999999999994</v>
      </c>
      <c r="AC203" s="450"/>
      <c r="AD203" s="450"/>
      <c r="AE203" s="450"/>
      <c r="AF203" s="450"/>
      <c r="AG203" s="450"/>
      <c r="AH203" s="450"/>
      <c r="AI203" s="450"/>
      <c r="AJ203" s="450"/>
      <c r="AK203" s="450"/>
      <c r="AL203" s="450"/>
      <c r="AM203" s="450"/>
      <c r="AN203" s="450"/>
      <c r="AO203" s="450"/>
      <c r="AP203" s="450"/>
      <c r="AQ203" s="450"/>
      <c r="AR203" s="450"/>
      <c r="AS203" s="450"/>
      <c r="AT203" s="450"/>
      <c r="AU203" s="450"/>
      <c r="AV203" s="450"/>
    </row>
    <row r="204" spans="1:49">
      <c r="B204" s="558" t="s">
        <v>415</v>
      </c>
      <c r="C204" s="607">
        <f t="shared" si="650"/>
        <v>-4.7</v>
      </c>
      <c r="D204" s="607">
        <f t="shared" si="651"/>
        <v>-5.7</v>
      </c>
      <c r="E204" s="607">
        <f t="shared" si="652"/>
        <v>-8.1999999999999993</v>
      </c>
      <c r="F204" s="607">
        <f t="shared" si="649"/>
        <v>-7.3</v>
      </c>
      <c r="G204" s="558"/>
      <c r="H204" s="558"/>
      <c r="I204" s="558"/>
      <c r="J204" s="558"/>
      <c r="K204" s="558"/>
      <c r="L204" s="590"/>
      <c r="M204" s="450">
        <v>-2.5</v>
      </c>
      <c r="N204" s="450">
        <v>0</v>
      </c>
      <c r="O204" s="450">
        <v>0</v>
      </c>
      <c r="P204" s="450">
        <v>-2.2000000000000002</v>
      </c>
      <c r="Q204" s="450">
        <v>-3.5</v>
      </c>
      <c r="R204" s="450">
        <v>0</v>
      </c>
      <c r="S204" s="450">
        <v>0</v>
      </c>
      <c r="T204" s="450">
        <v>-2.2000000000000002</v>
      </c>
      <c r="U204" s="450">
        <v>-5.5</v>
      </c>
      <c r="V204" s="450">
        <v>0</v>
      </c>
      <c r="W204" s="450">
        <v>0</v>
      </c>
      <c r="X204" s="450">
        <v>-2.6999999999999993</v>
      </c>
      <c r="Y204" s="450">
        <v>-5.7</v>
      </c>
      <c r="Z204" s="450">
        <v>0</v>
      </c>
      <c r="AA204" s="450">
        <v>0</v>
      </c>
      <c r="AB204" s="450">
        <f>-7.3-AA204-Z204-Y204</f>
        <v>-1.5999999999999996</v>
      </c>
      <c r="AC204" s="450"/>
      <c r="AD204" s="450"/>
      <c r="AE204" s="450"/>
      <c r="AF204" s="450"/>
      <c r="AG204" s="450"/>
      <c r="AH204" s="450"/>
      <c r="AI204" s="450"/>
      <c r="AJ204" s="450"/>
      <c r="AK204" s="450"/>
      <c r="AL204" s="450"/>
      <c r="AM204" s="450"/>
      <c r="AN204" s="450"/>
      <c r="AO204" s="450"/>
      <c r="AP204" s="450"/>
      <c r="AQ204" s="450"/>
      <c r="AR204" s="450"/>
      <c r="AS204" s="450"/>
      <c r="AT204" s="450"/>
      <c r="AU204" s="450"/>
      <c r="AV204" s="450"/>
    </row>
    <row r="205" spans="1:49">
      <c r="B205" s="558" t="s">
        <v>416</v>
      </c>
      <c r="C205" s="607">
        <f t="shared" si="650"/>
        <v>-1.49</v>
      </c>
      <c r="D205" s="607">
        <f t="shared" si="651"/>
        <v>4.0599999999999996</v>
      </c>
      <c r="E205" s="607">
        <f t="shared" si="652"/>
        <v>2.54</v>
      </c>
      <c r="F205" s="607">
        <f t="shared" si="649"/>
        <v>-18.100000000000001</v>
      </c>
      <c r="G205" s="558"/>
      <c r="H205" s="558"/>
      <c r="I205" s="558"/>
      <c r="J205" s="558"/>
      <c r="K205" s="558"/>
      <c r="L205" s="590"/>
      <c r="M205" s="450">
        <v>-0.05</v>
      </c>
      <c r="N205" s="450">
        <v>-0.52</v>
      </c>
      <c r="O205" s="450">
        <v>-0.98</v>
      </c>
      <c r="P205" s="450">
        <v>6.0000000000000012E-2</v>
      </c>
      <c r="Q205" s="450">
        <v>0.33</v>
      </c>
      <c r="R205" s="450">
        <v>1.71</v>
      </c>
      <c r="S205" s="450">
        <v>0.93</v>
      </c>
      <c r="T205" s="450">
        <v>1.0899999999999994</v>
      </c>
      <c r="U205" s="450">
        <v>0.36</v>
      </c>
      <c r="V205" s="450">
        <v>-0.33</v>
      </c>
      <c r="W205" s="450">
        <v>-1.88</v>
      </c>
      <c r="X205" s="450">
        <v>4.3899999999999997</v>
      </c>
      <c r="Y205" s="450">
        <v>-0.92</v>
      </c>
      <c r="Z205" s="450">
        <v>0.82</v>
      </c>
      <c r="AA205" s="450">
        <v>3.35</v>
      </c>
      <c r="AB205" s="450">
        <f>-18.1-AA205-Z205-Y205</f>
        <v>-21.35</v>
      </c>
      <c r="AC205" s="450"/>
      <c r="AD205" s="450"/>
      <c r="AE205" s="450"/>
      <c r="AF205" s="450"/>
      <c r="AG205" s="450"/>
      <c r="AH205" s="450"/>
      <c r="AI205" s="450"/>
      <c r="AJ205" s="450"/>
      <c r="AK205" s="450"/>
      <c r="AL205" s="450"/>
      <c r="AM205" s="450"/>
      <c r="AN205" s="450"/>
      <c r="AO205" s="450"/>
      <c r="AP205" s="450"/>
      <c r="AQ205" s="450"/>
      <c r="AR205" s="450"/>
      <c r="AS205" s="450"/>
      <c r="AT205" s="450"/>
      <c r="AU205" s="450"/>
      <c r="AV205" s="450"/>
    </row>
    <row r="206" spans="1:49">
      <c r="B206" s="450"/>
      <c r="C206" s="450"/>
      <c r="D206" s="450"/>
      <c r="E206" s="450"/>
      <c r="F206" s="450"/>
      <c r="G206" s="450"/>
      <c r="H206" s="450"/>
      <c r="I206" s="450"/>
      <c r="J206" s="450"/>
      <c r="K206" s="450"/>
      <c r="M206" s="450"/>
      <c r="N206" s="450"/>
      <c r="O206" s="450"/>
      <c r="P206" s="450"/>
      <c r="Q206" s="450"/>
      <c r="R206" s="450"/>
      <c r="S206" s="450"/>
      <c r="T206" s="450"/>
      <c r="U206" s="450"/>
      <c r="V206" s="450"/>
      <c r="W206" s="450"/>
      <c r="X206" s="450"/>
      <c r="Y206" s="450"/>
      <c r="Z206" s="450"/>
      <c r="AA206" s="450"/>
      <c r="AB206" s="450"/>
      <c r="AC206" s="450"/>
      <c r="AD206" s="450"/>
      <c r="AE206" s="450"/>
      <c r="AF206" s="450"/>
      <c r="AG206" s="450"/>
      <c r="AH206" s="450"/>
      <c r="AI206" s="450"/>
      <c r="AJ206" s="450"/>
      <c r="AK206" s="450"/>
      <c r="AL206" s="450"/>
      <c r="AM206" s="450"/>
      <c r="AN206" s="450"/>
      <c r="AO206" s="450"/>
      <c r="AP206" s="450"/>
      <c r="AQ206" s="450"/>
      <c r="AR206" s="450"/>
      <c r="AS206" s="450"/>
      <c r="AT206" s="450"/>
      <c r="AU206" s="450"/>
      <c r="AV206" s="450"/>
    </row>
    <row r="207" spans="1:49" s="527" customFormat="1">
      <c r="A207" s="528"/>
      <c r="B207" s="586" t="s">
        <v>417</v>
      </c>
      <c r="C207" s="588">
        <f>SUM(M207:P207)</f>
        <v>-27.93</v>
      </c>
      <c r="D207" s="588">
        <f>SUM(Q207:T207)</f>
        <v>-25.22</v>
      </c>
      <c r="E207" s="588">
        <f>SUM(U207:X207)</f>
        <v>8.2100000000000009</v>
      </c>
      <c r="F207" s="588">
        <f>SUM(Y207:AB207)</f>
        <v>14.870000000000001</v>
      </c>
      <c r="G207" s="586"/>
      <c r="H207" s="586"/>
      <c r="I207" s="586"/>
      <c r="J207" s="586"/>
      <c r="K207" s="586"/>
      <c r="L207" s="586"/>
      <c r="M207" s="528">
        <v>-3.1</v>
      </c>
      <c r="N207" s="528">
        <v>-4.5199999999999996</v>
      </c>
      <c r="O207" s="528">
        <v>-7.02</v>
      </c>
      <c r="P207" s="528">
        <v>-13.29</v>
      </c>
      <c r="Q207" s="528">
        <v>-10.89</v>
      </c>
      <c r="R207" s="528">
        <v>-2.92</v>
      </c>
      <c r="S207" s="528">
        <v>-6.19</v>
      </c>
      <c r="T207" s="528">
        <v>-5.22</v>
      </c>
      <c r="U207" s="528">
        <v>-3.75</v>
      </c>
      <c r="V207" s="528">
        <v>4.9800000000000004</v>
      </c>
      <c r="W207" s="528">
        <v>8.18</v>
      </c>
      <c r="X207" s="528">
        <v>-1.2</v>
      </c>
      <c r="Y207" s="528">
        <v>-3.19</v>
      </c>
      <c r="Z207" s="528">
        <v>15.26</v>
      </c>
      <c r="AA207" s="528">
        <v>2.64</v>
      </c>
      <c r="AB207" s="528">
        <v>0.16</v>
      </c>
      <c r="AC207" s="528"/>
      <c r="AD207" s="528"/>
      <c r="AE207" s="528"/>
      <c r="AF207" s="528"/>
      <c r="AG207" s="528"/>
      <c r="AH207" s="528"/>
      <c r="AI207" s="528"/>
      <c r="AJ207" s="528"/>
      <c r="AK207" s="528"/>
      <c r="AL207" s="528"/>
      <c r="AM207" s="528"/>
      <c r="AN207" s="528"/>
      <c r="AO207" s="528"/>
      <c r="AP207" s="528"/>
      <c r="AQ207" s="528"/>
      <c r="AR207" s="528"/>
      <c r="AS207" s="528"/>
      <c r="AT207" s="528"/>
      <c r="AU207" s="528"/>
      <c r="AV207" s="528"/>
      <c r="AW207" s="528"/>
    </row>
    <row r="208" spans="1:49" s="527" customFormat="1">
      <c r="A208" s="528"/>
      <c r="B208" s="579" t="s">
        <v>315</v>
      </c>
      <c r="C208" s="559"/>
      <c r="D208" s="608">
        <f>D207/C207-1</f>
        <v>-9.7028284998209813E-2</v>
      </c>
      <c r="E208" s="608">
        <f t="shared" ref="E208:F208" si="653">E207/D207-1</f>
        <v>-1.3255352894528154</v>
      </c>
      <c r="F208" s="608">
        <f t="shared" si="653"/>
        <v>0.8112058465286236</v>
      </c>
      <c r="G208" s="579"/>
      <c r="H208" s="579"/>
      <c r="I208" s="579"/>
      <c r="J208" s="579"/>
      <c r="K208" s="579"/>
      <c r="L208" s="602"/>
      <c r="M208" s="500"/>
      <c r="N208" s="500"/>
      <c r="O208" s="500"/>
      <c r="P208" s="500"/>
      <c r="Q208" s="500">
        <f>Q207/M207-1</f>
        <v>2.5129032258064519</v>
      </c>
      <c r="R208" s="500">
        <f t="shared" ref="R208" si="654">R207/N207-1</f>
        <v>-0.35398230088495575</v>
      </c>
      <c r="S208" s="500">
        <f t="shared" ref="S208" si="655">S207/O207-1</f>
        <v>-0.11823361823361811</v>
      </c>
      <c r="T208" s="500">
        <f t="shared" ref="T208" si="656">T207/P207-1</f>
        <v>-0.60722347629796847</v>
      </c>
      <c r="U208" s="500">
        <f t="shared" ref="U208" si="657">U207/Q207-1</f>
        <v>-0.65564738292011016</v>
      </c>
      <c r="V208" s="500">
        <f t="shared" ref="V208" si="658">V207/R207-1</f>
        <v>-2.7054794520547949</v>
      </c>
      <c r="W208" s="500">
        <f t="shared" ref="W208" si="659">W207/S207-1</f>
        <v>-2.3214862681744748</v>
      </c>
      <c r="X208" s="500">
        <f t="shared" ref="X208" si="660">X207/T207-1</f>
        <v>-0.77011494252873569</v>
      </c>
      <c r="Y208" s="500">
        <f t="shared" ref="Y208" si="661">Y207/U207-1</f>
        <v>-0.14933333333333332</v>
      </c>
      <c r="Z208" s="500">
        <f t="shared" ref="Z208" si="662">Z207/V207-1</f>
        <v>2.0642570281124497</v>
      </c>
      <c r="AA208" s="500">
        <f t="shared" ref="AA208:AB208" si="663">AA207/W207-1</f>
        <v>-0.6772616136919315</v>
      </c>
      <c r="AB208" s="500">
        <f t="shared" si="663"/>
        <v>-1.1333333333333333</v>
      </c>
      <c r="AC208" s="528"/>
      <c r="AD208" s="528"/>
      <c r="AE208" s="528"/>
      <c r="AF208" s="528"/>
      <c r="AG208" s="528"/>
      <c r="AH208" s="528"/>
      <c r="AI208" s="528"/>
      <c r="AJ208" s="528"/>
      <c r="AK208" s="528"/>
      <c r="AL208" s="528"/>
      <c r="AM208" s="528"/>
      <c r="AN208" s="528"/>
      <c r="AO208" s="528"/>
      <c r="AP208" s="528"/>
      <c r="AQ208" s="528"/>
      <c r="AR208" s="528"/>
      <c r="AS208" s="528"/>
      <c r="AT208" s="528"/>
      <c r="AU208" s="528"/>
      <c r="AV208" s="528"/>
      <c r="AW208" s="528"/>
    </row>
    <row r="209" spans="1:49" s="527" customFormat="1">
      <c r="A209" s="528"/>
      <c r="B209" s="579" t="s">
        <v>347</v>
      </c>
      <c r="C209" s="579"/>
      <c r="D209" s="579"/>
      <c r="E209" s="579"/>
      <c r="F209" s="579"/>
      <c r="G209" s="579"/>
      <c r="H209" s="579"/>
      <c r="I209" s="579"/>
      <c r="J209" s="579"/>
      <c r="K209" s="579"/>
      <c r="L209" s="602"/>
      <c r="M209" s="500"/>
      <c r="N209" s="500">
        <f>N207/M207-1</f>
        <v>0.45806451612903198</v>
      </c>
      <c r="O209" s="500">
        <f t="shared" ref="O209:AB209" si="664">O207/N207-1</f>
        <v>0.55309734513274345</v>
      </c>
      <c r="P209" s="500">
        <f t="shared" si="664"/>
        <v>0.8931623931623931</v>
      </c>
      <c r="Q209" s="500">
        <f t="shared" si="664"/>
        <v>-0.1805869074492098</v>
      </c>
      <c r="R209" s="500">
        <f t="shared" si="664"/>
        <v>-0.73186409550045917</v>
      </c>
      <c r="S209" s="500">
        <f t="shared" si="664"/>
        <v>1.1198630136986303</v>
      </c>
      <c r="T209" s="500">
        <f t="shared" si="664"/>
        <v>-0.15670436187399039</v>
      </c>
      <c r="U209" s="500">
        <f t="shared" si="664"/>
        <v>-0.28160919540229878</v>
      </c>
      <c r="V209" s="500">
        <f t="shared" si="664"/>
        <v>-2.3280000000000003</v>
      </c>
      <c r="W209" s="500">
        <f t="shared" si="664"/>
        <v>0.64257028112449777</v>
      </c>
      <c r="X209" s="500">
        <f t="shared" si="664"/>
        <v>-1.1466992665036675</v>
      </c>
      <c r="Y209" s="500">
        <f t="shared" si="664"/>
        <v>1.6583333333333332</v>
      </c>
      <c r="Z209" s="500">
        <f t="shared" si="664"/>
        <v>-5.7836990595611288</v>
      </c>
      <c r="AA209" s="500">
        <f t="shared" si="664"/>
        <v>-0.82699868938401044</v>
      </c>
      <c r="AB209" s="500">
        <f t="shared" si="664"/>
        <v>-0.93939393939393945</v>
      </c>
      <c r="AC209" s="528"/>
      <c r="AD209" s="528"/>
      <c r="AE209" s="528"/>
      <c r="AF209" s="528"/>
      <c r="AG209" s="528"/>
      <c r="AH209" s="528"/>
      <c r="AI209" s="528"/>
      <c r="AJ209" s="528"/>
      <c r="AK209" s="528"/>
      <c r="AL209" s="528"/>
      <c r="AM209" s="528"/>
      <c r="AN209" s="528"/>
      <c r="AO209" s="528"/>
      <c r="AP209" s="528"/>
      <c r="AQ209" s="528"/>
      <c r="AR209" s="528"/>
      <c r="AS209" s="528"/>
      <c r="AT209" s="528"/>
      <c r="AU209" s="528"/>
      <c r="AV209" s="528"/>
      <c r="AW209" s="528"/>
    </row>
    <row r="210" spans="1:49">
      <c r="B210" s="558" t="s">
        <v>418</v>
      </c>
      <c r="C210" s="473">
        <f>P210</f>
        <v>607.15000000000009</v>
      </c>
      <c r="D210" s="473">
        <f>T210</f>
        <v>706.71999999999991</v>
      </c>
      <c r="E210" s="473">
        <f>X210</f>
        <v>1216.05</v>
      </c>
      <c r="F210" s="473">
        <f>AB210</f>
        <v>2277.9</v>
      </c>
      <c r="G210" s="558"/>
      <c r="H210" s="558"/>
      <c r="I210" s="558"/>
      <c r="J210" s="558"/>
      <c r="K210" s="558"/>
      <c r="L210" s="590"/>
      <c r="M210" s="473">
        <f>资产!H18+资产!H19</f>
        <v>537.24</v>
      </c>
      <c r="N210" s="473">
        <f>资产!I18+资产!I19</f>
        <v>540.12</v>
      </c>
      <c r="O210" s="473">
        <f>资产!J18+资产!J19</f>
        <v>579.84999999999991</v>
      </c>
      <c r="P210" s="473">
        <f>资产!K18+资产!K19</f>
        <v>607.15000000000009</v>
      </c>
      <c r="Q210" s="473">
        <f>资产!L18+资产!L19</f>
        <v>612.84</v>
      </c>
      <c r="R210" s="473">
        <f>资产!M18+资产!M19</f>
        <v>646.65</v>
      </c>
      <c r="S210" s="473">
        <f>资产!N18+资产!N19</f>
        <v>672.18999999999994</v>
      </c>
      <c r="T210" s="473">
        <f>资产!O18+资产!O19</f>
        <v>706.71999999999991</v>
      </c>
      <c r="U210" s="473">
        <f>资产!P18+资产!P19</f>
        <v>706.79000000000008</v>
      </c>
      <c r="V210" s="473">
        <f>资产!Q18+资产!Q19</f>
        <v>749.17</v>
      </c>
      <c r="W210" s="473">
        <f>资产!R18+资产!R19</f>
        <v>823.63</v>
      </c>
      <c r="X210" s="473">
        <f>资产!S18+资产!S19</f>
        <v>1216.05</v>
      </c>
      <c r="Y210" s="473">
        <f>资产!T18+资产!T19</f>
        <v>1407.16</v>
      </c>
      <c r="Z210" s="473">
        <f>资产!U18+资产!U19</f>
        <v>1594.2</v>
      </c>
      <c r="AA210" s="473">
        <f>资产!V18+资产!V19</f>
        <v>2228.02</v>
      </c>
      <c r="AB210" s="473">
        <f>资产!W18+资产!W19</f>
        <v>2277.9</v>
      </c>
      <c r="AC210" s="450"/>
      <c r="AD210" s="450"/>
      <c r="AE210" s="450"/>
      <c r="AF210" s="450"/>
      <c r="AG210" s="450"/>
      <c r="AH210" s="450"/>
      <c r="AI210" s="450"/>
      <c r="AJ210" s="450"/>
      <c r="AK210" s="450"/>
      <c r="AL210" s="450"/>
      <c r="AM210" s="450"/>
      <c r="AN210" s="450"/>
      <c r="AO210" s="450"/>
      <c r="AP210" s="450"/>
      <c r="AQ210" s="450"/>
      <c r="AR210" s="450"/>
      <c r="AS210" s="450"/>
      <c r="AT210" s="450"/>
      <c r="AU210" s="450"/>
      <c r="AV210" s="450"/>
    </row>
    <row r="211" spans="1:49" s="265" customFormat="1">
      <c r="A211" s="462"/>
      <c r="B211" s="587" t="s">
        <v>419</v>
      </c>
      <c r="C211" s="525">
        <f>C207/C210</f>
        <v>-4.6001811743391248E-2</v>
      </c>
      <c r="D211" s="525">
        <f t="shared" ref="D211:F211" si="665">D207/D210</f>
        <v>-3.5685985963323529E-2</v>
      </c>
      <c r="E211" s="525">
        <f t="shared" si="665"/>
        <v>6.7513671312857213E-3</v>
      </c>
      <c r="F211" s="525">
        <f t="shared" si="665"/>
        <v>6.5279424030905663E-3</v>
      </c>
      <c r="G211" s="587"/>
      <c r="H211" s="587"/>
      <c r="I211" s="587"/>
      <c r="J211" s="587"/>
      <c r="K211" s="587"/>
      <c r="L211" s="587"/>
      <c r="M211" s="525">
        <f>M207/M210</f>
        <v>-5.7702330429603155E-3</v>
      </c>
      <c r="N211" s="525">
        <f t="shared" ref="N211:AB211" si="666">N207/N210</f>
        <v>-8.3685107013256304E-3</v>
      </c>
      <c r="O211" s="525">
        <f t="shared" si="666"/>
        <v>-1.2106579287746833E-2</v>
      </c>
      <c r="P211" s="525">
        <f t="shared" si="666"/>
        <v>-2.188915424524417E-2</v>
      </c>
      <c r="Q211" s="525">
        <f t="shared" si="666"/>
        <v>-1.7769727824554531E-2</v>
      </c>
      <c r="R211" s="525">
        <f t="shared" si="666"/>
        <v>-4.5155802984613008E-3</v>
      </c>
      <c r="S211" s="525">
        <f t="shared" si="666"/>
        <v>-9.2087058718517099E-3</v>
      </c>
      <c r="T211" s="525">
        <f t="shared" si="666"/>
        <v>-7.3862350011319909E-3</v>
      </c>
      <c r="U211" s="525">
        <f t="shared" si="666"/>
        <v>-5.3056777826511409E-3</v>
      </c>
      <c r="V211" s="525">
        <f t="shared" si="666"/>
        <v>6.6473564077579195E-3</v>
      </c>
      <c r="W211" s="525">
        <f t="shared" si="666"/>
        <v>9.9316440634751035E-3</v>
      </c>
      <c r="X211" s="525">
        <f t="shared" si="666"/>
        <v>-9.8680152954237071E-4</v>
      </c>
      <c r="Y211" s="525">
        <f t="shared" si="666"/>
        <v>-2.2669774581426418E-3</v>
      </c>
      <c r="Z211" s="525">
        <f t="shared" si="666"/>
        <v>9.5721992221804043E-3</v>
      </c>
      <c r="AA211" s="525">
        <f t="shared" si="666"/>
        <v>1.1849085735316559E-3</v>
      </c>
      <c r="AB211" s="525">
        <f t="shared" si="666"/>
        <v>7.0240133456253567E-5</v>
      </c>
      <c r="AC211" s="462"/>
      <c r="AD211" s="462"/>
      <c r="AE211" s="462"/>
      <c r="AF211" s="462"/>
      <c r="AG211" s="462"/>
      <c r="AH211" s="462"/>
      <c r="AI211" s="462"/>
      <c r="AJ211" s="462"/>
      <c r="AK211" s="462"/>
      <c r="AL211" s="462"/>
      <c r="AM211" s="462"/>
      <c r="AN211" s="462"/>
      <c r="AO211" s="462"/>
      <c r="AP211" s="462"/>
      <c r="AQ211" s="462"/>
      <c r="AR211" s="462"/>
      <c r="AS211" s="462"/>
      <c r="AT211" s="462"/>
      <c r="AU211" s="462"/>
      <c r="AV211" s="462"/>
      <c r="AW211" s="462"/>
    </row>
    <row r="212" spans="1:49">
      <c r="B212" s="558"/>
      <c r="C212" s="558"/>
      <c r="D212" s="558"/>
      <c r="E212" s="558"/>
      <c r="F212" s="558"/>
      <c r="G212" s="558"/>
      <c r="H212" s="558"/>
      <c r="I212" s="558"/>
      <c r="J212" s="558"/>
      <c r="K212" s="558"/>
      <c r="L212" s="590"/>
      <c r="M212" s="450"/>
      <c r="N212" s="450"/>
      <c r="O212" s="450"/>
      <c r="P212" s="450"/>
      <c r="Q212" s="450"/>
      <c r="R212" s="450"/>
      <c r="S212" s="450"/>
      <c r="T212" s="450"/>
      <c r="U212" s="450"/>
      <c r="V212" s="450"/>
      <c r="W212" s="450"/>
      <c r="X212" s="450"/>
      <c r="Y212" s="450"/>
      <c r="Z212" s="450"/>
      <c r="AA212" s="450"/>
      <c r="AB212" s="450"/>
      <c r="AC212" s="450"/>
      <c r="AD212" s="450"/>
      <c r="AE212" s="450"/>
      <c r="AF212" s="450"/>
      <c r="AG212" s="450"/>
      <c r="AH212" s="450"/>
      <c r="AI212" s="450"/>
      <c r="AJ212" s="450"/>
      <c r="AK212" s="450"/>
      <c r="AL212" s="450"/>
      <c r="AM212" s="450"/>
      <c r="AN212" s="450"/>
      <c r="AO212" s="450"/>
      <c r="AP212" s="450"/>
      <c r="AQ212" s="450"/>
      <c r="AR212" s="450"/>
      <c r="AS212" s="450"/>
      <c r="AT212" s="450"/>
      <c r="AU212" s="450"/>
      <c r="AV212" s="450"/>
    </row>
    <row r="213" spans="1:49">
      <c r="B213" s="558" t="s">
        <v>420</v>
      </c>
      <c r="C213" s="607">
        <f>SUM(M213:P213)</f>
        <v>42.75</v>
      </c>
      <c r="D213" s="607">
        <f>SUM(Q213:T213)</f>
        <v>76.239999999999995</v>
      </c>
      <c r="E213" s="607">
        <f>SUM(U213:X213)</f>
        <v>178.16</v>
      </c>
      <c r="F213" s="607">
        <f t="shared" ref="F213" si="667">SUM(Y213:AB213)</f>
        <v>326.89</v>
      </c>
      <c r="G213" s="558"/>
      <c r="H213" s="558"/>
      <c r="I213" s="558"/>
      <c r="J213" s="558"/>
      <c r="K213" s="558"/>
      <c r="L213" s="590"/>
      <c r="M213" s="473">
        <f t="shared" ref="M213:AB213" si="668">M198+M199+M200</f>
        <v>8.39</v>
      </c>
      <c r="N213" s="473">
        <f t="shared" si="668"/>
        <v>14.87</v>
      </c>
      <c r="O213" s="473">
        <f t="shared" si="668"/>
        <v>10.199999999999999</v>
      </c>
      <c r="P213" s="473">
        <f t="shared" si="668"/>
        <v>9.2900000000000027</v>
      </c>
      <c r="Q213" s="473">
        <f t="shared" si="668"/>
        <v>7.33</v>
      </c>
      <c r="R213" s="473">
        <f t="shared" si="668"/>
        <v>29.9</v>
      </c>
      <c r="S213" s="473">
        <f t="shared" si="668"/>
        <v>24.04</v>
      </c>
      <c r="T213" s="473">
        <f t="shared" si="668"/>
        <v>14.969999999999999</v>
      </c>
      <c r="U213" s="473">
        <f t="shared" si="668"/>
        <v>27.28</v>
      </c>
      <c r="V213" s="473">
        <f t="shared" si="668"/>
        <v>56.19</v>
      </c>
      <c r="W213" s="473">
        <f t="shared" si="668"/>
        <v>31.689999999999998</v>
      </c>
      <c r="X213" s="473">
        <f t="shared" si="668"/>
        <v>63</v>
      </c>
      <c r="Y213" s="473">
        <f t="shared" si="668"/>
        <v>76.14</v>
      </c>
      <c r="Z213" s="473">
        <f t="shared" si="668"/>
        <v>40.1</v>
      </c>
      <c r="AA213" s="473">
        <f t="shared" si="668"/>
        <v>209.49</v>
      </c>
      <c r="AB213" s="473">
        <f t="shared" si="668"/>
        <v>1.1599999999999824</v>
      </c>
      <c r="AC213" s="450"/>
      <c r="AD213" s="450"/>
      <c r="AE213" s="450"/>
      <c r="AF213" s="450"/>
      <c r="AG213" s="450"/>
      <c r="AH213" s="450"/>
      <c r="AI213" s="450"/>
      <c r="AJ213" s="450"/>
      <c r="AK213" s="450"/>
      <c r="AL213" s="450"/>
      <c r="AM213" s="450"/>
      <c r="AN213" s="450"/>
      <c r="AO213" s="450"/>
      <c r="AP213" s="450"/>
      <c r="AQ213" s="450"/>
      <c r="AR213" s="450"/>
      <c r="AS213" s="450"/>
      <c r="AT213" s="450"/>
      <c r="AU213" s="450"/>
      <c r="AV213" s="450"/>
    </row>
    <row r="214" spans="1:49">
      <c r="B214" s="558" t="s">
        <v>421</v>
      </c>
      <c r="C214" s="473">
        <f>P214</f>
        <v>1124.82</v>
      </c>
      <c r="D214" s="473">
        <f>T214</f>
        <v>1675.1399999999996</v>
      </c>
      <c r="E214" s="473">
        <f>X214</f>
        <v>2774.23</v>
      </c>
      <c r="F214" s="473">
        <f>AB214</f>
        <v>3712.18</v>
      </c>
      <c r="G214" s="558"/>
      <c r="H214" s="558"/>
      <c r="I214" s="558"/>
      <c r="J214" s="558"/>
      <c r="K214" s="558"/>
      <c r="L214" s="590"/>
      <c r="M214" s="473">
        <f>资产!H4</f>
        <v>751.71</v>
      </c>
      <c r="N214" s="473">
        <f>资产!I4</f>
        <v>851.57999999999993</v>
      </c>
      <c r="O214" s="473">
        <f>资产!J4</f>
        <v>951.9799999999999</v>
      </c>
      <c r="P214" s="473">
        <f>资产!K4</f>
        <v>1124.82</v>
      </c>
      <c r="Q214" s="473">
        <f>资产!L4</f>
        <v>1127.1600000000001</v>
      </c>
      <c r="R214" s="473">
        <f>资产!M4</f>
        <v>1292.32</v>
      </c>
      <c r="S214" s="473">
        <f>资产!N4</f>
        <v>1343.19</v>
      </c>
      <c r="T214" s="473">
        <f>资产!O4</f>
        <v>1675.1399999999996</v>
      </c>
      <c r="U214" s="473">
        <f>资产!P4</f>
        <v>1864.3300000000002</v>
      </c>
      <c r="V214" s="473">
        <f>资产!Q4</f>
        <v>2118.2999999999997</v>
      </c>
      <c r="W214" s="473">
        <f>资产!R4</f>
        <v>2372.36</v>
      </c>
      <c r="X214" s="473">
        <f>资产!S4</f>
        <v>2774.23</v>
      </c>
      <c r="Y214" s="473">
        <f>资产!T4</f>
        <v>3304.1499999999996</v>
      </c>
      <c r="Z214" s="473">
        <f>资产!U4</f>
        <v>3567.75</v>
      </c>
      <c r="AA214" s="473">
        <f>资产!V4</f>
        <v>3729.83</v>
      </c>
      <c r="AB214" s="473">
        <f>资产!W4</f>
        <v>3712.18</v>
      </c>
      <c r="AC214" s="450"/>
      <c r="AD214" s="450"/>
      <c r="AE214" s="450"/>
      <c r="AF214" s="450"/>
      <c r="AG214" s="450"/>
      <c r="AH214" s="450"/>
      <c r="AI214" s="450"/>
      <c r="AJ214" s="450"/>
      <c r="AK214" s="450"/>
      <c r="AL214" s="450"/>
      <c r="AM214" s="450"/>
      <c r="AN214" s="450"/>
      <c r="AO214" s="450"/>
      <c r="AP214" s="450"/>
      <c r="AQ214" s="450"/>
      <c r="AR214" s="450"/>
      <c r="AS214" s="450"/>
      <c r="AT214" s="450"/>
      <c r="AU214" s="450"/>
      <c r="AV214" s="450"/>
    </row>
    <row r="215" spans="1:49">
      <c r="B215" s="571" t="s">
        <v>422</v>
      </c>
      <c r="C215" s="526">
        <f>C213/C214</f>
        <v>3.8006080972955672E-2</v>
      </c>
      <c r="D215" s="526">
        <f t="shared" ref="D215:F215" si="669">D213/D214</f>
        <v>4.5512613871079438E-2</v>
      </c>
      <c r="E215" s="526">
        <f t="shared" si="669"/>
        <v>6.421962130032477E-2</v>
      </c>
      <c r="F215" s="526">
        <f t="shared" si="669"/>
        <v>8.8058768701948717E-2</v>
      </c>
      <c r="G215" s="571"/>
      <c r="H215" s="571"/>
      <c r="I215" s="571"/>
      <c r="J215" s="571"/>
      <c r="K215" s="571"/>
      <c r="L215" s="587"/>
      <c r="M215" s="526">
        <f>M213/M214</f>
        <v>1.1161219087147969E-2</v>
      </c>
      <c r="N215" s="526">
        <f t="shared" ref="N215:AB215" si="670">N213/N214</f>
        <v>1.7461659503511123E-2</v>
      </c>
      <c r="O215" s="526">
        <f t="shared" si="670"/>
        <v>1.0714510809050611E-2</v>
      </c>
      <c r="P215" s="526">
        <f t="shared" si="670"/>
        <v>8.2590992336551653E-3</v>
      </c>
      <c r="Q215" s="526">
        <f t="shared" si="670"/>
        <v>6.5030696618048897E-3</v>
      </c>
      <c r="R215" s="526">
        <f t="shared" si="670"/>
        <v>2.3136684412529404E-2</v>
      </c>
      <c r="S215" s="526">
        <f t="shared" si="670"/>
        <v>1.7897691316939524E-2</v>
      </c>
      <c r="T215" s="526">
        <f t="shared" si="670"/>
        <v>8.93656649593467E-3</v>
      </c>
      <c r="U215" s="526">
        <f t="shared" si="670"/>
        <v>1.4632602597179684E-2</v>
      </c>
      <c r="V215" s="526">
        <f t="shared" si="670"/>
        <v>2.652598782042204E-2</v>
      </c>
      <c r="W215" s="526">
        <f t="shared" si="670"/>
        <v>1.3358006373400325E-2</v>
      </c>
      <c r="X215" s="526">
        <f t="shared" si="670"/>
        <v>2.2709003939831954E-2</v>
      </c>
      <c r="Y215" s="526">
        <f t="shared" si="670"/>
        <v>2.3043748013861359E-2</v>
      </c>
      <c r="Z215" s="526">
        <f t="shared" si="670"/>
        <v>1.123957676406699E-2</v>
      </c>
      <c r="AA215" s="526">
        <f t="shared" si="670"/>
        <v>5.6166098722998103E-2</v>
      </c>
      <c r="AB215" s="526">
        <f t="shared" si="670"/>
        <v>3.1248484717874201E-4</v>
      </c>
      <c r="AC215" s="455"/>
      <c r="AD215" s="455"/>
      <c r="AE215" s="455"/>
      <c r="AF215" s="455"/>
      <c r="AG215" s="455"/>
      <c r="AH215" s="455"/>
      <c r="AI215" s="455"/>
      <c r="AJ215" s="455"/>
      <c r="AK215" s="455"/>
      <c r="AL215" s="455"/>
      <c r="AM215" s="455"/>
      <c r="AN215" s="455"/>
      <c r="AO215" s="455"/>
      <c r="AP215" s="455"/>
      <c r="AQ215" s="455"/>
      <c r="AR215" s="455"/>
      <c r="AS215" s="455"/>
      <c r="AT215" s="455"/>
      <c r="AU215" s="455"/>
      <c r="AV215" s="455"/>
    </row>
    <row r="217" spans="1:49">
      <c r="B217" s="585" t="s">
        <v>1092</v>
      </c>
      <c r="C217" s="585"/>
      <c r="D217" s="585"/>
      <c r="E217" s="585"/>
      <c r="F217" s="585"/>
      <c r="G217" s="585"/>
      <c r="H217" s="585"/>
      <c r="I217" s="585"/>
      <c r="J217" s="585"/>
      <c r="K217" s="585"/>
      <c r="L217" s="605"/>
      <c r="M217" s="523"/>
      <c r="N217" s="523"/>
      <c r="O217" s="523"/>
      <c r="P217" s="523"/>
      <c r="Q217" s="523"/>
      <c r="R217" s="523"/>
      <c r="S217" s="523"/>
      <c r="T217" s="523"/>
      <c r="U217" s="523"/>
      <c r="V217" s="523"/>
      <c r="W217" s="523"/>
      <c r="X217" s="523"/>
      <c r="Y217" s="524"/>
      <c r="Z217" s="524"/>
      <c r="AA217" s="524"/>
      <c r="AB217" s="523"/>
      <c r="AC217" s="523"/>
      <c r="AD217" s="523"/>
      <c r="AE217" s="523"/>
      <c r="AF217" s="523"/>
      <c r="AG217" s="523"/>
      <c r="AH217" s="523"/>
      <c r="AI217" s="523"/>
      <c r="AJ217" s="523"/>
      <c r="AK217" s="523"/>
      <c r="AL217" s="523"/>
      <c r="AM217" s="523"/>
      <c r="AN217" s="523"/>
      <c r="AO217" s="523"/>
      <c r="AP217" s="523"/>
      <c r="AQ217" s="523"/>
      <c r="AR217" s="523"/>
      <c r="AS217" s="523"/>
      <c r="AT217" s="523"/>
      <c r="AU217" s="523"/>
      <c r="AV217" s="523"/>
    </row>
    <row r="218" spans="1:49">
      <c r="B218" s="256" t="s">
        <v>1093</v>
      </c>
      <c r="D218" s="607">
        <f>SUM(Q218:T218)</f>
        <v>234.33</v>
      </c>
      <c r="E218" s="607">
        <f>SUM(U218:X218)</f>
        <v>348.66</v>
      </c>
      <c r="F218" s="607">
        <f t="shared" ref="F218" si="671">SUM(Y218:AB218)</f>
        <v>421.53</v>
      </c>
      <c r="G218" s="262"/>
      <c r="H218" s="262"/>
      <c r="I218" s="262"/>
      <c r="J218" s="262"/>
      <c r="K218" s="262"/>
      <c r="L218" s="664"/>
      <c r="M218" s="262"/>
      <c r="N218" s="262"/>
      <c r="O218" s="262"/>
      <c r="P218" s="262"/>
      <c r="Q218" s="262">
        <v>47.79</v>
      </c>
      <c r="R218" s="262">
        <v>54.26</v>
      </c>
      <c r="S218" s="262">
        <v>60.12</v>
      </c>
      <c r="T218" s="262">
        <v>72.160000000000025</v>
      </c>
      <c r="U218" s="262">
        <v>74.23</v>
      </c>
      <c r="V218" s="262">
        <v>85.94</v>
      </c>
      <c r="W218" s="262">
        <v>96.17</v>
      </c>
      <c r="X218" s="262">
        <v>92.320000000000007</v>
      </c>
      <c r="Y218" s="262">
        <v>95.75</v>
      </c>
      <c r="Z218" s="262">
        <v>103.63</v>
      </c>
      <c r="AA218" s="262">
        <v>112.51</v>
      </c>
      <c r="AB218" s="262">
        <v>109.63999999999999</v>
      </c>
    </row>
    <row r="219" spans="1:49">
      <c r="B219" s="256" t="s">
        <v>1094</v>
      </c>
      <c r="D219" s="607">
        <f t="shared" ref="D219:D226" si="672">SUM(Q219:T219)</f>
        <v>177.34</v>
      </c>
      <c r="E219" s="607">
        <f t="shared" ref="E219:E226" si="673">SUM(U219:X219)</f>
        <v>281.77</v>
      </c>
      <c r="F219" s="607">
        <f t="shared" ref="F219:F226" si="674">SUM(Y219:AB219)</f>
        <v>390.61</v>
      </c>
      <c r="G219" s="262"/>
      <c r="H219" s="262"/>
      <c r="I219" s="262"/>
      <c r="J219" s="262"/>
      <c r="K219" s="262"/>
      <c r="L219" s="664"/>
      <c r="M219" s="262"/>
      <c r="N219" s="262"/>
      <c r="O219" s="262"/>
      <c r="P219" s="262"/>
      <c r="Q219" s="665">
        <v>45.892499999999998</v>
      </c>
      <c r="R219" s="665">
        <v>43.021500000000003</v>
      </c>
      <c r="S219" s="665">
        <v>57.245999999999995</v>
      </c>
      <c r="T219" s="665">
        <v>31.180000000000007</v>
      </c>
      <c r="U219" s="262">
        <v>65.91</v>
      </c>
      <c r="V219" s="262">
        <v>71.72</v>
      </c>
      <c r="W219" s="262">
        <v>83.81</v>
      </c>
      <c r="X219" s="262">
        <v>60.329999999999984</v>
      </c>
      <c r="Y219" s="262">
        <v>78.31</v>
      </c>
      <c r="Z219" s="262">
        <v>86.47</v>
      </c>
      <c r="AA219" s="262">
        <v>97.99</v>
      </c>
      <c r="AB219" s="262">
        <v>127.84</v>
      </c>
    </row>
    <row r="220" spans="1:49">
      <c r="B220" s="256" t="s">
        <v>1095</v>
      </c>
      <c r="D220" s="607">
        <f t="shared" si="672"/>
        <v>131.33000000000001</v>
      </c>
      <c r="E220" s="607">
        <f t="shared" si="673"/>
        <v>251.08999999999997</v>
      </c>
      <c r="F220" s="607">
        <f t="shared" si="674"/>
        <v>328.21</v>
      </c>
      <c r="G220" s="262"/>
      <c r="H220" s="262"/>
      <c r="I220" s="262"/>
      <c r="J220" s="262"/>
      <c r="K220" s="262"/>
      <c r="L220" s="664"/>
      <c r="M220" s="262"/>
      <c r="N220" s="262"/>
      <c r="O220" s="262"/>
      <c r="P220" s="262"/>
      <c r="Q220" s="665">
        <v>22.727499999999999</v>
      </c>
      <c r="R220" s="665">
        <v>26.038499999999999</v>
      </c>
      <c r="S220" s="665">
        <v>29.264000000000003</v>
      </c>
      <c r="T220" s="665">
        <v>53.300000000000004</v>
      </c>
      <c r="U220" s="262">
        <v>43.13</v>
      </c>
      <c r="V220" s="262">
        <v>51.05</v>
      </c>
      <c r="W220" s="262">
        <v>66.27</v>
      </c>
      <c r="X220" s="262">
        <v>90.639999999999986</v>
      </c>
      <c r="Y220" s="262">
        <v>78.53</v>
      </c>
      <c r="Z220" s="262">
        <v>76.84</v>
      </c>
      <c r="AA220" s="262">
        <v>83.74</v>
      </c>
      <c r="AB220" s="262">
        <v>89.099999999999966</v>
      </c>
    </row>
    <row r="221" spans="1:49">
      <c r="B221" s="256" t="s">
        <v>1101</v>
      </c>
      <c r="D221" s="607">
        <f t="shared" si="672"/>
        <v>78.760000000000005</v>
      </c>
      <c r="E221" s="607">
        <f t="shared" si="673"/>
        <v>112.03</v>
      </c>
      <c r="F221" s="607">
        <f t="shared" si="674"/>
        <v>158.18</v>
      </c>
      <c r="G221" s="262"/>
      <c r="H221" s="262"/>
      <c r="I221" s="262"/>
      <c r="J221" s="262"/>
      <c r="K221" s="262"/>
      <c r="L221" s="664"/>
      <c r="M221" s="262"/>
      <c r="N221" s="262"/>
      <c r="O221" s="262"/>
      <c r="P221" s="262"/>
      <c r="Q221" s="262">
        <v>17.03</v>
      </c>
      <c r="R221" s="262">
        <v>18.690000000000001</v>
      </c>
      <c r="S221" s="262">
        <v>20.440000000000001</v>
      </c>
      <c r="T221" s="262">
        <v>22.600000000000009</v>
      </c>
      <c r="U221" s="262">
        <v>24.31</v>
      </c>
      <c r="V221" s="262">
        <v>26.6</v>
      </c>
      <c r="W221" s="262">
        <v>29.66</v>
      </c>
      <c r="X221" s="262">
        <v>31.460000000000004</v>
      </c>
      <c r="Y221" s="262">
        <v>34.11</v>
      </c>
      <c r="Z221" s="262">
        <v>37.369999999999997</v>
      </c>
      <c r="AA221" s="262">
        <v>43.65</v>
      </c>
      <c r="AB221" s="262">
        <v>43.05</v>
      </c>
    </row>
    <row r="222" spans="1:49">
      <c r="B222" s="256" t="s">
        <v>1096</v>
      </c>
      <c r="D222" s="607">
        <f t="shared" si="672"/>
        <v>92.19</v>
      </c>
      <c r="E222" s="607">
        <f t="shared" si="673"/>
        <v>136.61000000000001</v>
      </c>
      <c r="F222" s="607">
        <f t="shared" si="674"/>
        <v>198.06</v>
      </c>
      <c r="G222" s="262"/>
      <c r="H222" s="262"/>
      <c r="I222" s="262"/>
      <c r="J222" s="262"/>
      <c r="K222" s="262"/>
      <c r="L222" s="664"/>
      <c r="M222" s="262"/>
      <c r="N222" s="262"/>
      <c r="O222" s="262"/>
      <c r="P222" s="262"/>
      <c r="Q222" s="262">
        <v>14.16</v>
      </c>
      <c r="R222" s="262">
        <v>17.010000000000002</v>
      </c>
      <c r="S222" s="262">
        <v>24.86</v>
      </c>
      <c r="T222" s="262">
        <v>36.159999999999997</v>
      </c>
      <c r="U222" s="262">
        <v>23.25</v>
      </c>
      <c r="V222" s="262">
        <v>27.23</v>
      </c>
      <c r="W222" s="262">
        <v>37.68</v>
      </c>
      <c r="X222" s="262">
        <v>48.45</v>
      </c>
      <c r="Y222" s="262">
        <v>45.75</v>
      </c>
      <c r="Z222" s="262">
        <v>51.76</v>
      </c>
      <c r="AA222" s="262">
        <v>54.09</v>
      </c>
      <c r="AB222" s="262">
        <v>46.460000000000008</v>
      </c>
    </row>
    <row r="223" spans="1:49">
      <c r="B223" s="256" t="s">
        <v>1097</v>
      </c>
      <c r="D223" s="607">
        <f t="shared" si="672"/>
        <v>11.169999999999998</v>
      </c>
      <c r="E223" s="607">
        <f t="shared" si="673"/>
        <v>13.350000000000001</v>
      </c>
      <c r="F223" s="607">
        <f t="shared" si="674"/>
        <v>16.14</v>
      </c>
      <c r="G223" s="262"/>
      <c r="H223" s="262"/>
      <c r="I223" s="262"/>
      <c r="J223" s="262"/>
      <c r="K223" s="262"/>
      <c r="L223" s="664"/>
      <c r="M223" s="262"/>
      <c r="N223" s="262"/>
      <c r="O223" s="262"/>
      <c r="P223" s="262"/>
      <c r="Q223" s="262">
        <v>2.4300000000000002</v>
      </c>
      <c r="R223" s="262">
        <v>2.75</v>
      </c>
      <c r="S223" s="262">
        <v>2.95</v>
      </c>
      <c r="T223" s="262">
        <v>3.0399999999999987</v>
      </c>
      <c r="U223" s="262">
        <v>3.06</v>
      </c>
      <c r="V223" s="262">
        <v>3.19</v>
      </c>
      <c r="W223" s="262">
        <v>3.3</v>
      </c>
      <c r="X223" s="262">
        <v>3.8000000000000012</v>
      </c>
      <c r="Y223" s="262">
        <v>3.55</v>
      </c>
      <c r="Z223" s="262">
        <v>3.99</v>
      </c>
      <c r="AA223" s="262">
        <v>4.03</v>
      </c>
      <c r="AB223" s="262">
        <v>4.5699999999999994</v>
      </c>
    </row>
    <row r="224" spans="1:49">
      <c r="B224" s="256" t="s">
        <v>1098</v>
      </c>
      <c r="D224" s="607">
        <f t="shared" si="672"/>
        <v>8</v>
      </c>
      <c r="E224" s="607">
        <f t="shared" si="673"/>
        <v>10.4</v>
      </c>
      <c r="F224" s="607">
        <f t="shared" si="674"/>
        <v>14.5</v>
      </c>
      <c r="G224" s="262"/>
      <c r="H224" s="262"/>
      <c r="I224" s="262"/>
      <c r="J224" s="262"/>
      <c r="K224" s="262"/>
      <c r="L224" s="664"/>
      <c r="M224" s="262"/>
      <c r="N224" s="262"/>
      <c r="O224" s="262"/>
      <c r="P224" s="262"/>
      <c r="Q224" s="262">
        <v>1.65</v>
      </c>
      <c r="R224" s="262">
        <v>1.76</v>
      </c>
      <c r="S224" s="262">
        <v>2.2000000000000002</v>
      </c>
      <c r="T224" s="262">
        <v>2.39</v>
      </c>
      <c r="U224" s="262">
        <v>1.94</v>
      </c>
      <c r="V224" s="262">
        <v>2.46</v>
      </c>
      <c r="W224" s="262">
        <v>2.73</v>
      </c>
      <c r="X224" s="262">
        <v>3.27</v>
      </c>
      <c r="Y224" s="262">
        <v>2.73</v>
      </c>
      <c r="Z224" s="262">
        <v>3.34</v>
      </c>
      <c r="AA224" s="262">
        <v>4</v>
      </c>
      <c r="AB224" s="262">
        <v>4.43</v>
      </c>
    </row>
    <row r="225" spans="2:48">
      <c r="B225" s="256" t="s">
        <v>1099</v>
      </c>
      <c r="D225" s="607">
        <f t="shared" si="672"/>
        <v>89.3</v>
      </c>
      <c r="E225" s="607">
        <f t="shared" si="673"/>
        <v>186.21999999999997</v>
      </c>
      <c r="F225" s="607">
        <f t="shared" si="674"/>
        <v>256.15999999999997</v>
      </c>
      <c r="G225" s="262"/>
      <c r="H225" s="262"/>
      <c r="I225" s="262"/>
      <c r="J225" s="262"/>
      <c r="K225" s="262"/>
      <c r="L225" s="664"/>
      <c r="M225" s="262"/>
      <c r="N225" s="262"/>
      <c r="O225" s="262"/>
      <c r="P225" s="262"/>
      <c r="Q225" s="262">
        <v>12.71</v>
      </c>
      <c r="R225" s="262">
        <v>18.82</v>
      </c>
      <c r="S225" s="262">
        <v>22.64</v>
      </c>
      <c r="T225" s="262">
        <v>35.129999999999995</v>
      </c>
      <c r="U225" s="262">
        <v>36.39</v>
      </c>
      <c r="V225" s="262">
        <v>47.93</v>
      </c>
      <c r="W225" s="262">
        <v>49.5</v>
      </c>
      <c r="X225" s="262">
        <v>52.399999999999991</v>
      </c>
      <c r="Y225" s="262">
        <v>55.41</v>
      </c>
      <c r="Z225" s="262">
        <v>62.62</v>
      </c>
      <c r="AA225" s="262">
        <v>72.3</v>
      </c>
      <c r="AB225" s="262">
        <v>65.830000000000013</v>
      </c>
    </row>
    <row r="226" spans="2:48">
      <c r="B226" s="256" t="s">
        <v>1100</v>
      </c>
      <c r="D226" s="607">
        <f t="shared" si="672"/>
        <v>36.99</v>
      </c>
      <c r="E226" s="607">
        <f t="shared" si="673"/>
        <v>48.500000000000007</v>
      </c>
      <c r="F226" s="607">
        <f t="shared" si="674"/>
        <v>83.96</v>
      </c>
      <c r="G226" s="262"/>
      <c r="H226" s="262"/>
      <c r="I226" s="262"/>
      <c r="J226" s="262"/>
      <c r="K226" s="262"/>
      <c r="L226" s="664"/>
      <c r="M226" s="262"/>
      <c r="N226" s="262"/>
      <c r="O226" s="262"/>
      <c r="P226" s="262"/>
      <c r="Q226" s="262">
        <v>8.68</v>
      </c>
      <c r="R226" s="262">
        <v>9.0299999999999994</v>
      </c>
      <c r="S226" s="262">
        <v>9.26</v>
      </c>
      <c r="T226" s="262">
        <v>10.020000000000003</v>
      </c>
      <c r="U226" s="262">
        <v>10.76</v>
      </c>
      <c r="V226" s="262">
        <v>11.51</v>
      </c>
      <c r="W226" s="262">
        <v>12.54</v>
      </c>
      <c r="X226" s="262">
        <v>13.690000000000003</v>
      </c>
      <c r="Y226" s="262">
        <v>16.559999999999999</v>
      </c>
      <c r="Z226" s="262">
        <v>19.11</v>
      </c>
      <c r="AA226" s="262">
        <v>23.15</v>
      </c>
      <c r="AB226" s="262">
        <v>25.139999999999997</v>
      </c>
    </row>
    <row r="227" spans="2:48">
      <c r="M227" s="266"/>
      <c r="N227" s="266"/>
      <c r="O227" s="266"/>
      <c r="P227" s="266"/>
      <c r="Q227" s="266"/>
      <c r="R227" s="266"/>
      <c r="S227" s="266"/>
      <c r="T227" s="266"/>
      <c r="W227" s="271"/>
    </row>
    <row r="228" spans="2:48">
      <c r="B228" s="558" t="s">
        <v>315</v>
      </c>
      <c r="M228" s="271"/>
      <c r="N228" s="271"/>
      <c r="O228" s="271"/>
      <c r="P228" s="271"/>
      <c r="Q228" s="271"/>
      <c r="R228" s="271"/>
      <c r="S228" s="271"/>
      <c r="W228" s="271"/>
    </row>
    <row r="229" spans="2:48">
      <c r="B229" s="666" t="s">
        <v>1093</v>
      </c>
      <c r="E229" s="667">
        <f>E218/D218-1</f>
        <v>0.48790167712200749</v>
      </c>
      <c r="F229" s="667">
        <f>F218/E218-1</f>
        <v>0.20900017208742017</v>
      </c>
      <c r="M229" s="271"/>
      <c r="N229" s="271"/>
      <c r="O229" s="271"/>
      <c r="P229" s="271"/>
      <c r="U229" s="667">
        <f>U218/Q218-1</f>
        <v>0.55325381879054203</v>
      </c>
      <c r="V229" s="667">
        <f t="shared" ref="V229:AB229" si="675">V218/R218-1</f>
        <v>0.58385551050497608</v>
      </c>
      <c r="W229" s="667">
        <f t="shared" si="675"/>
        <v>0.5996340652029275</v>
      </c>
      <c r="X229" s="667">
        <f t="shared" si="675"/>
        <v>0.27937915742793762</v>
      </c>
      <c r="Y229" s="667">
        <f t="shared" si="675"/>
        <v>0.28990973999730563</v>
      </c>
      <c r="Z229" s="667">
        <f t="shared" si="675"/>
        <v>0.20584128461717466</v>
      </c>
      <c r="AA229" s="667">
        <f t="shared" si="675"/>
        <v>0.169907455547468</v>
      </c>
      <c r="AB229" s="667">
        <f t="shared" si="675"/>
        <v>0.18760831889081442</v>
      </c>
      <c r="AC229" s="271"/>
      <c r="AD229" s="271"/>
      <c r="AE229" s="271"/>
      <c r="AF229" s="271"/>
    </row>
    <row r="230" spans="2:48">
      <c r="B230" s="666" t="s">
        <v>1094</v>
      </c>
      <c r="E230" s="667">
        <f t="shared" ref="E230:F230" si="676">E219/D219-1</f>
        <v>0.58886883951731117</v>
      </c>
      <c r="F230" s="667">
        <f t="shared" si="676"/>
        <v>0.38627249174858935</v>
      </c>
      <c r="M230" s="271"/>
      <c r="N230" s="271"/>
      <c r="O230" s="271"/>
      <c r="P230" s="271"/>
      <c r="U230" s="667">
        <f t="shared" ref="U230:U237" si="677">U219/Q219-1</f>
        <v>0.43618238274227816</v>
      </c>
      <c r="V230" s="667">
        <f t="shared" ref="V230:V237" si="678">V219/R219-1</f>
        <v>0.66707344002417379</v>
      </c>
      <c r="W230" s="667">
        <f t="shared" ref="W230:W237" si="679">W219/S219-1</f>
        <v>0.46403242147923018</v>
      </c>
      <c r="X230" s="667">
        <f t="shared" ref="X230:X237" si="680">X219/T219-1</f>
        <v>0.93489416292495098</v>
      </c>
      <c r="Y230" s="667">
        <f t="shared" ref="Y230:Y237" si="681">Y219/U219-1</f>
        <v>0.18813533606433031</v>
      </c>
      <c r="Z230" s="667">
        <f t="shared" ref="Z230:Z237" si="682">Z219/V219-1</f>
        <v>0.20566090351366428</v>
      </c>
      <c r="AA230" s="667">
        <f t="shared" ref="AA230:AA237" si="683">AA219/W219-1</f>
        <v>0.16919222049874705</v>
      </c>
      <c r="AB230" s="667">
        <f t="shared" ref="AB230:AB237" si="684">AB219/X219-1</f>
        <v>1.1190121001160289</v>
      </c>
    </row>
    <row r="231" spans="2:48">
      <c r="B231" s="666" t="s">
        <v>1095</v>
      </c>
      <c r="E231" s="667">
        <f t="shared" ref="E231:F231" si="685">E220/D220-1</f>
        <v>0.91190131729231672</v>
      </c>
      <c r="F231" s="667">
        <f t="shared" si="685"/>
        <v>0.307140865825003</v>
      </c>
      <c r="U231" s="667">
        <f t="shared" si="677"/>
        <v>0.89770102298977039</v>
      </c>
      <c r="V231" s="667">
        <f t="shared" si="678"/>
        <v>0.96055840390191438</v>
      </c>
      <c r="W231" s="667">
        <f t="shared" si="679"/>
        <v>1.264557135046473</v>
      </c>
      <c r="X231" s="667">
        <f t="shared" si="680"/>
        <v>0.70056285178236366</v>
      </c>
      <c r="Y231" s="667">
        <f t="shared" si="681"/>
        <v>0.82077440296777171</v>
      </c>
      <c r="Z231" s="667">
        <f t="shared" si="682"/>
        <v>0.50519098922624894</v>
      </c>
      <c r="AA231" s="667">
        <f t="shared" si="683"/>
        <v>0.26361853025501736</v>
      </c>
      <c r="AB231" s="667">
        <f t="shared" si="684"/>
        <v>-1.6990291262136137E-2</v>
      </c>
    </row>
    <row r="232" spans="2:48">
      <c r="B232" s="666" t="s">
        <v>1101</v>
      </c>
      <c r="E232" s="667">
        <f t="shared" ref="E232:F232" si="686">E221/D221-1</f>
        <v>0.42242254951752156</v>
      </c>
      <c r="F232" s="667">
        <f t="shared" si="686"/>
        <v>0.41194322949210038</v>
      </c>
      <c r="Q232" s="263"/>
      <c r="R232" s="263"/>
      <c r="S232" s="263"/>
      <c r="T232" s="663"/>
      <c r="U232" s="667">
        <f t="shared" si="677"/>
        <v>0.42748091603053417</v>
      </c>
      <c r="V232" s="667">
        <f t="shared" si="678"/>
        <v>0.42322097378277146</v>
      </c>
      <c r="W232" s="667">
        <f t="shared" si="679"/>
        <v>0.45107632093933447</v>
      </c>
      <c r="X232" s="667">
        <f t="shared" si="680"/>
        <v>0.39203539823008815</v>
      </c>
      <c r="Y232" s="667">
        <f t="shared" si="681"/>
        <v>0.4031262854792268</v>
      </c>
      <c r="Z232" s="667">
        <f t="shared" si="682"/>
        <v>0.40488721804511263</v>
      </c>
      <c r="AA232" s="667">
        <f t="shared" si="683"/>
        <v>0.47167902899527969</v>
      </c>
      <c r="AB232" s="667">
        <f t="shared" si="684"/>
        <v>0.36840432294977732</v>
      </c>
    </row>
    <row r="233" spans="2:48">
      <c r="B233" s="666" t="s">
        <v>1096</v>
      </c>
      <c r="E233" s="667">
        <f t="shared" ref="E233:F233" si="687">E222/D222-1</f>
        <v>0.48183100119318811</v>
      </c>
      <c r="F233" s="667">
        <f t="shared" si="687"/>
        <v>0.44982065734572863</v>
      </c>
      <c r="T233" s="663"/>
      <c r="U233" s="667">
        <f t="shared" si="677"/>
        <v>0.64194915254237284</v>
      </c>
      <c r="V233" s="667">
        <f t="shared" si="678"/>
        <v>0.60082304526748964</v>
      </c>
      <c r="W233" s="667">
        <f t="shared" si="679"/>
        <v>0.51568785197103773</v>
      </c>
      <c r="X233" s="667">
        <f t="shared" si="680"/>
        <v>0.33987831858407103</v>
      </c>
      <c r="Y233" s="667">
        <f t="shared" si="681"/>
        <v>0.967741935483871</v>
      </c>
      <c r="Z233" s="667">
        <f t="shared" si="682"/>
        <v>0.90084465662871827</v>
      </c>
      <c r="AA233" s="667">
        <f t="shared" si="683"/>
        <v>0.43550955414012749</v>
      </c>
      <c r="AB233" s="667">
        <f t="shared" si="684"/>
        <v>-4.1073271413828549E-2</v>
      </c>
    </row>
    <row r="234" spans="2:48">
      <c r="B234" s="666" t="s">
        <v>1097</v>
      </c>
      <c r="E234" s="667">
        <f t="shared" ref="E234:F234" si="688">E223/D223-1</f>
        <v>0.19516562220232792</v>
      </c>
      <c r="F234" s="667">
        <f t="shared" si="688"/>
        <v>0.20898876404494371</v>
      </c>
      <c r="U234" s="667">
        <f t="shared" si="677"/>
        <v>0.2592592592592593</v>
      </c>
      <c r="V234" s="667">
        <f t="shared" si="678"/>
        <v>0.15999999999999992</v>
      </c>
      <c r="W234" s="667">
        <f t="shared" si="679"/>
        <v>0.11864406779661008</v>
      </c>
      <c r="X234" s="667">
        <f t="shared" si="680"/>
        <v>0.25000000000000089</v>
      </c>
      <c r="Y234" s="667">
        <f t="shared" si="681"/>
        <v>0.16013071895424824</v>
      </c>
      <c r="Z234" s="667">
        <f t="shared" si="682"/>
        <v>0.25078369905956133</v>
      </c>
      <c r="AA234" s="667">
        <f t="shared" si="683"/>
        <v>0.22121212121212142</v>
      </c>
      <c r="AB234" s="667">
        <f t="shared" si="684"/>
        <v>0.20263157894736783</v>
      </c>
    </row>
    <row r="235" spans="2:48">
      <c r="B235" s="666" t="s">
        <v>1098</v>
      </c>
      <c r="E235" s="667">
        <f t="shared" ref="E235:F235" si="689">E224/D224-1</f>
        <v>0.30000000000000004</v>
      </c>
      <c r="F235" s="667">
        <f t="shared" si="689"/>
        <v>0.39423076923076916</v>
      </c>
      <c r="U235" s="667">
        <f t="shared" si="677"/>
        <v>0.17575757575757578</v>
      </c>
      <c r="V235" s="667">
        <f t="shared" si="678"/>
        <v>0.39772727272727271</v>
      </c>
      <c r="W235" s="667">
        <f t="shared" si="679"/>
        <v>0.24090909090909074</v>
      </c>
      <c r="X235" s="667">
        <f t="shared" si="680"/>
        <v>0.36820083682008353</v>
      </c>
      <c r="Y235" s="667">
        <f t="shared" si="681"/>
        <v>0.40721649484536093</v>
      </c>
      <c r="Z235" s="667">
        <f t="shared" si="682"/>
        <v>0.35772357723577231</v>
      </c>
      <c r="AA235" s="667">
        <f t="shared" si="683"/>
        <v>0.4652014652014651</v>
      </c>
      <c r="AB235" s="667">
        <f t="shared" si="684"/>
        <v>0.35474006116207946</v>
      </c>
    </row>
    <row r="236" spans="2:48">
      <c r="B236" s="666" t="s">
        <v>1099</v>
      </c>
      <c r="E236" s="667">
        <f t="shared" ref="E236:F236" si="690">E225/D225-1</f>
        <v>1.0853303471444566</v>
      </c>
      <c r="F236" s="667">
        <f t="shared" si="690"/>
        <v>0.37557727419181619</v>
      </c>
      <c r="U236" s="667">
        <f t="shared" si="677"/>
        <v>1.8630999213217936</v>
      </c>
      <c r="V236" s="667">
        <f t="shared" si="678"/>
        <v>1.5467587672688627</v>
      </c>
      <c r="W236" s="667">
        <f t="shared" si="679"/>
        <v>1.1863957597173145</v>
      </c>
      <c r="X236" s="667">
        <f t="shared" si="680"/>
        <v>0.49160261884429257</v>
      </c>
      <c r="Y236" s="667">
        <f t="shared" si="681"/>
        <v>0.52267106347897752</v>
      </c>
      <c r="Z236" s="667">
        <f t="shared" si="682"/>
        <v>0.30648862925099096</v>
      </c>
      <c r="AA236" s="667">
        <f t="shared" si="683"/>
        <v>0.46060606060606046</v>
      </c>
      <c r="AB236" s="667">
        <f t="shared" si="684"/>
        <v>0.25629770992366452</v>
      </c>
    </row>
    <row r="237" spans="2:48">
      <c r="B237" s="584" t="s">
        <v>1100</v>
      </c>
      <c r="C237" s="455"/>
      <c r="D237" s="455"/>
      <c r="E237" s="668">
        <f t="shared" ref="E237:F237" si="691">E226/D226-1</f>
        <v>0.31116517977831859</v>
      </c>
      <c r="F237" s="668">
        <f t="shared" si="691"/>
        <v>0.73113402061855637</v>
      </c>
      <c r="G237" s="455"/>
      <c r="H237" s="455"/>
      <c r="I237" s="455"/>
      <c r="J237" s="455"/>
      <c r="K237" s="455"/>
      <c r="L237" s="669"/>
      <c r="M237" s="455"/>
      <c r="N237" s="455"/>
      <c r="O237" s="455"/>
      <c r="P237" s="455"/>
      <c r="Q237" s="455"/>
      <c r="R237" s="455"/>
      <c r="S237" s="455"/>
      <c r="T237" s="455"/>
      <c r="U237" s="668">
        <f t="shared" si="677"/>
        <v>0.23963133640553003</v>
      </c>
      <c r="V237" s="668">
        <f t="shared" si="678"/>
        <v>0.27464008859357714</v>
      </c>
      <c r="W237" s="668">
        <f t="shared" si="679"/>
        <v>0.35421166306695451</v>
      </c>
      <c r="X237" s="668">
        <f t="shared" si="680"/>
        <v>0.36626746506986008</v>
      </c>
      <c r="Y237" s="668">
        <f t="shared" si="681"/>
        <v>0.53903345724907048</v>
      </c>
      <c r="Z237" s="668">
        <f t="shared" si="682"/>
        <v>0.6602953953084274</v>
      </c>
      <c r="AA237" s="668">
        <f t="shared" si="683"/>
        <v>0.8460925039872409</v>
      </c>
      <c r="AB237" s="668">
        <f t="shared" si="684"/>
        <v>0.8363769174579978</v>
      </c>
      <c r="AC237" s="455"/>
      <c r="AD237" s="455"/>
      <c r="AE237" s="455"/>
      <c r="AF237" s="455"/>
      <c r="AG237" s="455"/>
      <c r="AH237" s="455"/>
      <c r="AI237" s="455"/>
      <c r="AJ237" s="455"/>
      <c r="AK237" s="455"/>
      <c r="AL237" s="455"/>
      <c r="AM237" s="455"/>
      <c r="AN237" s="455"/>
      <c r="AO237" s="455"/>
      <c r="AP237" s="455"/>
      <c r="AQ237" s="455"/>
      <c r="AR237" s="455"/>
      <c r="AS237" s="455"/>
      <c r="AT237" s="455"/>
      <c r="AU237" s="455"/>
      <c r="AV237" s="455"/>
    </row>
    <row r="238" spans="2:48">
      <c r="L238" s="256"/>
    </row>
  </sheetData>
  <phoneticPr fontId="7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AL123"/>
  <sheetViews>
    <sheetView zoomScale="80" zoomScaleNormal="80" workbookViewId="0">
      <pane xSplit="2" ySplit="3" topLeftCell="C4" activePane="bottomRight" state="frozen"/>
      <selection activeCell="E103" activeCellId="1" sqref="N81 E103"/>
      <selection pane="topRight" activeCell="E103" activeCellId="1" sqref="N81 E103"/>
      <selection pane="bottomLeft" activeCell="E103" activeCellId="1" sqref="N81 E103"/>
      <selection pane="bottomRight" activeCell="AI45" sqref="AI45:AL45"/>
    </sheetView>
  </sheetViews>
  <sheetFormatPr defaultColWidth="9" defaultRowHeight="16.5" outlineLevelCol="1"/>
  <cols>
    <col min="1" max="1" width="6.375" style="283" customWidth="1"/>
    <col min="2" max="2" width="21.5" style="283" customWidth="1"/>
    <col min="3" max="6" width="8.875" style="283" hidden="1" customWidth="1" outlineLevel="1"/>
    <col min="7" max="7" width="8.875" style="283" customWidth="1" collapsed="1"/>
    <col min="8" max="11" width="8.875" style="283" customWidth="1"/>
    <col min="12" max="14" width="9.875" style="283" customWidth="1"/>
    <col min="15" max="15" width="8.875" style="283" customWidth="1"/>
    <col min="16" max="16" width="9.875" style="283" customWidth="1"/>
    <col min="17" max="22" width="9" style="283"/>
    <col min="23" max="33" width="9" style="283" customWidth="1" outlineLevel="1"/>
    <col min="34" max="38" width="10.5" style="283" customWidth="1" outlineLevel="1"/>
    <col min="39" max="16384" width="9" style="283"/>
  </cols>
  <sheetData>
    <row r="1" spans="2:38">
      <c r="B1" s="283" t="s">
        <v>423</v>
      </c>
    </row>
    <row r="2" spans="2:38" s="284" customFormat="1">
      <c r="C2" s="284" t="s">
        <v>424</v>
      </c>
      <c r="D2" s="284" t="s">
        <v>276</v>
      </c>
      <c r="E2" s="284" t="s">
        <v>277</v>
      </c>
      <c r="F2" s="284" t="s">
        <v>278</v>
      </c>
      <c r="G2" s="284" t="s">
        <v>425</v>
      </c>
      <c r="H2" s="284" t="s">
        <v>280</v>
      </c>
      <c r="I2" s="284" t="s">
        <v>281</v>
      </c>
      <c r="J2" s="284" t="s">
        <v>282</v>
      </c>
      <c r="K2" s="284" t="s">
        <v>426</v>
      </c>
      <c r="L2" s="284" t="s">
        <v>284</v>
      </c>
      <c r="M2" s="284" t="s">
        <v>285</v>
      </c>
      <c r="N2" s="284" t="s">
        <v>286</v>
      </c>
      <c r="O2" s="284" t="s">
        <v>427</v>
      </c>
      <c r="P2" s="284" t="s">
        <v>288</v>
      </c>
      <c r="Q2" s="284" t="s">
        <v>289</v>
      </c>
      <c r="R2" s="284" t="s">
        <v>290</v>
      </c>
      <c r="S2" s="284" t="s">
        <v>1063</v>
      </c>
      <c r="T2" s="284" t="s">
        <v>1064</v>
      </c>
      <c r="U2" s="284" t="s">
        <v>1065</v>
      </c>
      <c r="V2" s="284" t="s">
        <v>1066</v>
      </c>
      <c r="W2" s="284" t="s">
        <v>1067</v>
      </c>
      <c r="X2" s="284" t="s">
        <v>1068</v>
      </c>
      <c r="Y2" s="284" t="s">
        <v>1069</v>
      </c>
      <c r="Z2" s="284" t="s">
        <v>1070</v>
      </c>
      <c r="AA2" s="284" t="s">
        <v>1071</v>
      </c>
      <c r="AB2" s="284" t="s">
        <v>1072</v>
      </c>
      <c r="AC2" s="284" t="s">
        <v>1073</v>
      </c>
      <c r="AD2" s="284" t="s">
        <v>1074</v>
      </c>
      <c r="AE2" s="284" t="s">
        <v>1075</v>
      </c>
      <c r="AF2" s="284" t="s">
        <v>1076</v>
      </c>
      <c r="AG2" s="284" t="s">
        <v>1077</v>
      </c>
      <c r="AH2" s="284" t="s">
        <v>1078</v>
      </c>
      <c r="AI2" s="284" t="s">
        <v>1079</v>
      </c>
      <c r="AJ2" s="284" t="s">
        <v>1080</v>
      </c>
      <c r="AK2" s="284" t="s">
        <v>1081</v>
      </c>
      <c r="AL2" s="284" t="s">
        <v>1082</v>
      </c>
    </row>
    <row r="3" spans="2:38" s="285" customFormat="1">
      <c r="B3" s="285" t="s">
        <v>428</v>
      </c>
      <c r="C3" s="286">
        <f>C6+C10+C14</f>
        <v>223.99</v>
      </c>
      <c r="D3" s="286">
        <f t="shared" ref="D3:AH3" si="0">D6+D10+D14</f>
        <v>234.28999999999996</v>
      </c>
      <c r="E3" s="286">
        <f t="shared" si="0"/>
        <v>265.94</v>
      </c>
      <c r="F3" s="286">
        <f t="shared" si="0"/>
        <v>304.40999999999997</v>
      </c>
      <c r="G3" s="286">
        <f t="shared" si="0"/>
        <v>319.95</v>
      </c>
      <c r="H3" s="286">
        <f t="shared" si="0"/>
        <v>356.91</v>
      </c>
      <c r="I3" s="286">
        <f t="shared" si="0"/>
        <v>403.88</v>
      </c>
      <c r="J3" s="286">
        <f t="shared" si="0"/>
        <v>438.64</v>
      </c>
      <c r="K3" s="286">
        <f t="shared" si="0"/>
        <v>495.52000000000004</v>
      </c>
      <c r="L3" s="286">
        <f t="shared" si="0"/>
        <v>566.06000000000006</v>
      </c>
      <c r="M3" s="286">
        <f t="shared" si="0"/>
        <v>652.09999999999991</v>
      </c>
      <c r="N3" s="286">
        <f t="shared" si="0"/>
        <v>663.92000000000007</v>
      </c>
      <c r="O3" s="286">
        <f t="shared" si="0"/>
        <v>735.28</v>
      </c>
      <c r="P3" s="286">
        <f t="shared" si="0"/>
        <v>736.75</v>
      </c>
      <c r="Q3" s="286">
        <f t="shared" si="0"/>
        <v>805.95</v>
      </c>
      <c r="R3" s="286">
        <f t="shared" si="0"/>
        <v>848.96</v>
      </c>
      <c r="S3" s="286">
        <f t="shared" ca="1" si="0"/>
        <v>866.95054752939825</v>
      </c>
      <c r="T3" s="286">
        <f t="shared" ca="1" si="0"/>
        <v>931.13493825603928</v>
      </c>
      <c r="U3" s="286">
        <f t="shared" ca="1" si="0"/>
        <v>1011.996052153918</v>
      </c>
      <c r="V3" s="286">
        <f t="shared" ca="1" si="0"/>
        <v>1069.8545268533276</v>
      </c>
      <c r="W3" s="286">
        <f t="shared" ca="1" si="0"/>
        <v>1069.6204709313815</v>
      </c>
      <c r="X3" s="286">
        <f t="shared" ca="1" si="0"/>
        <v>1140.2442705110932</v>
      </c>
      <c r="Y3" s="286">
        <f t="shared" ca="1" si="0"/>
        <v>1229.2233895913735</v>
      </c>
      <c r="Z3" s="286">
        <f t="shared" ca="1" si="0"/>
        <v>1290.5874915902714</v>
      </c>
      <c r="AA3" s="286">
        <f t="shared" ca="1" si="0"/>
        <v>1273.8823359791029</v>
      </c>
      <c r="AB3" s="286">
        <f t="shared" ca="1" si="0"/>
        <v>1353.7362031783755</v>
      </c>
      <c r="AC3" s="286">
        <f t="shared" ca="1" si="0"/>
        <v>1461.343282452126</v>
      </c>
      <c r="AD3" s="286">
        <f t="shared" ca="1" si="0"/>
        <v>1536.358891861159</v>
      </c>
      <c r="AE3" s="286">
        <f t="shared" ca="1" si="0"/>
        <v>1501.9884222380015</v>
      </c>
      <c r="AF3" s="286">
        <f t="shared" ca="1" si="0"/>
        <v>1593.5263568883972</v>
      </c>
      <c r="AG3" s="286">
        <f t="shared" ca="1" si="0"/>
        <v>1720.887988576505</v>
      </c>
      <c r="AH3" s="286">
        <f t="shared" ca="1" si="0"/>
        <v>1812.3243511941464</v>
      </c>
      <c r="AI3" s="286">
        <f t="shared" ref="AI3:AL3" ca="1" si="1">AI6+AI10+AI14</f>
        <v>1756.9092486924044</v>
      </c>
      <c r="AJ3" s="286">
        <f t="shared" ca="1" si="1"/>
        <v>1862.5282084604073</v>
      </c>
      <c r="AK3" s="286">
        <f t="shared" ca="1" si="1"/>
        <v>2012.2862232546984</v>
      </c>
      <c r="AL3" s="286">
        <f t="shared" ca="1" si="1"/>
        <v>2127.4842219084962</v>
      </c>
    </row>
    <row r="4" spans="2:38">
      <c r="B4" s="287" t="s">
        <v>429</v>
      </c>
      <c r="C4" s="288"/>
      <c r="D4" s="288"/>
      <c r="E4" s="288"/>
      <c r="F4" s="288"/>
      <c r="G4" s="288">
        <f>G3/C3-1</f>
        <v>0.4284119826777979</v>
      </c>
      <c r="H4" s="288">
        <f t="shared" ref="H4:AH4" si="2">H3/D3-1</f>
        <v>0.52336847496692163</v>
      </c>
      <c r="I4" s="288">
        <f t="shared" si="2"/>
        <v>0.51868842596074294</v>
      </c>
      <c r="J4" s="288">
        <f t="shared" si="2"/>
        <v>0.44095134851023299</v>
      </c>
      <c r="K4" s="288">
        <f t="shared" si="2"/>
        <v>0.548741990936084</v>
      </c>
      <c r="L4" s="288">
        <f t="shared" si="2"/>
        <v>0.58600207335182541</v>
      </c>
      <c r="M4" s="288">
        <f t="shared" si="2"/>
        <v>0.61458849163117746</v>
      </c>
      <c r="N4" s="288">
        <f t="shared" si="2"/>
        <v>0.51358745212474943</v>
      </c>
      <c r="O4" s="288">
        <f t="shared" si="2"/>
        <v>0.48385534388117524</v>
      </c>
      <c r="P4" s="288">
        <f t="shared" si="2"/>
        <v>0.30154047274140527</v>
      </c>
      <c r="Q4" s="288">
        <f t="shared" si="2"/>
        <v>0.23593007207483541</v>
      </c>
      <c r="R4" s="288">
        <f t="shared" si="2"/>
        <v>0.2787082781057959</v>
      </c>
      <c r="S4" s="288">
        <f t="shared" ca="1" si="2"/>
        <v>0.17907538288733305</v>
      </c>
      <c r="T4" s="288">
        <f t="shared" ca="1" si="2"/>
        <v>0.2638411106291676</v>
      </c>
      <c r="U4" s="288">
        <f t="shared" ca="1" si="2"/>
        <v>0.25565612277922689</v>
      </c>
      <c r="V4" s="288">
        <f t="shared" ca="1" si="2"/>
        <v>0.26019426928633571</v>
      </c>
      <c r="W4" s="288">
        <f t="shared" ca="1" si="2"/>
        <v>0.2337733380289615</v>
      </c>
      <c r="X4" s="288">
        <f t="shared" ca="1" si="2"/>
        <v>0.22457468156731752</v>
      </c>
      <c r="Y4" s="288">
        <f t="shared" ca="1" si="2"/>
        <v>0.21465235657304382</v>
      </c>
      <c r="Z4" s="288">
        <f t="shared" ca="1" si="2"/>
        <v>0.20632054096753416</v>
      </c>
      <c r="AA4" s="288">
        <f t="shared" ca="1" si="2"/>
        <v>0.19096667518887189</v>
      </c>
      <c r="AB4" s="288">
        <f t="shared" ca="1" si="2"/>
        <v>0.18723350617810031</v>
      </c>
      <c r="AC4" s="288">
        <f t="shared" ca="1" si="2"/>
        <v>0.18883458842897172</v>
      </c>
      <c r="AD4" s="288">
        <f t="shared" ca="1" si="2"/>
        <v>0.19043373802425934</v>
      </c>
      <c r="AE4" s="288">
        <f t="shared" ca="1" si="2"/>
        <v>0.17906370142386563</v>
      </c>
      <c r="AF4" s="288">
        <f t="shared" ca="1" si="2"/>
        <v>0.17713211270189078</v>
      </c>
      <c r="AG4" s="288">
        <f t="shared" ca="1" si="2"/>
        <v>0.17760693824716145</v>
      </c>
      <c r="AH4" s="288">
        <f t="shared" ca="1" si="2"/>
        <v>0.1796230430239385</v>
      </c>
      <c r="AI4" s="288">
        <f t="shared" ref="AI4" ca="1" si="3">AI3/AE3-1</f>
        <v>0.16972223133022846</v>
      </c>
      <c r="AJ4" s="288">
        <f t="shared" ref="AJ4" ca="1" si="4">AJ3/AF3-1</f>
        <v>0.16880916365718424</v>
      </c>
      <c r="AK4" s="288">
        <f t="shared" ref="AK4" ca="1" si="5">AK3/AG3-1</f>
        <v>0.1693301578095352</v>
      </c>
      <c r="AL4" s="288">
        <f t="shared" ref="AL4" ca="1" si="6">AL3/AH3-1</f>
        <v>0.1738981603964489</v>
      </c>
    </row>
    <row r="5" spans="2:38">
      <c r="B5" s="287" t="s">
        <v>430</v>
      </c>
      <c r="C5" s="288"/>
      <c r="D5" s="288">
        <f>D3/C3-1</f>
        <v>4.5984195723023147E-2</v>
      </c>
      <c r="E5" s="288">
        <f t="shared" ref="E5:AH5" si="7">E3/D3-1</f>
        <v>0.13508899227453175</v>
      </c>
      <c r="F5" s="288">
        <f t="shared" si="7"/>
        <v>0.1446566894788297</v>
      </c>
      <c r="G5" s="288">
        <f t="shared" si="7"/>
        <v>5.1049571301862606E-2</v>
      </c>
      <c r="H5" s="288">
        <f t="shared" si="7"/>
        <v>0.11551804969526502</v>
      </c>
      <c r="I5" s="288">
        <f t="shared" si="7"/>
        <v>0.1316018043764533</v>
      </c>
      <c r="J5" s="288">
        <f t="shared" si="7"/>
        <v>8.6065167871645087E-2</v>
      </c>
      <c r="K5" s="288">
        <f t="shared" si="7"/>
        <v>0.12967353638519064</v>
      </c>
      <c r="L5" s="288">
        <f t="shared" si="7"/>
        <v>0.14235550532773655</v>
      </c>
      <c r="M5" s="288">
        <f t="shared" si="7"/>
        <v>0.15199802141115759</v>
      </c>
      <c r="N5" s="288">
        <f t="shared" si="7"/>
        <v>1.8126054286152771E-2</v>
      </c>
      <c r="O5" s="288">
        <f t="shared" si="7"/>
        <v>0.10748282925653685</v>
      </c>
      <c r="P5" s="288">
        <f t="shared" si="7"/>
        <v>1.9992383853770779E-3</v>
      </c>
      <c r="Q5" s="288">
        <f t="shared" si="7"/>
        <v>9.3926026467594292E-2</v>
      </c>
      <c r="R5" s="288">
        <f t="shared" si="7"/>
        <v>5.3365593399094191E-2</v>
      </c>
      <c r="S5" s="288">
        <f t="shared" ca="1" si="7"/>
        <v>2.1191278186720508E-2</v>
      </c>
      <c r="T5" s="288">
        <f t="shared" ca="1" si="7"/>
        <v>7.4034661964919701E-2</v>
      </c>
      <c r="U5" s="288">
        <f t="shared" ca="1" si="7"/>
        <v>8.6841456136665718E-2</v>
      </c>
      <c r="V5" s="288">
        <f t="shared" ca="1" si="7"/>
        <v>5.7172628861806851E-2</v>
      </c>
      <c r="W5" s="288">
        <f t="shared" ca="1" si="7"/>
        <v>-2.1877359591537804E-4</v>
      </c>
      <c r="X5" s="288">
        <f t="shared" ca="1" si="7"/>
        <v>6.6026970779846206E-2</v>
      </c>
      <c r="Y5" s="288">
        <f t="shared" ca="1" si="7"/>
        <v>7.8035138067737986E-2</v>
      </c>
      <c r="Z5" s="288">
        <f t="shared" ca="1" si="7"/>
        <v>4.9921033490338163E-2</v>
      </c>
      <c r="AA5" s="288">
        <f t="shared" ca="1" si="7"/>
        <v>-1.2943838151247111E-2</v>
      </c>
      <c r="AB5" s="288">
        <f t="shared" ca="1" si="7"/>
        <v>6.2685434081238833E-2</v>
      </c>
      <c r="AC5" s="288">
        <f t="shared" ca="1" si="7"/>
        <v>7.9488957317610964E-2</v>
      </c>
      <c r="AD5" s="288">
        <f t="shared" ca="1" si="7"/>
        <v>5.1333324831902116E-2</v>
      </c>
      <c r="AE5" s="288">
        <f t="shared" ca="1" si="7"/>
        <v>-2.237138067494171E-2</v>
      </c>
      <c r="AF5" s="288">
        <f t="shared" ca="1" si="7"/>
        <v>6.0944500833103543E-2</v>
      </c>
      <c r="AG5" s="288">
        <f t="shared" ca="1" si="7"/>
        <v>7.992439606508972E-2</v>
      </c>
      <c r="AH5" s="288">
        <f t="shared" ca="1" si="7"/>
        <v>5.3133244711224048E-2</v>
      </c>
      <c r="AI5" s="288">
        <f t="shared" ref="AI5" ca="1" si="8">AI3/AH3-1</f>
        <v>-3.0576812845464874E-2</v>
      </c>
      <c r="AJ5" s="288">
        <f t="shared" ref="AJ5" ca="1" si="9">AJ3/AI3-1</f>
        <v>6.011634342901373E-2</v>
      </c>
      <c r="AK5" s="288">
        <f t="shared" ref="AK5" ca="1" si="10">AK3/AJ3-1</f>
        <v>8.040577002486482E-2</v>
      </c>
      <c r="AL5" s="288">
        <f t="shared" ref="AL5" ca="1" si="11">AL3/AK3-1</f>
        <v>5.7247322633593889E-2</v>
      </c>
    </row>
    <row r="6" spans="2:38">
      <c r="B6" s="548" t="s">
        <v>431</v>
      </c>
      <c r="C6" s="289">
        <f>核心数据模型!M34</f>
        <v>186.26</v>
      </c>
      <c r="D6" s="289">
        <f>核心数据模型!N34</f>
        <v>184.27999999999997</v>
      </c>
      <c r="E6" s="289">
        <f>核心数据模型!O34</f>
        <v>205.47000000000003</v>
      </c>
      <c r="F6" s="289">
        <f>核心数据模型!P34</f>
        <v>230.68</v>
      </c>
      <c r="G6" s="289">
        <f>核心数据模型!Q34</f>
        <v>249.64</v>
      </c>
      <c r="H6" s="289">
        <f>核心数据模型!R34</f>
        <v>256.8</v>
      </c>
      <c r="I6" s="289">
        <f>核心数据模型!S34</f>
        <v>279.75</v>
      </c>
      <c r="J6" s="289">
        <f>核心数据模型!T34</f>
        <v>291.90999999999997</v>
      </c>
      <c r="K6" s="289">
        <f>核心数据模型!U34</f>
        <v>351.08000000000004</v>
      </c>
      <c r="L6" s="289">
        <f>核心数据模型!V34</f>
        <v>368.04</v>
      </c>
      <c r="M6" s="289">
        <f>核心数据模型!W34</f>
        <v>421.24</v>
      </c>
      <c r="N6" s="289">
        <f>核心数据模型!X34</f>
        <v>399.47</v>
      </c>
      <c r="O6" s="289">
        <f>核心数据模型!Y34</f>
        <v>468.77</v>
      </c>
      <c r="P6" s="289">
        <f>核心数据模型!Z34</f>
        <v>420.69</v>
      </c>
      <c r="Q6" s="289">
        <f>核心数据模型!AA34</f>
        <v>440.49</v>
      </c>
      <c r="R6" s="289">
        <f>核心数据模型!AB34</f>
        <v>436.51</v>
      </c>
      <c r="S6" s="289">
        <f ca="1">核心数据模型!AC34</f>
        <v>474.1806561151086</v>
      </c>
      <c r="T6" s="289">
        <f ca="1">核心数据模型!AD34</f>
        <v>481.59598236438967</v>
      </c>
      <c r="U6" s="289">
        <f ca="1">核心数据模型!AE34</f>
        <v>499.50242714359695</v>
      </c>
      <c r="V6" s="289">
        <f ca="1">核心数据模型!AF34</f>
        <v>503.22011881849198</v>
      </c>
      <c r="W6" s="289">
        <f ca="1">核心数据模型!AG34</f>
        <v>530.37130566438873</v>
      </c>
      <c r="X6" s="289">
        <f ca="1">核心数据模型!AH34</f>
        <v>537.170207640081</v>
      </c>
      <c r="Y6" s="289">
        <f ca="1">核心数据模型!AI34</f>
        <v>560.73843598717758</v>
      </c>
      <c r="Z6" s="289">
        <f ca="1">核心数据模型!AJ34</f>
        <v>573.52687403183245</v>
      </c>
      <c r="AA6" s="289">
        <f ca="1">核心数据模型!AK34</f>
        <v>598.62502563786086</v>
      </c>
      <c r="AB6" s="289">
        <f ca="1">核心数据模型!AL34</f>
        <v>604.64223307713701</v>
      </c>
      <c r="AC6" s="289">
        <f ca="1">核心数据模型!AM34</f>
        <v>632.47800890606231</v>
      </c>
      <c r="AD6" s="289">
        <f ca="1">核心数据模型!AN34</f>
        <v>648.55951149664008</v>
      </c>
      <c r="AE6" s="289">
        <f ca="1">核心数据模型!AO34</f>
        <v>671.6333350628297</v>
      </c>
      <c r="AF6" s="289">
        <f ca="1">核心数据模型!AP34</f>
        <v>677.74890728224523</v>
      </c>
      <c r="AG6" s="289">
        <f ca="1">核心数据模型!AQ34</f>
        <v>709.34125202495989</v>
      </c>
      <c r="AH6" s="289">
        <f ca="1">核心数据模型!AR34</f>
        <v>729.22760678438408</v>
      </c>
      <c r="AI6" s="289">
        <f ca="1">核心数据模型!AS34</f>
        <v>746.8355500142809</v>
      </c>
      <c r="AJ6" s="289">
        <f ca="1">核心数据模型!AT34</f>
        <v>751.34611036944762</v>
      </c>
      <c r="AK6" s="289">
        <f ca="1">核心数据模型!AU34</f>
        <v>785.38637804440691</v>
      </c>
      <c r="AL6" s="289">
        <f ca="1">核心数据模型!AV34</f>
        <v>810.41132820686403</v>
      </c>
    </row>
    <row r="7" spans="2:38">
      <c r="B7" s="287" t="s">
        <v>432</v>
      </c>
      <c r="C7" s="288"/>
      <c r="D7" s="288"/>
      <c r="E7" s="288"/>
      <c r="F7" s="288"/>
      <c r="G7" s="288">
        <f>G6/C6-1</f>
        <v>0.34027703210565874</v>
      </c>
      <c r="H7" s="288">
        <f t="shared" ref="H7:AH7" si="12">H6/D6-1</f>
        <v>0.39353158237464747</v>
      </c>
      <c r="I7" s="288">
        <f t="shared" si="12"/>
        <v>0.36151262958096053</v>
      </c>
      <c r="J7" s="288">
        <f t="shared" si="12"/>
        <v>0.26543263395179451</v>
      </c>
      <c r="K7" s="288">
        <f t="shared" si="12"/>
        <v>0.40634513699727637</v>
      </c>
      <c r="L7" s="288">
        <f t="shared" si="12"/>
        <v>0.43317757009345792</v>
      </c>
      <c r="M7" s="288">
        <f t="shared" si="12"/>
        <v>0.50577301161751564</v>
      </c>
      <c r="N7" s="288">
        <f t="shared" si="12"/>
        <v>0.3684697338220686</v>
      </c>
      <c r="O7" s="288">
        <f t="shared" si="12"/>
        <v>0.33522274125555418</v>
      </c>
      <c r="P7" s="288">
        <f t="shared" si="12"/>
        <v>0.14305510270622745</v>
      </c>
      <c r="Q7" s="288">
        <f t="shared" si="12"/>
        <v>4.5698414205678439E-2</v>
      </c>
      <c r="R7" s="288">
        <f t="shared" si="12"/>
        <v>9.2722857786567081E-2</v>
      </c>
      <c r="S7" s="288">
        <f t="shared" ca="1" si="12"/>
        <v>1.1542240576633889E-2</v>
      </c>
      <c r="T7" s="288">
        <f t="shared" ca="1" si="12"/>
        <v>0.14477639678715848</v>
      </c>
      <c r="U7" s="288">
        <f t="shared" ca="1" si="12"/>
        <v>0.1339699587813501</v>
      </c>
      <c r="V7" s="288">
        <f t="shared" ca="1" si="12"/>
        <v>0.15282609520627699</v>
      </c>
      <c r="W7" s="288">
        <f t="shared" ca="1" si="12"/>
        <v>0.11850050993147154</v>
      </c>
      <c r="X7" s="288">
        <f t="shared" ca="1" si="12"/>
        <v>0.1153959487013374</v>
      </c>
      <c r="Y7" s="288">
        <f t="shared" ca="1" si="12"/>
        <v>0.12259401659719371</v>
      </c>
      <c r="Z7" s="288">
        <f t="shared" ca="1" si="12"/>
        <v>0.13971372086317491</v>
      </c>
      <c r="AA7" s="288">
        <f t="shared" ca="1" si="12"/>
        <v>0.12869044619216652</v>
      </c>
      <c r="AB7" s="288">
        <f t="shared" ca="1" si="12"/>
        <v>0.12560641762594571</v>
      </c>
      <c r="AC7" s="288">
        <f t="shared" ca="1" si="12"/>
        <v>0.12793767702509551</v>
      </c>
      <c r="AD7" s="288">
        <f t="shared" ca="1" si="12"/>
        <v>0.13082671599560136</v>
      </c>
      <c r="AE7" s="288">
        <f t="shared" ca="1" si="12"/>
        <v>0.12196000216859515</v>
      </c>
      <c r="AF7" s="288">
        <f t="shared" ca="1" si="12"/>
        <v>0.1209089775834129</v>
      </c>
      <c r="AG7" s="288">
        <f t="shared" ca="1" si="12"/>
        <v>0.12152713934171522</v>
      </c>
      <c r="AH7" s="288">
        <f t="shared" ca="1" si="12"/>
        <v>0.12438040589612398</v>
      </c>
      <c r="AI7" s="288">
        <f t="shared" ref="AI7" ca="1" si="13">AI6/AE6-1</f>
        <v>0.1119691519546393</v>
      </c>
      <c r="AJ7" s="288">
        <f t="shared" ref="AJ7" ca="1" si="14">AJ6/AF6-1</f>
        <v>0.10859066284935115</v>
      </c>
      <c r="AK7" s="288">
        <f t="shared" ref="AK7" ca="1" si="15">AK6/AG6-1</f>
        <v>0.10720527785795708</v>
      </c>
      <c r="AL7" s="288">
        <f t="shared" ref="AL7" ca="1" si="16">AL6/AH6-1</f>
        <v>0.11132837082302638</v>
      </c>
    </row>
    <row r="8" spans="2:38">
      <c r="B8" s="287" t="s">
        <v>347</v>
      </c>
      <c r="C8" s="288"/>
      <c r="D8" s="288">
        <f>D6/C6-1</f>
        <v>-1.0630301728766334E-2</v>
      </c>
      <c r="E8" s="288">
        <f t="shared" ref="E8:AH8" si="17">E6/D6-1</f>
        <v>0.11498806164532271</v>
      </c>
      <c r="F8" s="288">
        <f t="shared" si="17"/>
        <v>0.12269431060495428</v>
      </c>
      <c r="G8" s="288">
        <f t="shared" si="17"/>
        <v>8.2191780821917693E-2</v>
      </c>
      <c r="H8" s="288">
        <f t="shared" si="17"/>
        <v>2.8681301073546051E-2</v>
      </c>
      <c r="I8" s="288">
        <f t="shared" si="17"/>
        <v>8.9369158878504606E-2</v>
      </c>
      <c r="J8" s="288">
        <f t="shared" si="17"/>
        <v>4.3467381590705845E-2</v>
      </c>
      <c r="K8" s="288">
        <f t="shared" si="17"/>
        <v>0.20269946216299561</v>
      </c>
      <c r="L8" s="288">
        <f t="shared" si="17"/>
        <v>4.8308077930955928E-2</v>
      </c>
      <c r="M8" s="288">
        <f t="shared" si="17"/>
        <v>0.14454950548853374</v>
      </c>
      <c r="N8" s="288">
        <f t="shared" si="17"/>
        <v>-5.1680752065330848E-2</v>
      </c>
      <c r="O8" s="288">
        <f t="shared" si="17"/>
        <v>0.17347986081558053</v>
      </c>
      <c r="P8" s="288">
        <f t="shared" si="17"/>
        <v>-0.10256629050493837</v>
      </c>
      <c r="Q8" s="288">
        <f t="shared" si="17"/>
        <v>4.706553519218426E-2</v>
      </c>
      <c r="R8" s="288">
        <f t="shared" si="17"/>
        <v>-9.0353924039138223E-3</v>
      </c>
      <c r="S8" s="288">
        <f t="shared" ca="1" si="17"/>
        <v>8.6299640592675031E-2</v>
      </c>
      <c r="T8" s="288">
        <f t="shared" ca="1" si="17"/>
        <v>1.5638188006304787E-2</v>
      </c>
      <c r="U8" s="288">
        <f t="shared" ca="1" si="17"/>
        <v>3.7181466280710618E-2</v>
      </c>
      <c r="V8" s="288">
        <f t="shared" ca="1" si="17"/>
        <v>7.4427900103601896E-3</v>
      </c>
      <c r="W8" s="288">
        <f t="shared" ca="1" si="17"/>
        <v>5.3954891369695002E-2</v>
      </c>
      <c r="X8" s="288">
        <f t="shared" ca="1" si="17"/>
        <v>1.2819136146845933E-2</v>
      </c>
      <c r="Y8" s="288">
        <f t="shared" ca="1" si="17"/>
        <v>4.3874786821550549E-2</v>
      </c>
      <c r="Z8" s="288">
        <f t="shared" ca="1" si="17"/>
        <v>2.2806423144760668E-2</v>
      </c>
      <c r="AA8" s="288">
        <f t="shared" ca="1" si="17"/>
        <v>4.3761073355797819E-2</v>
      </c>
      <c r="AB8" s="288">
        <f t="shared" ca="1" si="17"/>
        <v>1.0051713813441943E-2</v>
      </c>
      <c r="AC8" s="288">
        <f t="shared" ca="1" si="17"/>
        <v>4.6036770682166717E-2</v>
      </c>
      <c r="AD8" s="288">
        <f t="shared" ca="1" si="17"/>
        <v>2.5426184569472099E-2</v>
      </c>
      <c r="AE8" s="288">
        <f t="shared" ca="1" si="17"/>
        <v>3.5577033652538059E-2</v>
      </c>
      <c r="AF8" s="288">
        <f t="shared" ca="1" si="17"/>
        <v>9.1055221653693064E-3</v>
      </c>
      <c r="AG8" s="288">
        <f t="shared" ca="1" si="17"/>
        <v>4.6613641723745713E-2</v>
      </c>
      <c r="AH8" s="288">
        <f t="shared" ca="1" si="17"/>
        <v>2.803496159662866E-2</v>
      </c>
      <c r="AI8" s="288">
        <f t="shared" ref="AI8" ca="1" si="18">AI6/AH6-1</f>
        <v>2.414601842563413E-2</v>
      </c>
      <c r="AJ8" s="288">
        <f t="shared" ref="AJ8" ca="1" si="19">AJ6/AI6-1</f>
        <v>6.0395630002889611E-3</v>
      </c>
      <c r="AK8" s="288">
        <f t="shared" ref="AK8" ca="1" si="20">AK6/AJ6-1</f>
        <v>4.5305708255042765E-2</v>
      </c>
      <c r="AL8" s="288">
        <f t="shared" ref="AL8" ca="1" si="21">AL6/AK6-1</f>
        <v>3.1863234278099783E-2</v>
      </c>
    </row>
    <row r="9" spans="2:38">
      <c r="B9" s="287" t="s">
        <v>351</v>
      </c>
      <c r="C9" s="288">
        <f>C6/C3</f>
        <v>0.83155498013304163</v>
      </c>
      <c r="D9" s="288">
        <f t="shared" ref="D9:AH9" si="22">D6/D3</f>
        <v>0.78654658756242268</v>
      </c>
      <c r="E9" s="288">
        <f t="shared" si="22"/>
        <v>0.77261788373317297</v>
      </c>
      <c r="F9" s="288">
        <f t="shared" si="22"/>
        <v>0.75779376498800965</v>
      </c>
      <c r="G9" s="288">
        <f t="shared" si="22"/>
        <v>0.78024691358024689</v>
      </c>
      <c r="H9" s="288">
        <f t="shared" si="22"/>
        <v>0.71950911994620492</v>
      </c>
      <c r="I9" s="288">
        <f t="shared" si="22"/>
        <v>0.6926562345251065</v>
      </c>
      <c r="J9" s="288">
        <f t="shared" si="22"/>
        <v>0.66548878351267549</v>
      </c>
      <c r="K9" s="288">
        <f t="shared" si="22"/>
        <v>0.70850823377462058</v>
      </c>
      <c r="L9" s="288">
        <f t="shared" si="22"/>
        <v>0.65017842631523159</v>
      </c>
      <c r="M9" s="288">
        <f t="shared" si="22"/>
        <v>0.64597454378162866</v>
      </c>
      <c r="N9" s="288">
        <f t="shared" si="22"/>
        <v>0.60168393782383423</v>
      </c>
      <c r="O9" s="288">
        <f t="shared" si="22"/>
        <v>0.63753944075726254</v>
      </c>
      <c r="P9" s="288">
        <f t="shared" si="22"/>
        <v>0.57100780454699696</v>
      </c>
      <c r="Q9" s="288">
        <f t="shared" si="22"/>
        <v>0.54654755257770327</v>
      </c>
      <c r="R9" s="288">
        <f t="shared" si="22"/>
        <v>0.51417027892951372</v>
      </c>
      <c r="S9" s="288">
        <f t="shared" ca="1" si="22"/>
        <v>0.54695236938993819</v>
      </c>
      <c r="T9" s="288">
        <f t="shared" ca="1" si="22"/>
        <v>0.51721395318533581</v>
      </c>
      <c r="U9" s="288">
        <f t="shared" ca="1" si="22"/>
        <v>0.49358139893971237</v>
      </c>
      <c r="V9" s="288">
        <f t="shared" ca="1" si="22"/>
        <v>0.47036312525458079</v>
      </c>
      <c r="W9" s="288">
        <f t="shared" ca="1" si="22"/>
        <v>0.49584999546854519</v>
      </c>
      <c r="X9" s="288">
        <f t="shared" ca="1" si="22"/>
        <v>0.47110099259635352</v>
      </c>
      <c r="Y9" s="288">
        <f t="shared" ca="1" si="22"/>
        <v>0.45617293059610747</v>
      </c>
      <c r="Z9" s="288">
        <f t="shared" ca="1" si="22"/>
        <v>0.44439209101982574</v>
      </c>
      <c r="AA9" s="288">
        <f t="shared" ca="1" si="22"/>
        <v>0.46992175708108797</v>
      </c>
      <c r="AB9" s="288">
        <f t="shared" ca="1" si="22"/>
        <v>0.44664701413578589</v>
      </c>
      <c r="AC9" s="288">
        <f t="shared" ca="1" si="22"/>
        <v>0.43280590980975236</v>
      </c>
      <c r="AD9" s="288">
        <f t="shared" ca="1" si="22"/>
        <v>0.42214063063804658</v>
      </c>
      <c r="AE9" s="288">
        <f t="shared" ca="1" si="22"/>
        <v>0.44716279108335516</v>
      </c>
      <c r="AF9" s="288">
        <f t="shared" ca="1" si="22"/>
        <v>0.42531389854489332</v>
      </c>
      <c r="AG9" s="288">
        <f t="shared" ca="1" si="22"/>
        <v>0.4121948998038607</v>
      </c>
      <c r="AH9" s="288">
        <f t="shared" ca="1" si="22"/>
        <v>0.40237146640108523</v>
      </c>
      <c r="AI9" s="288">
        <f t="shared" ref="AI9:AL9" ca="1" si="23">AI6/AI3</f>
        <v>0.42508487593774125</v>
      </c>
      <c r="AJ9" s="288">
        <f t="shared" ca="1" si="23"/>
        <v>0.40340119787529077</v>
      </c>
      <c r="AK9" s="288">
        <f t="shared" ca="1" si="23"/>
        <v>0.3902955598305059</v>
      </c>
      <c r="AL9" s="288">
        <f t="shared" ca="1" si="23"/>
        <v>0.38092471843568865</v>
      </c>
    </row>
    <row r="10" spans="2:38">
      <c r="B10" s="548" t="s">
        <v>398</v>
      </c>
      <c r="C10" s="289">
        <f>核心数据模型!M109</f>
        <v>27.24</v>
      </c>
      <c r="D10" s="289">
        <f>核心数据模型!N109</f>
        <v>40.729999999999997</v>
      </c>
      <c r="E10" s="289">
        <f>核心数据模型!O109</f>
        <v>49.38</v>
      </c>
      <c r="F10" s="289">
        <f>核心数据模型!P109</f>
        <v>57.33</v>
      </c>
      <c r="G10" s="289">
        <f>核心数据模型!Q109</f>
        <v>47.01</v>
      </c>
      <c r="H10" s="289">
        <f>核心数据模型!R109</f>
        <v>65.319999999999993</v>
      </c>
      <c r="I10" s="289">
        <f>核心数据模型!S109</f>
        <v>74.489999999999995</v>
      </c>
      <c r="J10" s="289">
        <f>核心数据模型!T109</f>
        <v>82.88</v>
      </c>
      <c r="K10" s="289">
        <f>核心数据模型!U109</f>
        <v>68.88</v>
      </c>
      <c r="L10" s="289">
        <f>核心数据模型!V109</f>
        <v>101.48</v>
      </c>
      <c r="M10" s="289">
        <f>核心数据模型!W109</f>
        <v>110.42</v>
      </c>
      <c r="N10" s="289">
        <f>核心数据模型!X109</f>
        <v>123.61000000000001</v>
      </c>
      <c r="O10" s="289">
        <f>核心数据模型!Y109</f>
        <v>106.89000000000001</v>
      </c>
      <c r="P10" s="289">
        <f>核心数据模型!Z109</f>
        <v>141.1</v>
      </c>
      <c r="Q10" s="289">
        <f>核心数据模型!AA109</f>
        <v>162.47</v>
      </c>
      <c r="R10" s="289">
        <f>核心数据模型!AB109</f>
        <v>170.33</v>
      </c>
      <c r="S10" s="289">
        <f>核心数据模型!AC109</f>
        <v>144.36266676838218</v>
      </c>
      <c r="T10" s="289">
        <f>核心数据模型!AD109</f>
        <v>182.65698159297304</v>
      </c>
      <c r="U10" s="289">
        <f ca="1">核心数据模型!AE109</f>
        <v>207.39404912257251</v>
      </c>
      <c r="V10" s="289">
        <f ca="1">核心数据模型!AF109</f>
        <v>224.76653693930177</v>
      </c>
      <c r="W10" s="289">
        <f>核心数据模型!AG109</f>
        <v>179.28385202308229</v>
      </c>
      <c r="X10" s="289">
        <f>核心数据模型!AH109</f>
        <v>224.33306929972849</v>
      </c>
      <c r="Y10" s="289">
        <f ca="1">核心数据模型!AI109</f>
        <v>254.60153583080182</v>
      </c>
      <c r="Z10" s="289">
        <f ca="1">核心数据模型!AJ109</f>
        <v>269.48783797596587</v>
      </c>
      <c r="AA10" s="289">
        <f>核心数据模型!AK109</f>
        <v>217.31072759353776</v>
      </c>
      <c r="AB10" s="289">
        <f>核心数据模型!AL109</f>
        <v>268.72845432195197</v>
      </c>
      <c r="AC10" s="289">
        <f ca="1">核心数据模型!AM109</f>
        <v>305.42390246095891</v>
      </c>
      <c r="AD10" s="289">
        <f ca="1">核心数据模型!AN109</f>
        <v>323.61549090849718</v>
      </c>
      <c r="AE10" s="289">
        <f>核心数据模型!AO109</f>
        <v>258.4028345379711</v>
      </c>
      <c r="AF10" s="289">
        <f>核心数据模型!AP109</f>
        <v>317.34872899583524</v>
      </c>
      <c r="AG10" s="289">
        <f ca="1">核心数据模型!AQ109</f>
        <v>361.08306287858608</v>
      </c>
      <c r="AH10" s="289">
        <f ca="1">核心数据模型!AR109</f>
        <v>383.29851909734418</v>
      </c>
      <c r="AI10" s="289">
        <f>核心数据模型!AS109</f>
        <v>301.31855928022981</v>
      </c>
      <c r="AJ10" s="289">
        <f>核心数据模型!AT109</f>
        <v>369.50352801207714</v>
      </c>
      <c r="AK10" s="289">
        <f ca="1">核心数据模型!AU109</f>
        <v>420.76236854517742</v>
      </c>
      <c r="AL10" s="289">
        <f ca="1">核心数据模型!AV109</f>
        <v>449.25264646731921</v>
      </c>
    </row>
    <row r="11" spans="2:38">
      <c r="B11" s="287" t="s">
        <v>373</v>
      </c>
      <c r="C11" s="288"/>
      <c r="D11" s="288"/>
      <c r="E11" s="288"/>
      <c r="F11" s="288"/>
      <c r="G11" s="288">
        <f>G10/C10-1</f>
        <v>0.72577092511013208</v>
      </c>
      <c r="H11" s="288">
        <f t="shared" ref="H11:AH11" si="24">H10/D10-1</f>
        <v>0.60373189295359686</v>
      </c>
      <c r="I11" s="288">
        <f t="shared" si="24"/>
        <v>0.50850546780072881</v>
      </c>
      <c r="J11" s="288">
        <f t="shared" si="24"/>
        <v>0.44566544566544564</v>
      </c>
      <c r="K11" s="288">
        <f t="shared" si="24"/>
        <v>0.46522016592214421</v>
      </c>
      <c r="L11" s="288">
        <f t="shared" si="24"/>
        <v>0.55358236374770375</v>
      </c>
      <c r="M11" s="288">
        <f t="shared" si="24"/>
        <v>0.4823466237078804</v>
      </c>
      <c r="N11" s="288">
        <f t="shared" si="24"/>
        <v>0.491433397683398</v>
      </c>
      <c r="O11" s="288">
        <f t="shared" si="24"/>
        <v>0.55182926829268331</v>
      </c>
      <c r="P11" s="288">
        <f t="shared" si="24"/>
        <v>0.39042175798186829</v>
      </c>
      <c r="Q11" s="288">
        <f t="shared" si="24"/>
        <v>0.47138199601521458</v>
      </c>
      <c r="R11" s="288">
        <f t="shared" si="24"/>
        <v>0.37796294798155494</v>
      </c>
      <c r="S11" s="288">
        <f t="shared" si="24"/>
        <v>0.35057224032540146</v>
      </c>
      <c r="T11" s="288">
        <f t="shared" si="24"/>
        <v>0.2945214854214957</v>
      </c>
      <c r="U11" s="288">
        <f t="shared" ca="1" si="24"/>
        <v>0.27650673430524098</v>
      </c>
      <c r="V11" s="288">
        <f t="shared" ca="1" si="24"/>
        <v>0.31959453378325464</v>
      </c>
      <c r="W11" s="288">
        <f t="shared" si="24"/>
        <v>0.24189900364426098</v>
      </c>
      <c r="X11" s="288">
        <f t="shared" si="24"/>
        <v>0.22816586228072633</v>
      </c>
      <c r="Y11" s="288">
        <f t="shared" ca="1" si="24"/>
        <v>0.22762218543854695</v>
      </c>
      <c r="Z11" s="288">
        <f t="shared" ca="1" si="24"/>
        <v>0.1989677896258244</v>
      </c>
      <c r="AA11" s="288">
        <f t="shared" si="24"/>
        <v>0.21210429796856234</v>
      </c>
      <c r="AB11" s="288">
        <f t="shared" si="24"/>
        <v>0.19789942321391485</v>
      </c>
      <c r="AC11" s="288">
        <f t="shared" ca="1" si="24"/>
        <v>0.19961531836136159</v>
      </c>
      <c r="AD11" s="288">
        <f t="shared" ca="1" si="24"/>
        <v>0.20085378746241833</v>
      </c>
      <c r="AE11" s="288">
        <f t="shared" si="24"/>
        <v>0.18909378013446632</v>
      </c>
      <c r="AF11" s="288">
        <f t="shared" si="24"/>
        <v>0.18092715487297606</v>
      </c>
      <c r="AG11" s="288">
        <f t="shared" ca="1" si="24"/>
        <v>0.1822357712318925</v>
      </c>
      <c r="AH11" s="288">
        <f t="shared" ca="1" si="24"/>
        <v>0.18442574557014169</v>
      </c>
      <c r="AI11" s="288">
        <f t="shared" ref="AI11" si="25">AI10/AE10-1</f>
        <v>0.16608070425772525</v>
      </c>
      <c r="AJ11" s="288">
        <f t="shared" ref="AJ11" si="26">AJ10/AF10-1</f>
        <v>0.16434538490597306</v>
      </c>
      <c r="AK11" s="288">
        <f t="shared" ref="AK11" ca="1" si="27">AK10/AG10-1</f>
        <v>0.1652786070629364</v>
      </c>
      <c r="AL11" s="288">
        <f t="shared" ref="AL11" ca="1" si="28">AL10/AH10-1</f>
        <v>0.17206987265511731</v>
      </c>
    </row>
    <row r="12" spans="2:38">
      <c r="B12" s="287" t="s">
        <v>433</v>
      </c>
      <c r="C12" s="288"/>
      <c r="D12" s="288">
        <f>D10/C10-1</f>
        <v>0.49522760646108654</v>
      </c>
      <c r="E12" s="288">
        <f t="shared" ref="E12:AH12" si="29">E10/D10-1</f>
        <v>0.21237417137245296</v>
      </c>
      <c r="F12" s="288">
        <f t="shared" si="29"/>
        <v>0.16099635479951391</v>
      </c>
      <c r="G12" s="288">
        <f t="shared" si="29"/>
        <v>-0.18001046572475143</v>
      </c>
      <c r="H12" s="288">
        <f t="shared" si="29"/>
        <v>0.38949159753243978</v>
      </c>
      <c r="I12" s="288">
        <f t="shared" si="29"/>
        <v>0.14038579301898357</v>
      </c>
      <c r="J12" s="288">
        <f t="shared" si="29"/>
        <v>0.11263256812995026</v>
      </c>
      <c r="K12" s="288">
        <f t="shared" si="29"/>
        <v>-0.16891891891891897</v>
      </c>
      <c r="L12" s="288">
        <f t="shared" si="29"/>
        <v>0.47328687572590034</v>
      </c>
      <c r="M12" s="288">
        <f t="shared" si="29"/>
        <v>8.8096176586519581E-2</v>
      </c>
      <c r="N12" s="288">
        <f t="shared" si="29"/>
        <v>0.11945299764535422</v>
      </c>
      <c r="O12" s="288">
        <f t="shared" si="29"/>
        <v>-0.13526413720572772</v>
      </c>
      <c r="P12" s="288">
        <f t="shared" si="29"/>
        <v>0.32004864814295053</v>
      </c>
      <c r="Q12" s="288">
        <f t="shared" si="29"/>
        <v>0.15145287030474841</v>
      </c>
      <c r="R12" s="288">
        <f t="shared" si="29"/>
        <v>4.8378162122238111E-2</v>
      </c>
      <c r="S12" s="288">
        <f t="shared" si="29"/>
        <v>-0.15245308067643881</v>
      </c>
      <c r="T12" s="288">
        <f t="shared" si="29"/>
        <v>0.26526466767222368</v>
      </c>
      <c r="U12" s="288">
        <f t="shared" ca="1" si="29"/>
        <v>0.13542908304880874</v>
      </c>
      <c r="V12" s="288">
        <f t="shared" ca="1" si="29"/>
        <v>8.3765604125226822E-2</v>
      </c>
      <c r="W12" s="288">
        <f t="shared" ca="1" si="29"/>
        <v>-0.2023552328365591</v>
      </c>
      <c r="X12" s="288">
        <f t="shared" si="29"/>
        <v>0.25127314461564687</v>
      </c>
      <c r="Y12" s="288">
        <f t="shared" ca="1" si="29"/>
        <v>0.13492645834855499</v>
      </c>
      <c r="Z12" s="288">
        <f t="shared" ca="1" si="29"/>
        <v>5.8469019429077118E-2</v>
      </c>
      <c r="AA12" s="288">
        <f t="shared" ca="1" si="29"/>
        <v>-0.19361582613268613</v>
      </c>
      <c r="AB12" s="288">
        <f t="shared" si="29"/>
        <v>0.23660924289290919</v>
      </c>
      <c r="AC12" s="288">
        <f t="shared" ca="1" si="29"/>
        <v>0.13655214975874386</v>
      </c>
      <c r="AD12" s="288">
        <f t="shared" ca="1" si="29"/>
        <v>5.9561770709362305E-2</v>
      </c>
      <c r="AE12" s="288">
        <f t="shared" ca="1" si="29"/>
        <v>-0.20151277736258011</v>
      </c>
      <c r="AF12" s="288">
        <f t="shared" si="29"/>
        <v>0.22811628426313679</v>
      </c>
      <c r="AG12" s="288">
        <f t="shared" ca="1" si="29"/>
        <v>0.13781159301042845</v>
      </c>
      <c r="AH12" s="288">
        <f t="shared" ca="1" si="29"/>
        <v>6.152450364648665E-2</v>
      </c>
      <c r="AI12" s="288">
        <f t="shared" ref="AI12" ca="1" si="30">AI10/AH10-1</f>
        <v>-0.21388018928477615</v>
      </c>
      <c r="AJ12" s="288">
        <f t="shared" ref="AJ12" si="31">AJ10/AI10-1</f>
        <v>0.2262886457930875</v>
      </c>
      <c r="AK12" s="288">
        <f t="shared" ref="AK12" ca="1" si="32">AK10/AJ10-1</f>
        <v>0.13872354834843392</v>
      </c>
      <c r="AL12" s="288">
        <f t="shared" ref="AL12" ca="1" si="33">AL10/AK10-1</f>
        <v>6.7711088376675388E-2</v>
      </c>
    </row>
    <row r="13" spans="2:38">
      <c r="B13" s="287" t="s">
        <v>434</v>
      </c>
      <c r="C13" s="288">
        <f>C10/C3</f>
        <v>0.12161257198982096</v>
      </c>
      <c r="D13" s="288">
        <f t="shared" ref="D13:AH13" si="34">D10/D3</f>
        <v>0.17384438089547144</v>
      </c>
      <c r="E13" s="288">
        <f t="shared" si="34"/>
        <v>0.18568098067233213</v>
      </c>
      <c r="F13" s="288">
        <f t="shared" si="34"/>
        <v>0.18833152655957427</v>
      </c>
      <c r="G13" s="288">
        <f t="shared" si="34"/>
        <v>0.14692920768870135</v>
      </c>
      <c r="H13" s="288">
        <f t="shared" si="34"/>
        <v>0.18301532599254711</v>
      </c>
      <c r="I13" s="288">
        <f t="shared" si="34"/>
        <v>0.18443597108051896</v>
      </c>
      <c r="J13" s="288">
        <f t="shared" si="34"/>
        <v>0.18894765639248587</v>
      </c>
      <c r="K13" s="288">
        <f t="shared" si="34"/>
        <v>0.13900548918308039</v>
      </c>
      <c r="L13" s="288">
        <f t="shared" si="34"/>
        <v>0.17927428187824612</v>
      </c>
      <c r="M13" s="288">
        <f t="shared" si="34"/>
        <v>0.16932985738383685</v>
      </c>
      <c r="N13" s="288">
        <f t="shared" si="34"/>
        <v>0.1861820701289312</v>
      </c>
      <c r="O13" s="288">
        <f t="shared" si="34"/>
        <v>0.14537319116527039</v>
      </c>
      <c r="P13" s="288">
        <f t="shared" si="34"/>
        <v>0.19151679674244995</v>
      </c>
      <c r="Q13" s="288">
        <f t="shared" si="34"/>
        <v>0.20158818785284446</v>
      </c>
      <c r="R13" s="288">
        <f t="shared" si="34"/>
        <v>0.20063371654730494</v>
      </c>
      <c r="S13" s="288">
        <f t="shared" ca="1" si="34"/>
        <v>0.16651776410982294</v>
      </c>
      <c r="T13" s="288">
        <f t="shared" ca="1" si="34"/>
        <v>0.19616596272832246</v>
      </c>
      <c r="U13" s="288">
        <f t="shared" ca="1" si="34"/>
        <v>0.20493563060958389</v>
      </c>
      <c r="V13" s="288">
        <f t="shared" ca="1" si="34"/>
        <v>0.21009074719755455</v>
      </c>
      <c r="W13" s="288">
        <f t="shared" ca="1" si="34"/>
        <v>0.16761445474857944</v>
      </c>
      <c r="X13" s="288">
        <f t="shared" ca="1" si="34"/>
        <v>0.1967412379096414</v>
      </c>
      <c r="Y13" s="288">
        <f t="shared" ca="1" si="34"/>
        <v>0.20712389463679026</v>
      </c>
      <c r="Z13" s="288">
        <f t="shared" ca="1" si="34"/>
        <v>0.20881020444720177</v>
      </c>
      <c r="AA13" s="288">
        <f t="shared" ca="1" si="34"/>
        <v>0.17058932481900949</v>
      </c>
      <c r="AB13" s="288">
        <f t="shared" ca="1" si="34"/>
        <v>0.19850872990691737</v>
      </c>
      <c r="AC13" s="288">
        <f t="shared" ca="1" si="34"/>
        <v>0.20900215995002849</v>
      </c>
      <c r="AD13" s="288">
        <f t="shared" ca="1" si="34"/>
        <v>0.21063795225376439</v>
      </c>
      <c r="AE13" s="288">
        <f t="shared" ca="1" si="34"/>
        <v>0.17204049692536524</v>
      </c>
      <c r="AF13" s="288">
        <f t="shared" ca="1" si="34"/>
        <v>0.19914871669616244</v>
      </c>
      <c r="AG13" s="288">
        <f t="shared" ca="1" si="34"/>
        <v>0.20982368711706162</v>
      </c>
      <c r="AH13" s="288">
        <f t="shared" ca="1" si="34"/>
        <v>0.21149554098568921</v>
      </c>
      <c r="AI13" s="288">
        <f t="shared" ref="AI13:AL13" ca="1" si="35">AI10/AI3</f>
        <v>0.17150490812458805</v>
      </c>
      <c r="AJ13" s="288">
        <f t="shared" ca="1" si="35"/>
        <v>0.19838815129544485</v>
      </c>
      <c r="AK13" s="288">
        <f t="shared" ca="1" si="35"/>
        <v>0.20909668002627915</v>
      </c>
      <c r="AL13" s="288">
        <f t="shared" ca="1" si="35"/>
        <v>0.21116614724611654</v>
      </c>
    </row>
    <row r="14" spans="2:38">
      <c r="B14" s="548" t="s">
        <v>435</v>
      </c>
      <c r="C14" s="289">
        <f>核心数据模型!M137</f>
        <v>10.49</v>
      </c>
      <c r="D14" s="289">
        <f>核心数据模型!N137</f>
        <v>9.2799999999999994</v>
      </c>
      <c r="E14" s="289">
        <f>核心数据模型!O137</f>
        <v>11.09</v>
      </c>
      <c r="F14" s="289">
        <f>核心数据模型!P137</f>
        <v>16.399999999999999</v>
      </c>
      <c r="G14" s="289">
        <f>核心数据模型!Q137</f>
        <v>23.3</v>
      </c>
      <c r="H14" s="289">
        <f>核心数据模型!R137</f>
        <v>34.79</v>
      </c>
      <c r="I14" s="289">
        <f>核心数据模型!S137</f>
        <v>49.64</v>
      </c>
      <c r="J14" s="289">
        <f>核心数据模型!T137</f>
        <v>63.85</v>
      </c>
      <c r="K14" s="289">
        <f>核心数据模型!U137</f>
        <v>75.56</v>
      </c>
      <c r="L14" s="289">
        <f>核心数据模型!V137</f>
        <v>96.54</v>
      </c>
      <c r="M14" s="289">
        <f>核心数据模型!W137</f>
        <v>120.44</v>
      </c>
      <c r="N14" s="289">
        <f>核心数据模型!X137</f>
        <v>140.84</v>
      </c>
      <c r="O14" s="289">
        <f>核心数据模型!Y137</f>
        <v>159.62</v>
      </c>
      <c r="P14" s="289">
        <f>核心数据模型!Z137</f>
        <v>174.96</v>
      </c>
      <c r="Q14" s="289">
        <f>核心数据模型!AA137</f>
        <v>202.99</v>
      </c>
      <c r="R14" s="289">
        <f>核心数据模型!AB137</f>
        <v>242.12</v>
      </c>
      <c r="S14" s="289">
        <f>核心数据模型!AC137</f>
        <v>248.40722464590749</v>
      </c>
      <c r="T14" s="289">
        <f>核心数据模型!AD137</f>
        <v>266.88197429867665</v>
      </c>
      <c r="U14" s="289">
        <f>核心数据模型!AE137</f>
        <v>305.09957588774853</v>
      </c>
      <c r="V14" s="289">
        <f>核心数据模型!AF137</f>
        <v>341.86787109553393</v>
      </c>
      <c r="W14" s="289">
        <f>核心数据模型!AG137</f>
        <v>359.96531324391037</v>
      </c>
      <c r="X14" s="289">
        <f>核心数据模型!AH137</f>
        <v>378.7409935712837</v>
      </c>
      <c r="Y14" s="289">
        <f>核心数据模型!AI137</f>
        <v>413.88341777339406</v>
      </c>
      <c r="Z14" s="289">
        <f>核心数据模型!AJ137</f>
        <v>447.57277958247306</v>
      </c>
      <c r="AA14" s="289">
        <f>核心数据模型!AK137</f>
        <v>457.94658274770427</v>
      </c>
      <c r="AB14" s="289">
        <f>核心数据模型!AL137</f>
        <v>480.36551577928662</v>
      </c>
      <c r="AC14" s="289">
        <f>核心数据模型!AM137</f>
        <v>523.44137108510461</v>
      </c>
      <c r="AD14" s="289">
        <f>核心数据模型!AN137</f>
        <v>564.1838894560218</v>
      </c>
      <c r="AE14" s="289">
        <f>核心数据模型!AO137</f>
        <v>571.95225263720079</v>
      </c>
      <c r="AF14" s="289">
        <f>核心数据模型!AP137</f>
        <v>598.42872061031676</v>
      </c>
      <c r="AG14" s="289">
        <f>核心数据模型!AQ137</f>
        <v>650.46367367295898</v>
      </c>
      <c r="AH14" s="289">
        <f>核心数据模型!AR137</f>
        <v>699.79822531241837</v>
      </c>
      <c r="AI14" s="289">
        <f>核心数据模型!AS137</f>
        <v>708.75513939789357</v>
      </c>
      <c r="AJ14" s="289">
        <f>核心数据模型!AT137</f>
        <v>741.67857007888267</v>
      </c>
      <c r="AK14" s="289">
        <f>核心数据模型!AU137</f>
        <v>806.13747666511404</v>
      </c>
      <c r="AL14" s="289">
        <f>核心数据模型!AV137</f>
        <v>867.82024723431311</v>
      </c>
    </row>
    <row r="15" spans="2:38">
      <c r="B15" s="287" t="s">
        <v>436</v>
      </c>
      <c r="C15" s="288"/>
      <c r="D15" s="288"/>
      <c r="E15" s="288"/>
      <c r="F15" s="288"/>
      <c r="G15" s="288">
        <f t="shared" ref="G15:N15" si="36">G14/C14-1</f>
        <v>1.221163012392755</v>
      </c>
      <c r="H15" s="288">
        <f t="shared" si="36"/>
        <v>2.7489224137931036</v>
      </c>
      <c r="I15" s="288">
        <f t="shared" si="36"/>
        <v>3.4761045987376011</v>
      </c>
      <c r="J15" s="288">
        <f t="shared" si="36"/>
        <v>2.8932926829268295</v>
      </c>
      <c r="K15" s="288">
        <f t="shared" si="36"/>
        <v>2.2429184549356225</v>
      </c>
      <c r="L15" s="288">
        <f t="shared" si="36"/>
        <v>1.7749353262431735</v>
      </c>
      <c r="M15" s="288">
        <f t="shared" si="36"/>
        <v>1.4262691377921031</v>
      </c>
      <c r="N15" s="288">
        <f t="shared" si="36"/>
        <v>1.2057948316366485</v>
      </c>
      <c r="O15" s="288">
        <f>O14/K14-1</f>
        <v>1.1124933827421915</v>
      </c>
      <c r="P15" s="288">
        <f>P14/L14-1</f>
        <v>0.81230577998756992</v>
      </c>
      <c r="Q15" s="288">
        <f t="shared" ref="Q15:AH15" si="37">Q14/M14-1</f>
        <v>0.6854035204251081</v>
      </c>
      <c r="R15" s="288">
        <f t="shared" si="37"/>
        <v>0.71911388809997168</v>
      </c>
      <c r="S15" s="288">
        <f t="shared" si="37"/>
        <v>0.55624122695093026</v>
      </c>
      <c r="T15" s="288">
        <f t="shared" si="37"/>
        <v>0.52538851336692183</v>
      </c>
      <c r="U15" s="288">
        <f t="shared" si="37"/>
        <v>0.50302761657100614</v>
      </c>
      <c r="V15" s="288">
        <f t="shared" si="37"/>
        <v>0.41197699940332866</v>
      </c>
      <c r="W15" s="288">
        <f t="shared" si="37"/>
        <v>0.44909357510444203</v>
      </c>
      <c r="X15" s="288">
        <f t="shared" si="37"/>
        <v>0.4191329128411716</v>
      </c>
      <c r="Y15" s="288">
        <f t="shared" si="37"/>
        <v>0.3565519275768152</v>
      </c>
      <c r="Z15" s="288">
        <f t="shared" si="37"/>
        <v>0.30919813595879031</v>
      </c>
      <c r="AA15" s="288">
        <f t="shared" si="37"/>
        <v>0.27219641976281861</v>
      </c>
      <c r="AB15" s="288">
        <f t="shared" si="37"/>
        <v>0.26832195070765685</v>
      </c>
      <c r="AC15" s="288">
        <f t="shared" si="37"/>
        <v>0.26470727892677925</v>
      </c>
      <c r="AD15" s="288">
        <f t="shared" si="37"/>
        <v>0.26054111240261668</v>
      </c>
      <c r="AE15" s="288">
        <f t="shared" si="37"/>
        <v>0.24894971200670679</v>
      </c>
      <c r="AF15" s="288">
        <f t="shared" si="37"/>
        <v>0.24577785239121241</v>
      </c>
      <c r="AG15" s="288">
        <f t="shared" si="37"/>
        <v>0.24266767895043251</v>
      </c>
      <c r="AH15" s="288">
        <f t="shared" si="37"/>
        <v>0.24037257779046839</v>
      </c>
      <c r="AI15" s="288">
        <f t="shared" ref="AI15" si="38">AI14/AE14-1</f>
        <v>0.23918585184324681</v>
      </c>
      <c r="AJ15" s="288">
        <f t="shared" ref="AJ15" si="39">AJ14/AF14-1</f>
        <v>0.23937662838519902</v>
      </c>
      <c r="AK15" s="288">
        <f t="shared" ref="AK15" si="40">AK14/AG14-1</f>
        <v>0.23932743563236247</v>
      </c>
      <c r="AL15" s="288">
        <f t="shared" ref="AL15" si="41">AL14/AH14-1</f>
        <v>0.24010066879904257</v>
      </c>
    </row>
    <row r="16" spans="2:38">
      <c r="B16" s="287" t="s">
        <v>437</v>
      </c>
      <c r="C16" s="288"/>
      <c r="D16" s="288">
        <f t="shared" ref="D16:AH16" si="42">D14/C14-1</f>
        <v>-0.11534795042898005</v>
      </c>
      <c r="E16" s="288">
        <f t="shared" si="42"/>
        <v>0.19504310344827602</v>
      </c>
      <c r="F16" s="288">
        <f t="shared" si="42"/>
        <v>0.47880973850315578</v>
      </c>
      <c r="G16" s="288">
        <f t="shared" si="42"/>
        <v>0.42073170731707332</v>
      </c>
      <c r="H16" s="288">
        <f t="shared" si="42"/>
        <v>0.49313304721030038</v>
      </c>
      <c r="I16" s="288">
        <f t="shared" si="42"/>
        <v>0.42684679505605061</v>
      </c>
      <c r="J16" s="288">
        <f t="shared" si="42"/>
        <v>0.28626107977437543</v>
      </c>
      <c r="K16" s="288">
        <f t="shared" si="42"/>
        <v>0.18339859044635864</v>
      </c>
      <c r="L16" s="288">
        <f t="shared" si="42"/>
        <v>0.27766013763896247</v>
      </c>
      <c r="M16" s="288">
        <f t="shared" si="42"/>
        <v>0.24756577584420958</v>
      </c>
      <c r="N16" s="288">
        <f t="shared" si="42"/>
        <v>0.16937894387246777</v>
      </c>
      <c r="O16" s="288">
        <f t="shared" si="42"/>
        <v>0.13334280034081236</v>
      </c>
      <c r="P16" s="288">
        <f t="shared" si="42"/>
        <v>9.6103245207367571E-2</v>
      </c>
      <c r="Q16" s="288">
        <f t="shared" si="42"/>
        <v>0.16020804755372664</v>
      </c>
      <c r="R16" s="288">
        <f t="shared" si="42"/>
        <v>0.19276811665599292</v>
      </c>
      <c r="S16" s="288">
        <f t="shared" si="42"/>
        <v>2.5967390739746854E-2</v>
      </c>
      <c r="T16" s="288">
        <f t="shared" si="42"/>
        <v>7.4372835488597522E-2</v>
      </c>
      <c r="U16" s="288">
        <f t="shared" si="42"/>
        <v>0.14320038544941682</v>
      </c>
      <c r="V16" s="288">
        <f t="shared" si="42"/>
        <v>0.12051244286656471</v>
      </c>
      <c r="W16" s="288">
        <f t="shared" si="42"/>
        <v>5.2936949267511579E-2</v>
      </c>
      <c r="X16" s="288">
        <f t="shared" si="42"/>
        <v>5.2159693272032071E-2</v>
      </c>
      <c r="Y16" s="288">
        <f t="shared" si="42"/>
        <v>9.2787484847467683E-2</v>
      </c>
      <c r="Z16" s="288">
        <f t="shared" si="42"/>
        <v>8.1398191766949068E-2</v>
      </c>
      <c r="AA16" s="288">
        <f t="shared" si="42"/>
        <v>2.317791348908349E-2</v>
      </c>
      <c r="AB16" s="288">
        <f t="shared" si="42"/>
        <v>4.8955345178181231E-2</v>
      </c>
      <c r="AC16" s="288">
        <f t="shared" si="42"/>
        <v>8.9673079958574764E-2</v>
      </c>
      <c r="AD16" s="288">
        <f t="shared" si="42"/>
        <v>7.7835877371437379E-2</v>
      </c>
      <c r="AE16" s="288">
        <f t="shared" si="42"/>
        <v>1.3769204201610874E-2</v>
      </c>
      <c r="AF16" s="288">
        <f t="shared" si="42"/>
        <v>4.6291395568487159E-2</v>
      </c>
      <c r="AG16" s="288">
        <f t="shared" si="42"/>
        <v>8.6952633238547739E-2</v>
      </c>
      <c r="AH16" s="288">
        <f t="shared" si="42"/>
        <v>7.5845206483066141E-2</v>
      </c>
      <c r="AI16" s="288">
        <f t="shared" ref="AI16" si="43">AI14/AH14-1</f>
        <v>1.2799280937696667E-2</v>
      </c>
      <c r="AJ16" s="288">
        <f t="shared" ref="AJ16" si="44">AJ14/AI14-1</f>
        <v>4.6452475404916926E-2</v>
      </c>
      <c r="AK16" s="288">
        <f t="shared" ref="AK16" si="45">AK14/AJ14-1</f>
        <v>8.690949042706686E-2</v>
      </c>
      <c r="AL16" s="288">
        <f t="shared" ref="AL16" si="46">AL14/AK14-1</f>
        <v>7.651644087355014E-2</v>
      </c>
    </row>
    <row r="17" spans="2:38">
      <c r="B17" s="287" t="s">
        <v>434</v>
      </c>
      <c r="C17" s="288">
        <f t="shared" ref="C17:AH17" si="47">C14/C3</f>
        <v>4.6832447877137369E-2</v>
      </c>
      <c r="D17" s="288">
        <f t="shared" si="47"/>
        <v>3.9609031542105939E-2</v>
      </c>
      <c r="E17" s="288">
        <f t="shared" si="47"/>
        <v>4.1701135594495002E-2</v>
      </c>
      <c r="F17" s="288">
        <f t="shared" si="47"/>
        <v>5.3874708452416153E-2</v>
      </c>
      <c r="G17" s="288">
        <f t="shared" si="47"/>
        <v>7.2823878731051728E-2</v>
      </c>
      <c r="H17" s="288">
        <f t="shared" si="47"/>
        <v>9.7475554061247929E-2</v>
      </c>
      <c r="I17" s="288">
        <f t="shared" si="47"/>
        <v>0.12290779439437458</v>
      </c>
      <c r="J17" s="288">
        <f t="shared" si="47"/>
        <v>0.14556356009483859</v>
      </c>
      <c r="K17" s="288">
        <f t="shared" si="47"/>
        <v>0.152486277042299</v>
      </c>
      <c r="L17" s="288">
        <f t="shared" si="47"/>
        <v>0.17054729180652228</v>
      </c>
      <c r="M17" s="288">
        <f t="shared" si="47"/>
        <v>0.1846955988345346</v>
      </c>
      <c r="N17" s="288">
        <f t="shared" si="47"/>
        <v>0.2121339920472346</v>
      </c>
      <c r="O17" s="288">
        <f t="shared" si="47"/>
        <v>0.21708736807746709</v>
      </c>
      <c r="P17" s="288">
        <f t="shared" si="47"/>
        <v>0.23747539871055312</v>
      </c>
      <c r="Q17" s="288">
        <f t="shared" si="47"/>
        <v>0.25186425956945219</v>
      </c>
      <c r="R17" s="288">
        <f t="shared" si="47"/>
        <v>0.28519600452318128</v>
      </c>
      <c r="S17" s="288">
        <f t="shared" ca="1" si="47"/>
        <v>0.28652986650023887</v>
      </c>
      <c r="T17" s="288">
        <f t="shared" ca="1" si="47"/>
        <v>0.28662008408634182</v>
      </c>
      <c r="U17" s="288">
        <f t="shared" ca="1" si="47"/>
        <v>0.30148297045070377</v>
      </c>
      <c r="V17" s="288">
        <f t="shared" ca="1" si="47"/>
        <v>0.31954612754786477</v>
      </c>
      <c r="W17" s="288">
        <f t="shared" ca="1" si="47"/>
        <v>0.3365355497828752</v>
      </c>
      <c r="X17" s="288">
        <f t="shared" ca="1" si="47"/>
        <v>0.33215776949400511</v>
      </c>
      <c r="Y17" s="288">
        <f t="shared" ca="1" si="47"/>
        <v>0.33670317476710226</v>
      </c>
      <c r="Z17" s="288">
        <f t="shared" ca="1" si="47"/>
        <v>0.34679770453297248</v>
      </c>
      <c r="AA17" s="288">
        <f t="shared" ca="1" si="47"/>
        <v>0.35948891809990258</v>
      </c>
      <c r="AB17" s="288">
        <f t="shared" ca="1" si="47"/>
        <v>0.35484425595729679</v>
      </c>
      <c r="AC17" s="288">
        <f t="shared" ca="1" si="47"/>
        <v>0.358191930240219</v>
      </c>
      <c r="AD17" s="288">
        <f t="shared" ca="1" si="47"/>
        <v>0.36722141710818906</v>
      </c>
      <c r="AE17" s="288">
        <f t="shared" ca="1" si="47"/>
        <v>0.38079671199127968</v>
      </c>
      <c r="AF17" s="288">
        <f t="shared" ca="1" si="47"/>
        <v>0.37553738475894427</v>
      </c>
      <c r="AG17" s="288">
        <f t="shared" ca="1" si="47"/>
        <v>0.37798141307907762</v>
      </c>
      <c r="AH17" s="288">
        <f t="shared" ca="1" si="47"/>
        <v>0.3861329926132257</v>
      </c>
      <c r="AI17" s="288">
        <f t="shared" ref="AI17:AL17" ca="1" si="48">AI14/AI3</f>
        <v>0.40341021593767068</v>
      </c>
      <c r="AJ17" s="288">
        <f t="shared" ca="1" si="48"/>
        <v>0.39821065082926443</v>
      </c>
      <c r="AK17" s="288">
        <f t="shared" ca="1" si="48"/>
        <v>0.40060776014321492</v>
      </c>
      <c r="AL17" s="288">
        <f t="shared" ca="1" si="48"/>
        <v>0.40790913431819487</v>
      </c>
    </row>
    <row r="18" spans="2:38" s="285" customFormat="1">
      <c r="B18" s="291" t="s">
        <v>234</v>
      </c>
      <c r="C18" s="286">
        <f>C22+C26+C30</f>
        <v>-89.65</v>
      </c>
      <c r="D18" s="286">
        <f t="shared" ref="D18:AH18" si="49">D22+D26+D30</f>
        <v>-89.91</v>
      </c>
      <c r="E18" s="286">
        <f t="shared" si="49"/>
        <v>-110.14</v>
      </c>
      <c r="F18" s="286">
        <f t="shared" si="49"/>
        <v>-126.61</v>
      </c>
      <c r="G18" s="286">
        <f t="shared" si="49"/>
        <v>-134.01178999999999</v>
      </c>
      <c r="H18" s="286">
        <f t="shared" si="49"/>
        <v>-152.3467</v>
      </c>
      <c r="I18" s="286">
        <f t="shared" si="49"/>
        <v>-185.45828999999998</v>
      </c>
      <c r="J18" s="286">
        <f t="shared" si="49"/>
        <v>-202.50539999999998</v>
      </c>
      <c r="K18" s="286">
        <f t="shared" si="49"/>
        <v>-241.19440000000003</v>
      </c>
      <c r="L18" s="286">
        <f t="shared" si="49"/>
        <v>-283.04336000000001</v>
      </c>
      <c r="M18" s="286">
        <f t="shared" si="49"/>
        <v>-335.24546000000004</v>
      </c>
      <c r="N18" s="286">
        <f t="shared" si="49"/>
        <v>-348.93985000000004</v>
      </c>
      <c r="O18" s="286">
        <f t="shared" si="49"/>
        <v>-364.65543000000002</v>
      </c>
      <c r="P18" s="286">
        <f t="shared" si="49"/>
        <v>-392.25355999999999</v>
      </c>
      <c r="Q18" s="286">
        <f t="shared" si="49"/>
        <v>-451.15</v>
      </c>
      <c r="R18" s="286">
        <f t="shared" si="49"/>
        <v>-497.44</v>
      </c>
      <c r="S18" s="286">
        <f t="shared" ca="1" si="49"/>
        <v>-512.86822374511974</v>
      </c>
      <c r="T18" s="286">
        <f t="shared" ca="1" si="49"/>
        <v>-555.04562384702433</v>
      </c>
      <c r="U18" s="286">
        <f t="shared" ca="1" si="49"/>
        <v>-608.56088943235795</v>
      </c>
      <c r="V18" s="286">
        <f t="shared" ca="1" si="49"/>
        <v>-649.35484662070758</v>
      </c>
      <c r="W18" s="286">
        <f t="shared" ca="1" si="49"/>
        <v>-647.01484503627353</v>
      </c>
      <c r="X18" s="286">
        <f t="shared" ca="1" si="49"/>
        <v>-692.82572369046557</v>
      </c>
      <c r="Y18" s="286">
        <f t="shared" ca="1" si="49"/>
        <v>-750.05940881158256</v>
      </c>
      <c r="Z18" s="286">
        <f t="shared" ca="1" si="49"/>
        <v>-791.3392855537129</v>
      </c>
      <c r="AA18" s="286">
        <f t="shared" ca="1" si="49"/>
        <v>-777.25545701033229</v>
      </c>
      <c r="AB18" s="286">
        <f t="shared" ca="1" si="49"/>
        <v>-828.26016486382616</v>
      </c>
      <c r="AC18" s="286">
        <f t="shared" ca="1" si="49"/>
        <v>-896.27263045348491</v>
      </c>
      <c r="AD18" s="286">
        <f t="shared" ca="1" si="49"/>
        <v>-945.15172863893406</v>
      </c>
      <c r="AE18" s="286">
        <f t="shared" ca="1" si="49"/>
        <v>-919.75099422264998</v>
      </c>
      <c r="AF18" s="286">
        <f t="shared" ca="1" si="49"/>
        <v>-977.9036840869212</v>
      </c>
      <c r="AG18" s="286">
        <f t="shared" ca="1" si="49"/>
        <v>-1058.0764787027988</v>
      </c>
      <c r="AH18" s="286">
        <f t="shared" ca="1" si="49"/>
        <v>-1117.0553261946725</v>
      </c>
      <c r="AI18" s="286">
        <f t="shared" ref="AI18:AL18" ca="1" si="50">AI22+AI26+AI30</f>
        <v>-1079.4402682988855</v>
      </c>
      <c r="AJ18" s="286">
        <f t="shared" ca="1" si="50"/>
        <v>-1146.6516444941285</v>
      </c>
      <c r="AK18" s="286">
        <f t="shared" ca="1" si="50"/>
        <v>-1241.0465126781016</v>
      </c>
      <c r="AL18" s="286">
        <f t="shared" ca="1" si="50"/>
        <v>-1314.7428560590556</v>
      </c>
    </row>
    <row r="19" spans="2:38">
      <c r="B19" s="287" t="s">
        <v>438</v>
      </c>
      <c r="C19" s="288"/>
      <c r="D19" s="288"/>
      <c r="E19" s="288"/>
      <c r="F19" s="288"/>
      <c r="G19" s="288">
        <f>G18/C18-1</f>
        <v>0.49483312883435571</v>
      </c>
      <c r="H19" s="288">
        <f t="shared" ref="H19:AH19" si="51">H18/D18-1</f>
        <v>0.69443554665776897</v>
      </c>
      <c r="I19" s="288">
        <f t="shared" si="51"/>
        <v>0.68384138369348091</v>
      </c>
      <c r="J19" s="288">
        <f t="shared" si="51"/>
        <v>0.59944238211831591</v>
      </c>
      <c r="K19" s="288">
        <f t="shared" si="51"/>
        <v>0.79979985343080662</v>
      </c>
      <c r="L19" s="288">
        <f t="shared" si="51"/>
        <v>0.85788966876210648</v>
      </c>
      <c r="M19" s="288">
        <f t="shared" si="51"/>
        <v>0.80765960906897227</v>
      </c>
      <c r="N19" s="288">
        <f t="shared" si="51"/>
        <v>0.72311380338499642</v>
      </c>
      <c r="O19" s="288">
        <f t="shared" si="51"/>
        <v>0.51187353437724914</v>
      </c>
      <c r="P19" s="288">
        <f t="shared" si="51"/>
        <v>0.38584264969155257</v>
      </c>
      <c r="Q19" s="288">
        <f t="shared" si="51"/>
        <v>0.34573037916755056</v>
      </c>
      <c r="R19" s="288">
        <f t="shared" si="51"/>
        <v>0.42557521016874378</v>
      </c>
      <c r="S19" s="288">
        <f t="shared" ca="1" si="51"/>
        <v>0.40644614491307496</v>
      </c>
      <c r="T19" s="288">
        <f t="shared" ca="1" si="51"/>
        <v>0.41501742864239222</v>
      </c>
      <c r="U19" s="288">
        <f t="shared" ca="1" si="51"/>
        <v>0.3489103168178167</v>
      </c>
      <c r="V19" s="288">
        <f t="shared" ca="1" si="51"/>
        <v>0.30539330697311762</v>
      </c>
      <c r="W19" s="288">
        <f t="shared" ca="1" si="51"/>
        <v>0.26156157679564229</v>
      </c>
      <c r="X19" s="288">
        <f t="shared" ca="1" si="51"/>
        <v>0.24823202620441642</v>
      </c>
      <c r="Y19" s="288">
        <f t="shared" ca="1" si="51"/>
        <v>0.23251333077156655</v>
      </c>
      <c r="Z19" s="288">
        <f t="shared" ca="1" si="51"/>
        <v>0.2186546226179773</v>
      </c>
      <c r="AA19" s="288">
        <f t="shared" ca="1" si="51"/>
        <v>0.20129462712212898</v>
      </c>
      <c r="AB19" s="288">
        <f t="shared" ca="1" si="51"/>
        <v>0.19548125385983606</v>
      </c>
      <c r="AC19" s="288">
        <f t="shared" ca="1" si="51"/>
        <v>0.19493552100568556</v>
      </c>
      <c r="AD19" s="288">
        <f t="shared" ca="1" si="51"/>
        <v>0.19436978031186225</v>
      </c>
      <c r="AE19" s="288">
        <f t="shared" ca="1" si="51"/>
        <v>0.1833316651907706</v>
      </c>
      <c r="AF19" s="288">
        <f t="shared" ca="1" si="51"/>
        <v>0.18067211918576076</v>
      </c>
      <c r="AG19" s="288">
        <f t="shared" ca="1" si="51"/>
        <v>0.18052972137221945</v>
      </c>
      <c r="AH19" s="288">
        <f t="shared" ca="1" si="51"/>
        <v>0.18187936639896773</v>
      </c>
      <c r="AI19" s="288">
        <f t="shared" ref="AI19" ca="1" si="52">AI18/AE18-1</f>
        <v>0.17362229024954834</v>
      </c>
      <c r="AJ19" s="288">
        <f t="shared" ref="AJ19" ca="1" si="53">AJ18/AF18-1</f>
        <v>0.17256092103259535</v>
      </c>
      <c r="AK19" s="288">
        <f t="shared" ref="AK19" ca="1" si="54">AK18/AG18-1</f>
        <v>0.17292704039657325</v>
      </c>
      <c r="AL19" s="288">
        <f t="shared" ref="AL19" ca="1" si="55">AL18/AH18-1</f>
        <v>0.17697201313906241</v>
      </c>
    </row>
    <row r="20" spans="2:38">
      <c r="B20" s="287" t="s">
        <v>437</v>
      </c>
      <c r="C20" s="288"/>
      <c r="D20" s="288">
        <f>D18/C18-1</f>
        <v>2.9001673173452147E-3</v>
      </c>
      <c r="E20" s="288">
        <f t="shared" ref="E20:AH20" si="56">E18/D18-1</f>
        <v>0.22500278055833611</v>
      </c>
      <c r="F20" s="288">
        <f t="shared" si="56"/>
        <v>0.14953695296894853</v>
      </c>
      <c r="G20" s="288">
        <f t="shared" si="56"/>
        <v>5.8461337966985161E-2</v>
      </c>
      <c r="H20" s="288">
        <f t="shared" si="56"/>
        <v>0.13681564883209174</v>
      </c>
      <c r="I20" s="288">
        <f t="shared" si="56"/>
        <v>0.21734366415550821</v>
      </c>
      <c r="J20" s="288">
        <f t="shared" si="56"/>
        <v>9.1918835227047468E-2</v>
      </c>
      <c r="K20" s="288">
        <f t="shared" si="56"/>
        <v>0.19105169541157951</v>
      </c>
      <c r="L20" s="288">
        <f t="shared" si="56"/>
        <v>0.17350717927116044</v>
      </c>
      <c r="M20" s="288">
        <f t="shared" si="56"/>
        <v>0.18443145954739948</v>
      </c>
      <c r="N20" s="288">
        <f t="shared" si="56"/>
        <v>4.0848845499652731E-2</v>
      </c>
      <c r="O20" s="288">
        <f t="shared" si="56"/>
        <v>4.5038077479542693E-2</v>
      </c>
      <c r="P20" s="288">
        <f t="shared" si="56"/>
        <v>7.5682761669009002E-2</v>
      </c>
      <c r="Q20" s="288">
        <f t="shared" si="56"/>
        <v>0.15014889858488467</v>
      </c>
      <c r="R20" s="288">
        <f t="shared" si="56"/>
        <v>0.10260445528094864</v>
      </c>
      <c r="S20" s="288">
        <f t="shared" ca="1" si="56"/>
        <v>3.1015245547442394E-2</v>
      </c>
      <c r="T20" s="288">
        <f t="shared" ca="1" si="56"/>
        <v>8.2238279053267194E-2</v>
      </c>
      <c r="U20" s="288">
        <f t="shared" ca="1" si="56"/>
        <v>9.6415976067731224E-2</v>
      </c>
      <c r="V20" s="288">
        <f t="shared" ca="1" si="56"/>
        <v>6.7033484893189055E-2</v>
      </c>
      <c r="W20" s="288">
        <f t="shared" ca="1" si="56"/>
        <v>-3.6035791472283085E-3</v>
      </c>
      <c r="X20" s="288">
        <f t="shared" ca="1" si="56"/>
        <v>7.0803442928150773E-2</v>
      </c>
      <c r="Y20" s="288">
        <f t="shared" ca="1" si="56"/>
        <v>8.2609064825496237E-2</v>
      </c>
      <c r="Z20" s="288">
        <f t="shared" ca="1" si="56"/>
        <v>5.5035476199859268E-2</v>
      </c>
      <c r="AA20" s="288">
        <f t="shared" ca="1" si="56"/>
        <v>-1.7797459067795285E-2</v>
      </c>
      <c r="AB20" s="288">
        <f t="shared" ca="1" si="56"/>
        <v>6.5621550023824193E-2</v>
      </c>
      <c r="AC20" s="288">
        <f t="shared" ca="1" si="56"/>
        <v>8.2114857716042211E-2</v>
      </c>
      <c r="AD20" s="288">
        <f t="shared" ca="1" si="56"/>
        <v>5.4535971003284889E-2</v>
      </c>
      <c r="AE20" s="288">
        <f t="shared" ca="1" si="56"/>
        <v>-2.687476904143471E-2</v>
      </c>
      <c r="AF20" s="288">
        <f t="shared" ca="1" si="56"/>
        <v>6.3226558307143188E-2</v>
      </c>
      <c r="AG20" s="288">
        <f t="shared" ca="1" si="56"/>
        <v>8.1984346639143446E-2</v>
      </c>
      <c r="AH20" s="288">
        <f t="shared" ca="1" si="56"/>
        <v>5.5741573202895189E-2</v>
      </c>
      <c r="AI20" s="288">
        <f t="shared" ref="AI20" ca="1" si="57">AI18/AH18-1</f>
        <v>-3.3673406333350919E-2</v>
      </c>
      <c r="AJ20" s="288">
        <f t="shared" ref="AJ20" ca="1" si="58">AJ18/AI18-1</f>
        <v>6.2265025837106247E-2</v>
      </c>
      <c r="AK20" s="288">
        <f t="shared" ref="AK20" ca="1" si="59">AK18/AJ18-1</f>
        <v>8.2322184455260183E-2</v>
      </c>
      <c r="AL20" s="288">
        <f t="shared" ref="AL20" ca="1" si="60">AL18/AK18-1</f>
        <v>5.9382418489635658E-2</v>
      </c>
    </row>
    <row r="21" spans="2:38">
      <c r="B21" s="287" t="s">
        <v>439</v>
      </c>
      <c r="C21" s="288">
        <f t="shared" ref="C21:AH21" si="61">C18/C3</f>
        <v>-0.40024108219116927</v>
      </c>
      <c r="D21" s="288">
        <f t="shared" si="61"/>
        <v>-0.38375517521020963</v>
      </c>
      <c r="E21" s="288">
        <f t="shared" si="61"/>
        <v>-0.4141535684740919</v>
      </c>
      <c r="F21" s="288">
        <f t="shared" si="61"/>
        <v>-0.41591931933904935</v>
      </c>
      <c r="G21" s="288">
        <f t="shared" si="61"/>
        <v>-0.4188522894202219</v>
      </c>
      <c r="H21" s="288">
        <f t="shared" si="61"/>
        <v>-0.42684906559076513</v>
      </c>
      <c r="I21" s="288">
        <f t="shared" si="61"/>
        <v>-0.45919156680202033</v>
      </c>
      <c r="J21" s="288">
        <f t="shared" si="61"/>
        <v>-0.46166651468174352</v>
      </c>
      <c r="K21" s="288">
        <f t="shared" si="61"/>
        <v>-0.48675008072328063</v>
      </c>
      <c r="L21" s="288">
        <f t="shared" si="61"/>
        <v>-0.5000236017383316</v>
      </c>
      <c r="M21" s="288">
        <f t="shared" si="61"/>
        <v>-0.51410130348106131</v>
      </c>
      <c r="N21" s="288">
        <f t="shared" si="61"/>
        <v>-0.5255751445957344</v>
      </c>
      <c r="O21" s="288">
        <f t="shared" si="61"/>
        <v>-0.49594090686541187</v>
      </c>
      <c r="P21" s="288">
        <f t="shared" si="61"/>
        <v>-0.53241066847641672</v>
      </c>
      <c r="Q21" s="288">
        <f t="shared" si="61"/>
        <v>-0.55977417953967357</v>
      </c>
      <c r="R21" s="288">
        <f t="shared" si="61"/>
        <v>-0.58594044477949492</v>
      </c>
      <c r="S21" s="288">
        <f t="shared" ca="1" si="61"/>
        <v>-0.59157725340467404</v>
      </c>
      <c r="T21" s="288">
        <f t="shared" ca="1" si="61"/>
        <v>-0.59609579776545818</v>
      </c>
      <c r="U21" s="288">
        <f t="shared" ca="1" si="61"/>
        <v>-0.60134709827879829</v>
      </c>
      <c r="V21" s="288">
        <f t="shared" ca="1" si="61"/>
        <v>-0.60695620789734839</v>
      </c>
      <c r="W21" s="288">
        <f t="shared" ca="1" si="61"/>
        <v>-0.60490132960233978</v>
      </c>
      <c r="X21" s="288">
        <f t="shared" ca="1" si="61"/>
        <v>-0.60761166848917325</v>
      </c>
      <c r="Y21" s="288">
        <f t="shared" ca="1" si="61"/>
        <v>-0.61018966541217723</v>
      </c>
      <c r="Z21" s="288">
        <f t="shared" ca="1" si="61"/>
        <v>-0.61316206046489641</v>
      </c>
      <c r="AA21" s="288">
        <f t="shared" ca="1" si="61"/>
        <v>-0.61014697751730396</v>
      </c>
      <c r="AB21" s="288">
        <f t="shared" ca="1" si="61"/>
        <v>-0.61183276543775067</v>
      </c>
      <c r="AC21" s="288">
        <f t="shared" ca="1" si="61"/>
        <v>-0.61332107330013819</v>
      </c>
      <c r="AD21" s="288">
        <f t="shared" ca="1" si="61"/>
        <v>-0.61518941547177741</v>
      </c>
      <c r="AE21" s="288">
        <f t="shared" ca="1" si="61"/>
        <v>-0.61235558184409788</v>
      </c>
      <c r="AF21" s="288">
        <f t="shared" ca="1" si="61"/>
        <v>-0.61367273899154517</v>
      </c>
      <c r="AG21" s="288">
        <f t="shared" ca="1" si="61"/>
        <v>-0.61484331677974302</v>
      </c>
      <c r="AH21" s="288">
        <f t="shared" ca="1" si="61"/>
        <v>-0.61636611871304448</v>
      </c>
      <c r="AI21" s="288">
        <f t="shared" ref="AI21:AL21" ca="1" si="62">AI18/AI3</f>
        <v>-0.61439728267255045</v>
      </c>
      <c r="AJ21" s="288">
        <f t="shared" ca="1" si="62"/>
        <v>-0.61564256545782325</v>
      </c>
      <c r="AK21" s="288">
        <f t="shared" ca="1" si="62"/>
        <v>-0.61673458692711047</v>
      </c>
      <c r="AL21" s="288">
        <f t="shared" ca="1" si="62"/>
        <v>-0.61798007360996687</v>
      </c>
    </row>
    <row r="22" spans="2:38">
      <c r="B22" s="548" t="s">
        <v>440</v>
      </c>
      <c r="C22" s="289">
        <f>核心数据模型!M169</f>
        <v>-64.63221999999999</v>
      </c>
      <c r="D22" s="289">
        <f>核心数据模型!N169</f>
        <v>-62.286639999999984</v>
      </c>
      <c r="E22" s="289">
        <f>核心数据模型!O169</f>
        <v>-73.558260000000004</v>
      </c>
      <c r="F22" s="289">
        <f>核心数据模型!P169</f>
        <v>-83.736840000000001</v>
      </c>
      <c r="G22" s="289">
        <f>核心数据模型!Q169</f>
        <v>-85.876159999999985</v>
      </c>
      <c r="H22" s="289">
        <f>核心数据模型!R169</f>
        <v>-85.514399999999995</v>
      </c>
      <c r="I22" s="289">
        <f>核心数据模型!S169</f>
        <v>-97.352999999999994</v>
      </c>
      <c r="J22" s="289">
        <f>核心数据模型!T169</f>
        <v>-107.42287999999999</v>
      </c>
      <c r="K22" s="289">
        <f>核心数据模型!U169</f>
        <v>-137.27228000000002</v>
      </c>
      <c r="L22" s="289">
        <f>核心数据模型!V169</f>
        <v>-145.00776000000002</v>
      </c>
      <c r="M22" s="289">
        <f>核心数据模型!W169</f>
        <v>-168.91724000000002</v>
      </c>
      <c r="N22" s="289">
        <f>核心数据模型!X169</f>
        <v>-162.58429000000001</v>
      </c>
      <c r="O22" s="289">
        <f>核心数据模型!Y169</f>
        <v>-172.03859</v>
      </c>
      <c r="P22" s="289">
        <f>核心数据模型!Z169</f>
        <v>-172.53</v>
      </c>
      <c r="Q22" s="289">
        <f>核心数据模型!AA169</f>
        <v>-191.58</v>
      </c>
      <c r="R22" s="289">
        <f>核心数据模型!AB169</f>
        <v>-203.3</v>
      </c>
      <c r="S22" s="289">
        <f ca="1">核心数据模型!AC169</f>
        <v>-225.23581165467658</v>
      </c>
      <c r="T22" s="289">
        <f ca="1">核心数据模型!AD169</f>
        <v>-228.75809162308508</v>
      </c>
      <c r="U22" s="289">
        <f ca="1">核心数据模型!AE169</f>
        <v>-237.26365289320853</v>
      </c>
      <c r="V22" s="289">
        <f ca="1">核心数据模型!AF169</f>
        <v>-239.02955643878369</v>
      </c>
      <c r="W22" s="289">
        <f ca="1">核心数据模型!AG169</f>
        <v>-251.66118453775246</v>
      </c>
      <c r="X22" s="289">
        <f ca="1">核心数据模型!AH169</f>
        <v>-254.61867842139844</v>
      </c>
      <c r="Y22" s="289">
        <f ca="1">核心数据模型!AI169</f>
        <v>-265.50964943992864</v>
      </c>
      <c r="Z22" s="289">
        <f ca="1">核心数据模型!AJ169</f>
        <v>-271.27821141705687</v>
      </c>
      <c r="AA22" s="289">
        <f ca="1">核心数据模型!AK169</f>
        <v>-282.85032461388943</v>
      </c>
      <c r="AB22" s="289">
        <f ca="1">核心数据模型!AL169</f>
        <v>-285.39113401240883</v>
      </c>
      <c r="AC22" s="289">
        <f ca="1">核心数据模型!AM169</f>
        <v>-298.21338119920858</v>
      </c>
      <c r="AD22" s="289">
        <f ca="1">核心数据模型!AN169</f>
        <v>-305.47152991491777</v>
      </c>
      <c r="AE22" s="289">
        <f ca="1">核心数据模型!AO169</f>
        <v>-316.00348414706167</v>
      </c>
      <c r="AF22" s="289">
        <f ca="1">核心数据模型!AP169</f>
        <v>-318.54198642265561</v>
      </c>
      <c r="AG22" s="289">
        <f ca="1">核心数据模型!AQ169</f>
        <v>-333.03571782571908</v>
      </c>
      <c r="AH22" s="289">
        <f ca="1">核心数据模型!AR169</f>
        <v>-342.00774758187657</v>
      </c>
      <c r="AI22" s="289">
        <f ca="1">核心数据模型!AS169</f>
        <v>-349.8924551816911</v>
      </c>
      <c r="AJ22" s="289">
        <f ca="1">核心数据模型!AT169</f>
        <v>-351.62997965290202</v>
      </c>
      <c r="AK22" s="289">
        <f ca="1">核心数据模型!AU169</f>
        <v>-367.16813173576088</v>
      </c>
      <c r="AL22" s="289">
        <f ca="1">核心数据模型!AV169</f>
        <v>-378.46209027260619</v>
      </c>
    </row>
    <row r="23" spans="2:38">
      <c r="B23" s="287" t="s">
        <v>441</v>
      </c>
      <c r="C23" s="288"/>
      <c r="D23" s="288"/>
      <c r="E23" s="288"/>
      <c r="F23" s="288"/>
      <c r="G23" s="288">
        <f>G22/C22-1</f>
        <v>0.32868962260618617</v>
      </c>
      <c r="H23" s="288">
        <f t="shared" ref="H23:AH23" si="63">H22/D22-1</f>
        <v>0.37291720985431254</v>
      </c>
      <c r="I23" s="288">
        <f t="shared" si="63"/>
        <v>0.32348155054238625</v>
      </c>
      <c r="J23" s="288">
        <f t="shared" si="63"/>
        <v>0.28286283552137848</v>
      </c>
      <c r="K23" s="288">
        <f t="shared" si="63"/>
        <v>0.59849112955213712</v>
      </c>
      <c r="L23" s="288">
        <f t="shared" si="63"/>
        <v>0.69571159944991745</v>
      </c>
      <c r="M23" s="288">
        <f t="shared" si="63"/>
        <v>0.73510051051328706</v>
      </c>
      <c r="N23" s="288">
        <f t="shared" si="63"/>
        <v>0.51349777626516824</v>
      </c>
      <c r="O23" s="288">
        <f t="shared" si="63"/>
        <v>0.25326533514268124</v>
      </c>
      <c r="P23" s="288">
        <f t="shared" si="63"/>
        <v>0.18979839423765998</v>
      </c>
      <c r="Q23" s="288">
        <f t="shared" si="63"/>
        <v>0.13416487269150257</v>
      </c>
      <c r="R23" s="288">
        <f t="shared" si="63"/>
        <v>0.25042831629058382</v>
      </c>
      <c r="S23" s="288">
        <f t="shared" ca="1" si="63"/>
        <v>0.30921679638665123</v>
      </c>
      <c r="T23" s="288">
        <f t="shared" ca="1" si="63"/>
        <v>0.32590327260815566</v>
      </c>
      <c r="U23" s="288">
        <f t="shared" ca="1" si="63"/>
        <v>0.23845731753423371</v>
      </c>
      <c r="V23" s="288">
        <f t="shared" ca="1" si="63"/>
        <v>0.17574794116470072</v>
      </c>
      <c r="W23" s="288">
        <f t="shared" ca="1" si="63"/>
        <v>0.11732314097364904</v>
      </c>
      <c r="X23" s="288">
        <f t="shared" ca="1" si="63"/>
        <v>0.11304774670407181</v>
      </c>
      <c r="Y23" s="288">
        <f t="shared" ca="1" si="63"/>
        <v>0.1190489828605712</v>
      </c>
      <c r="Z23" s="288">
        <f t="shared" ca="1" si="63"/>
        <v>0.13491492624901458</v>
      </c>
      <c r="AA23" s="288">
        <f t="shared" ca="1" si="63"/>
        <v>0.1239330575886175</v>
      </c>
      <c r="AB23" s="288">
        <f t="shared" ca="1" si="63"/>
        <v>0.12085702345874805</v>
      </c>
      <c r="AC23" s="288">
        <f t="shared" ca="1" si="63"/>
        <v>0.12317342073354332</v>
      </c>
      <c r="AD23" s="288">
        <f t="shared" ca="1" si="63"/>
        <v>0.12604520768272431</v>
      </c>
      <c r="AE23" s="288">
        <f t="shared" ca="1" si="63"/>
        <v>0.11721096512237916</v>
      </c>
      <c r="AF23" s="288">
        <f t="shared" ca="1" si="63"/>
        <v>0.11615936327161935</v>
      </c>
      <c r="AG23" s="288">
        <f t="shared" ca="1" si="63"/>
        <v>0.11676986621619423</v>
      </c>
      <c r="AH23" s="288">
        <f t="shared" ca="1" si="63"/>
        <v>0.11960596680527025</v>
      </c>
      <c r="AI23" s="288">
        <f t="shared" ref="AI23" ca="1" si="64">AI22/AE22-1</f>
        <v>0.10724239679223979</v>
      </c>
      <c r="AJ23" s="288">
        <f t="shared" ref="AJ23" ca="1" si="65">AJ22/AF22-1</f>
        <v>0.10387325577339679</v>
      </c>
      <c r="AK23" s="288">
        <f t="shared" ref="AK23" ca="1" si="66">AK22/AG22-1</f>
        <v>0.10248874845281208</v>
      </c>
      <c r="AL23" s="288">
        <f t="shared" ref="AL23" ca="1" si="67">AL22/AH22-1</f>
        <v>0.10658923064894155</v>
      </c>
    </row>
    <row r="24" spans="2:38">
      <c r="B24" s="287" t="s">
        <v>347</v>
      </c>
      <c r="C24" s="288"/>
      <c r="D24" s="288">
        <f>D22/C22-1</f>
        <v>-3.6291187274706149E-2</v>
      </c>
      <c r="E24" s="288">
        <f t="shared" ref="E24:AH24" si="68">E22/D22-1</f>
        <v>0.18096368659475015</v>
      </c>
      <c r="F24" s="288">
        <f t="shared" si="68"/>
        <v>0.13837439874189505</v>
      </c>
      <c r="G24" s="288">
        <f t="shared" si="68"/>
        <v>2.5548133891844849E-2</v>
      </c>
      <c r="H24" s="288">
        <f t="shared" si="68"/>
        <v>-4.2125777398522857E-3</v>
      </c>
      <c r="I24" s="288">
        <f t="shared" si="68"/>
        <v>0.13843984171086965</v>
      </c>
      <c r="J24" s="288">
        <f t="shared" si="68"/>
        <v>0.10343677133729834</v>
      </c>
      <c r="K24" s="288">
        <f t="shared" si="68"/>
        <v>0.27786817854818291</v>
      </c>
      <c r="L24" s="288">
        <f t="shared" si="68"/>
        <v>5.6351362416359629E-2</v>
      </c>
      <c r="M24" s="288">
        <f t="shared" si="68"/>
        <v>0.1648841413728479</v>
      </c>
      <c r="N24" s="288">
        <f t="shared" si="68"/>
        <v>-3.7491436634887076E-2</v>
      </c>
      <c r="O24" s="288">
        <f t="shared" si="68"/>
        <v>5.8150144764909317E-2</v>
      </c>
      <c r="P24" s="288">
        <f t="shared" si="68"/>
        <v>2.856394021829578E-3</v>
      </c>
      <c r="Q24" s="288">
        <f t="shared" si="68"/>
        <v>0.11041557989914796</v>
      </c>
      <c r="R24" s="288">
        <f t="shared" si="68"/>
        <v>6.1175488046768978E-2</v>
      </c>
      <c r="S24" s="288">
        <f t="shared" ca="1" si="68"/>
        <v>0.10789872924090793</v>
      </c>
      <c r="T24" s="288">
        <f t="shared" ca="1" si="68"/>
        <v>1.5638188006304787E-2</v>
      </c>
      <c r="U24" s="288">
        <f t="shared" ca="1" si="68"/>
        <v>3.7181466280710618E-2</v>
      </c>
      <c r="V24" s="288">
        <f t="shared" ca="1" si="68"/>
        <v>7.4427900103601896E-3</v>
      </c>
      <c r="W24" s="288">
        <f t="shared" ca="1" si="68"/>
        <v>5.2845465168253281E-2</v>
      </c>
      <c r="X24" s="288">
        <f t="shared" ca="1" si="68"/>
        <v>1.1751887320558652E-2</v>
      </c>
      <c r="Y24" s="288">
        <f t="shared" ca="1" si="68"/>
        <v>4.2773653080177665E-2</v>
      </c>
      <c r="Z24" s="288">
        <f t="shared" ca="1" si="68"/>
        <v>2.1726374123488768E-2</v>
      </c>
      <c r="AA24" s="288">
        <f t="shared" ca="1" si="68"/>
        <v>4.2657731840622715E-2</v>
      </c>
      <c r="AB24" s="288">
        <f t="shared" ca="1" si="68"/>
        <v>8.9828760210468594E-3</v>
      </c>
      <c r="AC24" s="288">
        <f t="shared" ca="1" si="68"/>
        <v>4.4928680882715399E-2</v>
      </c>
      <c r="AD24" s="288">
        <f t="shared" ca="1" si="68"/>
        <v>2.4338776102272419E-2</v>
      </c>
      <c r="AE24" s="288">
        <f t="shared" ca="1" si="68"/>
        <v>3.4477694975624473E-2</v>
      </c>
      <c r="AF24" s="288">
        <f t="shared" ca="1" si="68"/>
        <v>8.0331464776273176E-3</v>
      </c>
      <c r="AG24" s="288">
        <f t="shared" ca="1" si="68"/>
        <v>4.5500222955954461E-2</v>
      </c>
      <c r="AH24" s="288">
        <f t="shared" ca="1" si="68"/>
        <v>2.6940142681190382E-2</v>
      </c>
      <c r="AI24" s="288">
        <f t="shared" ref="AI24" ca="1" si="69">AI22/AH22-1</f>
        <v>2.3054178320703E-2</v>
      </c>
      <c r="AJ24" s="288">
        <f t="shared" ref="AJ24" ca="1" si="70">AJ22/AI22-1</f>
        <v>4.9658815029569592E-3</v>
      </c>
      <c r="AK24" s="288">
        <f t="shared" ref="AK24" ca="1" si="71">AK22/AJ22-1</f>
        <v>4.4188928652206361E-2</v>
      </c>
      <c r="AL24" s="288">
        <f t="shared" ref="AL24" ca="1" si="72">AL22/AK22-1</f>
        <v>3.0759637236090986E-2</v>
      </c>
    </row>
    <row r="25" spans="2:38">
      <c r="B25" s="287" t="s">
        <v>442</v>
      </c>
      <c r="C25" s="288">
        <f>C22/C$3</f>
        <v>-0.28854957810616538</v>
      </c>
      <c r="D25" s="288">
        <f t="shared" ref="D25:AH25" si="73">D22/D$3</f>
        <v>-0.26585274659609881</v>
      </c>
      <c r="E25" s="288">
        <f t="shared" si="73"/>
        <v>-0.27659720237647589</v>
      </c>
      <c r="F25" s="288">
        <f t="shared" si="73"/>
        <v>-0.27507913669064754</v>
      </c>
      <c r="G25" s="288">
        <f t="shared" si="73"/>
        <v>-0.26840493827160489</v>
      </c>
      <c r="H25" s="288">
        <f t="shared" si="73"/>
        <v>-0.23959653694208621</v>
      </c>
      <c r="I25" s="288">
        <f t="shared" si="73"/>
        <v>-0.24104436961473705</v>
      </c>
      <c r="J25" s="288">
        <f t="shared" si="73"/>
        <v>-0.24489987233266458</v>
      </c>
      <c r="K25" s="288">
        <f t="shared" si="73"/>
        <v>-0.2770267194058767</v>
      </c>
      <c r="L25" s="288">
        <f t="shared" si="73"/>
        <v>-0.25617029996820123</v>
      </c>
      <c r="M25" s="288">
        <f t="shared" si="73"/>
        <v>-0.25903579205643312</v>
      </c>
      <c r="N25" s="288">
        <f t="shared" si="73"/>
        <v>-0.2448853626943005</v>
      </c>
      <c r="O25" s="288">
        <f t="shared" si="73"/>
        <v>-0.23397697475791535</v>
      </c>
      <c r="P25" s="288">
        <f t="shared" si="73"/>
        <v>-0.23417712928401765</v>
      </c>
      <c r="Q25" s="288">
        <f t="shared" si="73"/>
        <v>-0.2377070537874558</v>
      </c>
      <c r="R25" s="288">
        <f t="shared" si="73"/>
        <v>-0.23946946852619677</v>
      </c>
      <c r="S25" s="288">
        <f t="shared" ca="1" si="73"/>
        <v>-0.25980237546022061</v>
      </c>
      <c r="T25" s="288">
        <f t="shared" ca="1" si="73"/>
        <v>-0.24567662776303451</v>
      </c>
      <c r="U25" s="288">
        <f t="shared" ca="1" si="73"/>
        <v>-0.23445116449636336</v>
      </c>
      <c r="V25" s="288">
        <f t="shared" ca="1" si="73"/>
        <v>-0.22342248449592586</v>
      </c>
      <c r="W25" s="288">
        <f t="shared" ca="1" si="73"/>
        <v>-0.23528082284982471</v>
      </c>
      <c r="X25" s="288">
        <f t="shared" ca="1" si="73"/>
        <v>-0.2233018704906716</v>
      </c>
      <c r="Y25" s="288">
        <f t="shared" ca="1" si="73"/>
        <v>-0.21599788263725694</v>
      </c>
      <c r="Z25" s="288">
        <f t="shared" ca="1" si="73"/>
        <v>-0.21019745905237766</v>
      </c>
      <c r="AA25" s="288">
        <f t="shared" ca="1" si="73"/>
        <v>-0.2220380302208142</v>
      </c>
      <c r="AB25" s="288">
        <f t="shared" ca="1" si="73"/>
        <v>-0.21081739067209107</v>
      </c>
      <c r="AC25" s="288">
        <f t="shared" ca="1" si="73"/>
        <v>-0.20406798647529836</v>
      </c>
      <c r="AD25" s="288">
        <f t="shared" ca="1" si="73"/>
        <v>-0.19882823703052013</v>
      </c>
      <c r="AE25" s="288">
        <f t="shared" ca="1" si="73"/>
        <v>-0.2103900932047188</v>
      </c>
      <c r="AF25" s="288">
        <f t="shared" ca="1" si="73"/>
        <v>-0.19989753231610008</v>
      </c>
      <c r="AG25" s="288">
        <f t="shared" ca="1" si="73"/>
        <v>-0.19352550545791283</v>
      </c>
      <c r="AH25" s="288">
        <f t="shared" ca="1" si="73"/>
        <v>-0.18871221774210922</v>
      </c>
      <c r="AI25" s="288">
        <f t="shared" ref="AI25:AL25" ca="1" si="74">AI22/AI$3</f>
        <v>-0.19915226437683206</v>
      </c>
      <c r="AJ25" s="288">
        <f t="shared" ca="1" si="74"/>
        <v>-0.18879176060563638</v>
      </c>
      <c r="AK25" s="288">
        <f t="shared" ca="1" si="74"/>
        <v>-0.18246317422076183</v>
      </c>
      <c r="AL25" s="288">
        <f t="shared" ca="1" si="74"/>
        <v>-0.17789184350946691</v>
      </c>
    </row>
    <row r="26" spans="2:38">
      <c r="B26" s="548" t="s">
        <v>443</v>
      </c>
      <c r="C26" s="289">
        <f>核心数据模型!M173</f>
        <v>-16.616399999999999</v>
      </c>
      <c r="D26" s="289">
        <f>核心数据模型!N173</f>
        <v>-19.591129999999996</v>
      </c>
      <c r="E26" s="289">
        <f>核心数据模型!O173</f>
        <v>-25.233180000000001</v>
      </c>
      <c r="F26" s="289">
        <f>核心数据模型!P173</f>
        <v>-27.919709999999998</v>
      </c>
      <c r="G26" s="289">
        <f>核心数据模型!Q173</f>
        <v>-26.466629999999995</v>
      </c>
      <c r="H26" s="289">
        <f>核心数据模型!R173</f>
        <v>-35.730039999999988</v>
      </c>
      <c r="I26" s="289">
        <f>核心数据模型!S173</f>
        <v>-47.450129999999994</v>
      </c>
      <c r="J26" s="289">
        <f>核心数据模型!T173</f>
        <v>-44.257919999999999</v>
      </c>
      <c r="K26" s="289">
        <f>核心数据模型!U173</f>
        <v>-44.909759999999999</v>
      </c>
      <c r="L26" s="289">
        <f>核心数据模型!V173</f>
        <v>-63.120560000000005</v>
      </c>
      <c r="M26" s="289">
        <f>核心数据模型!W173</f>
        <v>-70.337540000000004</v>
      </c>
      <c r="N26" s="289">
        <f>核心数据模型!X173</f>
        <v>-77.627080000000007</v>
      </c>
      <c r="O26" s="289">
        <f>核心数据模型!Y173</f>
        <v>-73.540320000000008</v>
      </c>
      <c r="P26" s="289">
        <f>核心数据模型!Z173</f>
        <v>-88.328599999999994</v>
      </c>
      <c r="Q26" s="289">
        <f>核心数据模型!AA173</f>
        <v>-102.79</v>
      </c>
      <c r="R26" s="289">
        <f>核心数据模型!AB173</f>
        <v>-108</v>
      </c>
      <c r="S26" s="289">
        <f>核心数据模型!AC173</f>
        <v>-91.390704620176223</v>
      </c>
      <c r="T26" s="289">
        <f>核心数据模型!AD173</f>
        <v>-115.45077252798465</v>
      </c>
      <c r="U26" s="289">
        <f ca="1">核心数据模型!AE173</f>
        <v>-130.87877073960362</v>
      </c>
      <c r="V26" s="289">
        <f ca="1">核心数据模型!AF173</f>
        <v>-141.61714350083429</v>
      </c>
      <c r="W26" s="289">
        <f>核心数据模型!AG173</f>
        <v>-112.78088960205147</v>
      </c>
      <c r="X26" s="289">
        <f>核心数据模型!AH173</f>
        <v>-140.89536531560935</v>
      </c>
      <c r="Y26" s="289">
        <f ca="1">核心数据模型!AI173</f>
        <v>-159.65127641953956</v>
      </c>
      <c r="Z26" s="289">
        <f ca="1">核心数据模型!AJ173</f>
        <v>-168.71644216441462</v>
      </c>
      <c r="AA26" s="289">
        <f>核心数据模型!AK173</f>
        <v>-135.83295810499038</v>
      </c>
      <c r="AB26" s="289">
        <f>核心数据模型!AL173</f>
        <v>-167.70356302779447</v>
      </c>
      <c r="AC26" s="289">
        <f ca="1">核心数据模型!AM173</f>
        <v>-190.29842117897982</v>
      </c>
      <c r="AD26" s="289">
        <f ca="1">核心数据模型!AN173</f>
        <v>-201.30931661668737</v>
      </c>
      <c r="AE26" s="289">
        <f>核心数据模型!AO173</f>
        <v>-160.48451428175773</v>
      </c>
      <c r="AF26" s="289">
        <f>核心数据模型!AP173</f>
        <v>-196.77629663249078</v>
      </c>
      <c r="AG26" s="289">
        <f ca="1">核心数据模型!AQ173</f>
        <v>-223.5332684752284</v>
      </c>
      <c r="AH26" s="289">
        <f ca="1">核心数据模型!AR173</f>
        <v>-236.90274334754628</v>
      </c>
      <c r="AI26" s="289">
        <f>核心数据模型!AS173</f>
        <v>-185.9326211990101</v>
      </c>
      <c r="AJ26" s="289">
        <f>核心数据模型!AT173</f>
        <v>-227.63755873088112</v>
      </c>
      <c r="AK26" s="289">
        <f ca="1">核心数据模型!AU173</f>
        <v>-258.79548624685879</v>
      </c>
      <c r="AL26" s="289">
        <f ca="1">核心数据模型!AV173</f>
        <v>-275.86955764113719</v>
      </c>
    </row>
    <row r="27" spans="2:38">
      <c r="B27" s="287" t="s">
        <v>392</v>
      </c>
      <c r="C27" s="288"/>
      <c r="D27" s="288"/>
      <c r="E27" s="288"/>
      <c r="F27" s="288"/>
      <c r="G27" s="288">
        <f>G26/C26-1</f>
        <v>0.59280168989672832</v>
      </c>
      <c r="H27" s="288">
        <f t="shared" ref="H27:AH27" si="75">H26/D26-1</f>
        <v>0.82378658096801938</v>
      </c>
      <c r="I27" s="288">
        <f t="shared" si="75"/>
        <v>0.88046572013515512</v>
      </c>
      <c r="J27" s="288">
        <f t="shared" si="75"/>
        <v>0.58518551947710051</v>
      </c>
      <c r="K27" s="288">
        <f t="shared" si="75"/>
        <v>0.69684466817271429</v>
      </c>
      <c r="L27" s="288">
        <f t="shared" si="75"/>
        <v>0.76659639899647547</v>
      </c>
      <c r="M27" s="288">
        <f t="shared" si="75"/>
        <v>0.48234662370788062</v>
      </c>
      <c r="N27" s="288">
        <f t="shared" si="75"/>
        <v>0.75397036281867758</v>
      </c>
      <c r="O27" s="288">
        <f t="shared" si="75"/>
        <v>0.63751309292234049</v>
      </c>
      <c r="P27" s="288">
        <f t="shared" si="75"/>
        <v>0.3993633770042595</v>
      </c>
      <c r="Q27" s="288">
        <f t="shared" si="75"/>
        <v>0.46138178844469113</v>
      </c>
      <c r="R27" s="288">
        <f t="shared" si="75"/>
        <v>0.39126706814168455</v>
      </c>
      <c r="S27" s="288">
        <f t="shared" si="75"/>
        <v>0.24272922146893317</v>
      </c>
      <c r="T27" s="288">
        <f t="shared" si="75"/>
        <v>0.30705991635760843</v>
      </c>
      <c r="U27" s="288">
        <f t="shared" ca="1" si="75"/>
        <v>0.2732636515186655</v>
      </c>
      <c r="V27" s="288">
        <f t="shared" ca="1" si="75"/>
        <v>0.31126984722994711</v>
      </c>
      <c r="W27" s="288">
        <f t="shared" si="75"/>
        <v>0.23405208517402065</v>
      </c>
      <c r="X27" s="288">
        <f t="shared" si="75"/>
        <v>0.22039343895647878</v>
      </c>
      <c r="Y27" s="288">
        <f t="shared" ca="1" si="75"/>
        <v>0.21984089182180444</v>
      </c>
      <c r="Z27" s="288">
        <f t="shared" ca="1" si="75"/>
        <v>0.1913560603870017</v>
      </c>
      <c r="AA27" s="288">
        <f t="shared" si="75"/>
        <v>0.20439693802982384</v>
      </c>
      <c r="AB27" s="288">
        <f t="shared" si="75"/>
        <v>0.19027025943780362</v>
      </c>
      <c r="AC27" s="288">
        <f t="shared" ca="1" si="75"/>
        <v>0.1919630424933414</v>
      </c>
      <c r="AD27" s="288">
        <f t="shared" ca="1" si="75"/>
        <v>0.19318137600667828</v>
      </c>
      <c r="AE27" s="288">
        <f t="shared" si="75"/>
        <v>0.18148435048961553</v>
      </c>
      <c r="AF27" s="288">
        <f t="shared" si="75"/>
        <v>0.17335787671892167</v>
      </c>
      <c r="AG27" s="288">
        <f t="shared" ca="1" si="75"/>
        <v>0.17464594341006379</v>
      </c>
      <c r="AH27" s="288">
        <f t="shared" ca="1" si="75"/>
        <v>0.17680963469083877</v>
      </c>
      <c r="AI27" s="288">
        <f t="shared" ref="AI27" si="76">AI26/AE26-1</f>
        <v>0.15857048283533404</v>
      </c>
      <c r="AJ27" s="288">
        <f t="shared" ref="AJ27" si="77">AJ26/AF26-1</f>
        <v>0.15683424592560735</v>
      </c>
      <c r="AK27" s="288">
        <f t="shared" ref="AK27" ca="1" si="78">AK26/AG26-1</f>
        <v>0.1577493051131138</v>
      </c>
      <c r="AL27" s="288">
        <f t="shared" ref="AL27" ca="1" si="79">AL26/AH26-1</f>
        <v>0.16448443670584667</v>
      </c>
    </row>
    <row r="28" spans="2:38">
      <c r="B28" s="287" t="s">
        <v>444</v>
      </c>
      <c r="C28" s="288"/>
      <c r="D28" s="288">
        <f>D26/C26-1</f>
        <v>0.17902373558652873</v>
      </c>
      <c r="E28" s="288">
        <f t="shared" ref="E28:AH28" si="80">E26/D26-1</f>
        <v>0.28799002405680563</v>
      </c>
      <c r="F28" s="288">
        <f t="shared" si="80"/>
        <v>0.10646815026881273</v>
      </c>
      <c r="G28" s="288">
        <f t="shared" si="80"/>
        <v>-5.2044953188983833E-2</v>
      </c>
      <c r="H28" s="288">
        <f t="shared" si="80"/>
        <v>0.35000338161677536</v>
      </c>
      <c r="I28" s="288">
        <f t="shared" si="80"/>
        <v>0.32801782477713459</v>
      </c>
      <c r="J28" s="288">
        <f t="shared" si="80"/>
        <v>-6.7275052776462285E-2</v>
      </c>
      <c r="K28" s="288">
        <f t="shared" si="80"/>
        <v>1.4728211357424748E-2</v>
      </c>
      <c r="L28" s="288">
        <f t="shared" si="80"/>
        <v>0.40549760230292931</v>
      </c>
      <c r="M28" s="288">
        <f t="shared" si="80"/>
        <v>0.11433643807976357</v>
      </c>
      <c r="N28" s="288">
        <f t="shared" si="80"/>
        <v>0.10363655026888918</v>
      </c>
      <c r="O28" s="288">
        <f t="shared" si="80"/>
        <v>-5.2646061142580636E-2</v>
      </c>
      <c r="P28" s="288">
        <f t="shared" si="80"/>
        <v>0.20109077578123102</v>
      </c>
      <c r="Q28" s="288">
        <f t="shared" si="80"/>
        <v>0.1637227353314783</v>
      </c>
      <c r="R28" s="288">
        <f t="shared" si="80"/>
        <v>5.0685864383694934E-2</v>
      </c>
      <c r="S28" s="288">
        <f t="shared" si="80"/>
        <v>-0.15378977203540534</v>
      </c>
      <c r="T28" s="288">
        <f t="shared" si="80"/>
        <v>0.26326602916350339</v>
      </c>
      <c r="U28" s="288">
        <f t="shared" ca="1" si="80"/>
        <v>0.13363269793521138</v>
      </c>
      <c r="V28" s="288">
        <f t="shared" ca="1" si="80"/>
        <v>8.204823976071518E-2</v>
      </c>
      <c r="W28" s="288">
        <f t="shared" ca="1" si="80"/>
        <v>-0.20362120846345788</v>
      </c>
      <c r="X28" s="288">
        <f t="shared" si="80"/>
        <v>0.24928403927970511</v>
      </c>
      <c r="Y28" s="288">
        <f t="shared" ca="1" si="80"/>
        <v>0.13311943272169713</v>
      </c>
      <c r="Z28" s="288">
        <f t="shared" ca="1" si="80"/>
        <v>5.6781041455961523E-2</v>
      </c>
      <c r="AA28" s="288">
        <f t="shared" ca="1" si="80"/>
        <v>-0.19490384954525763</v>
      </c>
      <c r="AB28" s="288">
        <f t="shared" si="80"/>
        <v>0.23463086843894043</v>
      </c>
      <c r="AC28" s="288">
        <f t="shared" ca="1" si="80"/>
        <v>0.13473093679852566</v>
      </c>
      <c r="AD28" s="288">
        <f t="shared" ca="1" si="80"/>
        <v>5.7861202260588218E-2</v>
      </c>
      <c r="AE28" s="288">
        <f t="shared" ca="1" si="80"/>
        <v>-0.20279638826981894</v>
      </c>
      <c r="AF28" s="288">
        <f t="shared" si="80"/>
        <v>0.22613884282328134</v>
      </c>
      <c r="AG28" s="288">
        <f t="shared" ca="1" si="80"/>
        <v>0.13597660033571146</v>
      </c>
      <c r="AH28" s="288">
        <f t="shared" ca="1" si="80"/>
        <v>5.9809776699075501E-2</v>
      </c>
      <c r="AI28" s="288">
        <f t="shared" ref="AI28" ca="1" si="81">AI26/AH26-1</f>
        <v>-0.21515209755828313</v>
      </c>
      <c r="AJ28" s="288">
        <f t="shared" ref="AJ28" si="82">AJ26/AI26-1</f>
        <v>0.2243013477835758</v>
      </c>
      <c r="AK28" s="288">
        <f t="shared" ref="AK28" ca="1" si="83">AK26/AJ26-1</f>
        <v>0.13687516106607589</v>
      </c>
      <c r="AL28" s="288">
        <f t="shared" ref="AL28" ca="1" si="84">AL26/AK26-1</f>
        <v>6.5975151429000789E-2</v>
      </c>
    </row>
    <row r="29" spans="2:38">
      <c r="B29" s="287" t="s">
        <v>445</v>
      </c>
      <c r="C29" s="288">
        <f>C26/C$3</f>
        <v>-7.4183668913790787E-2</v>
      </c>
      <c r="D29" s="288">
        <f t="shared" ref="D29:AH29" si="85">D26/D$3</f>
        <v>-8.361914721072175E-2</v>
      </c>
      <c r="E29" s="288">
        <f t="shared" si="85"/>
        <v>-9.4882981123561708E-2</v>
      </c>
      <c r="F29" s="288">
        <f t="shared" si="85"/>
        <v>-9.1717453434512666E-2</v>
      </c>
      <c r="G29" s="288">
        <f t="shared" si="85"/>
        <v>-8.2721143928738847E-2</v>
      </c>
      <c r="H29" s="288">
        <f t="shared" si="85"/>
        <v>-0.10010938331792324</v>
      </c>
      <c r="I29" s="288">
        <f t="shared" si="85"/>
        <v>-0.11748571357829057</v>
      </c>
      <c r="J29" s="288">
        <f t="shared" si="85"/>
        <v>-0.10089804851358745</v>
      </c>
      <c r="K29" s="288">
        <f t="shared" si="85"/>
        <v>-9.063157894736841E-2</v>
      </c>
      <c r="L29" s="288">
        <f t="shared" si="85"/>
        <v>-0.11150860332826909</v>
      </c>
      <c r="M29" s="288">
        <f t="shared" si="85"/>
        <v>-0.10786311915350409</v>
      </c>
      <c r="N29" s="288">
        <f t="shared" si="85"/>
        <v>-0.11692234004096878</v>
      </c>
      <c r="O29" s="288">
        <f t="shared" si="85"/>
        <v>-0.10001675552170604</v>
      </c>
      <c r="P29" s="288">
        <f t="shared" si="85"/>
        <v>-0.11988951476077365</v>
      </c>
      <c r="Q29" s="288">
        <f t="shared" si="85"/>
        <v>-0.12753892921397109</v>
      </c>
      <c r="R29" s="288">
        <f t="shared" si="85"/>
        <v>-0.12721447418017337</v>
      </c>
      <c r="S29" s="288">
        <f t="shared" ca="1" si="85"/>
        <v>-0.10541628340926466</v>
      </c>
      <c r="T29" s="288">
        <f t="shared" ca="1" si="85"/>
        <v>-0.12398930357421356</v>
      </c>
      <c r="U29" s="288">
        <f t="shared" ca="1" si="85"/>
        <v>-0.12932735306728035</v>
      </c>
      <c r="V29" s="288">
        <f t="shared" ca="1" si="85"/>
        <v>-0.13237046714880085</v>
      </c>
      <c r="W29" s="288">
        <f t="shared" ca="1" si="85"/>
        <v>-0.10544010017295809</v>
      </c>
      <c r="X29" s="288">
        <f t="shared" ca="1" si="85"/>
        <v>-0.1235659489457076</v>
      </c>
      <c r="Y29" s="288">
        <f t="shared" ca="1" si="85"/>
        <v>-0.12987979058274501</v>
      </c>
      <c r="Z29" s="288">
        <f t="shared" ca="1" si="85"/>
        <v>-0.13072840335413524</v>
      </c>
      <c r="AA29" s="288">
        <f t="shared" ca="1" si="85"/>
        <v>-0.106629124424266</v>
      </c>
      <c r="AB29" s="288">
        <f t="shared" ca="1" si="85"/>
        <v>-0.12388201086301077</v>
      </c>
      <c r="AC29" s="288">
        <f t="shared" ca="1" si="85"/>
        <v>-0.13022157316770919</v>
      </c>
      <c r="AD29" s="288">
        <f t="shared" ca="1" si="85"/>
        <v>-0.13103013734819438</v>
      </c>
      <c r="AE29" s="288">
        <f t="shared" ca="1" si="85"/>
        <v>-0.10684803684613738</v>
      </c>
      <c r="AF29" s="288">
        <f t="shared" ca="1" si="85"/>
        <v>-0.12348480825678118</v>
      </c>
      <c r="AG29" s="288">
        <f t="shared" ca="1" si="85"/>
        <v>-0.1298941418378613</v>
      </c>
      <c r="AH29" s="288">
        <f t="shared" ca="1" si="85"/>
        <v>-0.13071762965136471</v>
      </c>
      <c r="AI29" s="288">
        <f t="shared" ref="AI29:AL29" ca="1" si="86">AI26/AI$3</f>
        <v>-0.10582938267152509</v>
      </c>
      <c r="AJ29" s="288">
        <f t="shared" ca="1" si="86"/>
        <v>-0.12221965696779949</v>
      </c>
      <c r="AK29" s="288">
        <f t="shared" ca="1" si="86"/>
        <v>-0.12860769171707567</v>
      </c>
      <c r="AL29" s="288">
        <f t="shared" ca="1" si="86"/>
        <v>-0.12966937888435368</v>
      </c>
    </row>
    <row r="30" spans="2:38">
      <c r="B30" s="548" t="s">
        <v>446</v>
      </c>
      <c r="C30" s="289">
        <f>核心数据模型!M177</f>
        <v>-8.4013800000000174</v>
      </c>
      <c r="D30" s="289">
        <f>核心数据模型!N177</f>
        <v>-8.0322300000000197</v>
      </c>
      <c r="E30" s="289">
        <f>核心数据模型!O177</f>
        <v>-11.348559999999992</v>
      </c>
      <c r="F30" s="289">
        <f>核心数据模型!P177</f>
        <v>-14.953450000000004</v>
      </c>
      <c r="G30" s="289">
        <f>核心数据模型!Q177</f>
        <v>-21.669</v>
      </c>
      <c r="H30" s="289">
        <f>核心数据模型!R177</f>
        <v>-31.102260000000001</v>
      </c>
      <c r="I30" s="289">
        <f>核心数据模型!S177</f>
        <v>-40.655159999999995</v>
      </c>
      <c r="J30" s="289">
        <f>核心数据模型!T177</f>
        <v>-50.824600000000004</v>
      </c>
      <c r="K30" s="289">
        <f>核心数据模型!U177</f>
        <v>-59.012360000000001</v>
      </c>
      <c r="L30" s="289">
        <f>核心数据模型!V177</f>
        <v>-74.915040000000005</v>
      </c>
      <c r="M30" s="289">
        <f>核心数据模型!W177</f>
        <v>-95.990679999999983</v>
      </c>
      <c r="N30" s="289">
        <f>核心数据模型!X177</f>
        <v>-108.72848</v>
      </c>
      <c r="O30" s="289">
        <f>核心数据模型!Y177</f>
        <v>-119.07652</v>
      </c>
      <c r="P30" s="289">
        <f>核心数据模型!Z177</f>
        <v>-131.39496</v>
      </c>
      <c r="Q30" s="289">
        <f>核心数据模型!AA177</f>
        <v>-156.78</v>
      </c>
      <c r="R30" s="289">
        <f>核心数据模型!AB177</f>
        <v>-186.14</v>
      </c>
      <c r="S30" s="289">
        <f>核心数据模型!AC177</f>
        <v>-196.24170747026693</v>
      </c>
      <c r="T30" s="289">
        <f>核心数据模型!AD177</f>
        <v>-210.83675969595456</v>
      </c>
      <c r="U30" s="289">
        <f>核心数据模型!AE177</f>
        <v>-240.41846579954586</v>
      </c>
      <c r="V30" s="289">
        <f>核心数据模型!AF177</f>
        <v>-268.70814668108966</v>
      </c>
      <c r="W30" s="289">
        <f>核心数据模型!AG177</f>
        <v>-282.57277089646965</v>
      </c>
      <c r="X30" s="289">
        <f>核心数据模型!AH177</f>
        <v>-297.31167995345771</v>
      </c>
      <c r="Y30" s="289">
        <f>核心数据模型!AI177</f>
        <v>-324.89848295211436</v>
      </c>
      <c r="Z30" s="289">
        <f>核心数据模型!AJ177</f>
        <v>-351.34463197224136</v>
      </c>
      <c r="AA30" s="289">
        <f>核心数据模型!AK177</f>
        <v>-358.57217429145248</v>
      </c>
      <c r="AB30" s="289">
        <f>核心数据模型!AL177</f>
        <v>-375.16546782362286</v>
      </c>
      <c r="AC30" s="289">
        <f>核心数据模型!AM177</f>
        <v>-407.7608280752965</v>
      </c>
      <c r="AD30" s="289">
        <f>核心数据模型!AN177</f>
        <v>-438.37088210732895</v>
      </c>
      <c r="AE30" s="289">
        <f>核心数据模型!AO177</f>
        <v>-443.26299579383061</v>
      </c>
      <c r="AF30" s="289">
        <f>核心数据模型!AP177</f>
        <v>-462.58540103177489</v>
      </c>
      <c r="AG30" s="289">
        <f>核心数据模型!AQ177</f>
        <v>-501.50749240185138</v>
      </c>
      <c r="AH30" s="289">
        <f>核心数据模型!AR177</f>
        <v>-538.14483526524975</v>
      </c>
      <c r="AI30" s="289">
        <f>核心数据模型!AS177</f>
        <v>-543.61519191818434</v>
      </c>
      <c r="AJ30" s="289">
        <f>核心数据模型!AT177</f>
        <v>-567.38410611034521</v>
      </c>
      <c r="AK30" s="289">
        <f>核心数据模型!AU177</f>
        <v>-615.08289469548197</v>
      </c>
      <c r="AL30" s="289">
        <f>核心数据模型!AV177</f>
        <v>-660.41120814531234</v>
      </c>
    </row>
    <row r="31" spans="2:38">
      <c r="B31" s="287" t="s">
        <v>392</v>
      </c>
      <c r="C31" s="288"/>
      <c r="D31" s="288"/>
      <c r="E31" s="288"/>
      <c r="F31" s="288"/>
      <c r="G31" s="288">
        <f>G30/C30-1</f>
        <v>1.5792191282860619</v>
      </c>
      <c r="H31" s="288">
        <f t="shared" ref="H31:AH31" si="87">H30/D30-1</f>
        <v>2.8721824449747984</v>
      </c>
      <c r="I31" s="288">
        <f t="shared" si="87"/>
        <v>2.5824069309233968</v>
      </c>
      <c r="J31" s="288">
        <f t="shared" si="87"/>
        <v>2.3988544449608611</v>
      </c>
      <c r="K31" s="288">
        <f t="shared" si="87"/>
        <v>1.7233541003276569</v>
      </c>
      <c r="L31" s="288">
        <f t="shared" si="87"/>
        <v>1.4086686948151037</v>
      </c>
      <c r="M31" s="288">
        <f t="shared" si="87"/>
        <v>1.3610946310382248</v>
      </c>
      <c r="N31" s="288">
        <f t="shared" si="87"/>
        <v>1.1392884548033826</v>
      </c>
      <c r="O31" s="288">
        <f t="shared" si="87"/>
        <v>1.0178233847959985</v>
      </c>
      <c r="P31" s="288">
        <f t="shared" si="87"/>
        <v>0.75391964016838253</v>
      </c>
      <c r="Q31" s="288">
        <f t="shared" si="87"/>
        <v>0.6332835646127315</v>
      </c>
      <c r="R31" s="288">
        <f t="shared" si="87"/>
        <v>0.71197095737933602</v>
      </c>
      <c r="S31" s="288">
        <f t="shared" si="87"/>
        <v>0.64803025374160184</v>
      </c>
      <c r="T31" s="288">
        <f t="shared" si="87"/>
        <v>0.60460309661766742</v>
      </c>
      <c r="U31" s="288">
        <f t="shared" si="87"/>
        <v>0.53347662839358234</v>
      </c>
      <c r="V31" s="288">
        <f t="shared" si="87"/>
        <v>0.44358088901412751</v>
      </c>
      <c r="W31" s="288">
        <f t="shared" si="87"/>
        <v>0.43992209678099625</v>
      </c>
      <c r="X31" s="288">
        <f t="shared" si="87"/>
        <v>0.41015105896242998</v>
      </c>
      <c r="Y31" s="288">
        <f t="shared" si="87"/>
        <v>0.35138738978147188</v>
      </c>
      <c r="Z31" s="288">
        <f t="shared" si="87"/>
        <v>0.30753248947538236</v>
      </c>
      <c r="AA31" s="288">
        <f t="shared" si="87"/>
        <v>0.26895515499909184</v>
      </c>
      <c r="AB31" s="288">
        <f t="shared" si="87"/>
        <v>0.26185916369768147</v>
      </c>
      <c r="AC31" s="288">
        <f t="shared" si="87"/>
        <v>0.25504072647638343</v>
      </c>
      <c r="AD31" s="288">
        <f t="shared" si="87"/>
        <v>0.24769483355010613</v>
      </c>
      <c r="AE31" s="288">
        <f t="shared" si="87"/>
        <v>0.23618905083677877</v>
      </c>
      <c r="AF31" s="288">
        <f t="shared" si="87"/>
        <v>0.23301700371114897</v>
      </c>
      <c r="AG31" s="288">
        <f t="shared" si="87"/>
        <v>0.22990600830652563</v>
      </c>
      <c r="AH31" s="288">
        <f t="shared" si="87"/>
        <v>0.22760168895864874</v>
      </c>
      <c r="AI31" s="288">
        <f t="shared" ref="AI31" si="88">AI30/AE30-1</f>
        <v>0.22639425595325191</v>
      </c>
      <c r="AJ31" s="288">
        <f t="shared" ref="AJ31" si="89">AJ30/AF30-1</f>
        <v>0.22654996211471823</v>
      </c>
      <c r="AK31" s="288">
        <f t="shared" ref="AK31" si="90">AK30/AG30-1</f>
        <v>0.22646800698766856</v>
      </c>
      <c r="AL31" s="288">
        <f t="shared" ref="AL31" si="91">AL30/AH30-1</f>
        <v>0.22719975156836347</v>
      </c>
    </row>
    <row r="32" spans="2:38">
      <c r="B32" s="287" t="s">
        <v>447</v>
      </c>
      <c r="C32" s="288"/>
      <c r="D32" s="288">
        <f>D30/C30-1</f>
        <v>-4.393920998693035E-2</v>
      </c>
      <c r="E32" s="288">
        <f t="shared" ref="E32:AH32" si="92">E30/D30-1</f>
        <v>0.41287786828812978</v>
      </c>
      <c r="F32" s="288">
        <f t="shared" si="92"/>
        <v>0.31765175493631026</v>
      </c>
      <c r="G32" s="288">
        <f t="shared" si="92"/>
        <v>0.44909703111990851</v>
      </c>
      <c r="H32" s="288">
        <f t="shared" si="92"/>
        <v>0.43533434860861142</v>
      </c>
      <c r="I32" s="288">
        <f t="shared" si="92"/>
        <v>0.30714488271913343</v>
      </c>
      <c r="J32" s="288">
        <f t="shared" si="92"/>
        <v>0.25013897374896588</v>
      </c>
      <c r="K32" s="288">
        <f t="shared" si="92"/>
        <v>0.16109836575201775</v>
      </c>
      <c r="L32" s="288">
        <f t="shared" si="92"/>
        <v>0.26948049527251583</v>
      </c>
      <c r="M32" s="288">
        <f t="shared" si="92"/>
        <v>0.28132722080906558</v>
      </c>
      <c r="N32" s="288">
        <f t="shared" si="92"/>
        <v>0.13269829945990619</v>
      </c>
      <c r="O32" s="288">
        <f t="shared" si="92"/>
        <v>9.5173224163531023E-2</v>
      </c>
      <c r="P32" s="288">
        <f t="shared" si="92"/>
        <v>0.10344978170339547</v>
      </c>
      <c r="Q32" s="288">
        <f t="shared" si="92"/>
        <v>0.1931964513707376</v>
      </c>
      <c r="R32" s="288">
        <f t="shared" si="92"/>
        <v>0.18726878428370952</v>
      </c>
      <c r="S32" s="288">
        <f t="shared" si="92"/>
        <v>5.426940727552898E-2</v>
      </c>
      <c r="T32" s="288">
        <f t="shared" si="92"/>
        <v>7.4372835488597522E-2</v>
      </c>
      <c r="U32" s="288">
        <f t="shared" si="92"/>
        <v>0.14030620725840581</v>
      </c>
      <c r="V32" s="288">
        <f t="shared" si="92"/>
        <v>0.1176685026562434</v>
      </c>
      <c r="W32" s="288">
        <f t="shared" si="92"/>
        <v>5.1597334828239916E-2</v>
      </c>
      <c r="X32" s="288">
        <f t="shared" si="92"/>
        <v>5.2159693272032071E-2</v>
      </c>
      <c r="Y32" s="288">
        <f t="shared" si="92"/>
        <v>9.2787484847467683E-2</v>
      </c>
      <c r="Z32" s="288">
        <f t="shared" si="92"/>
        <v>8.1398191766948846E-2</v>
      </c>
      <c r="AA32" s="288">
        <f t="shared" si="92"/>
        <v>2.0571090779557322E-2</v>
      </c>
      <c r="AB32" s="288">
        <f t="shared" si="92"/>
        <v>4.627602118028018E-2</v>
      </c>
      <c r="AC32" s="288">
        <f t="shared" si="92"/>
        <v>8.6882623927950986E-2</v>
      </c>
      <c r="AD32" s="288">
        <f t="shared" si="92"/>
        <v>7.5068647904501518E-2</v>
      </c>
      <c r="AE32" s="288">
        <f t="shared" si="92"/>
        <v>1.1159759660551272E-2</v>
      </c>
      <c r="AF32" s="288">
        <f t="shared" si="92"/>
        <v>4.3591288741213763E-2</v>
      </c>
      <c r="AG32" s="288">
        <f t="shared" si="92"/>
        <v>8.4140336645433633E-2</v>
      </c>
      <c r="AH32" s="288">
        <f t="shared" si="92"/>
        <v>7.3054427737325511E-2</v>
      </c>
      <c r="AI32" s="288">
        <f t="shared" ref="AI32" si="93">AI30/AH30-1</f>
        <v>1.0165212586753292E-2</v>
      </c>
      <c r="AJ32" s="288">
        <f t="shared" ref="AJ32" si="94">AJ30/AI30-1</f>
        <v>4.3723785768919665E-2</v>
      </c>
      <c r="AK32" s="288">
        <f t="shared" ref="AK32" si="95">AK30/AJ30-1</f>
        <v>8.4067896988041957E-2</v>
      </c>
      <c r="AL32" s="288">
        <f t="shared" ref="AL32" si="96">AL30/AK30-1</f>
        <v>7.3694641552780826E-2</v>
      </c>
    </row>
    <row r="33" spans="1:38">
      <c r="B33" s="287" t="s">
        <v>448</v>
      </c>
      <c r="C33" s="288">
        <f>C30/C$3</f>
        <v>-3.7507835171213075E-2</v>
      </c>
      <c r="D33" s="288">
        <f t="shared" ref="D33:AH33" si="97">D30/D$3</f>
        <v>-3.428328140338905E-2</v>
      </c>
      <c r="E33" s="288">
        <f t="shared" si="97"/>
        <v>-4.267338497405427E-2</v>
      </c>
      <c r="F33" s="288">
        <f t="shared" si="97"/>
        <v>-4.9122729213889181E-2</v>
      </c>
      <c r="G33" s="288">
        <f t="shared" si="97"/>
        <v>-6.7726207219878112E-2</v>
      </c>
      <c r="H33" s="288">
        <f t="shared" si="97"/>
        <v>-8.714314533075565E-2</v>
      </c>
      <c r="I33" s="288">
        <f t="shared" si="97"/>
        <v>-0.10066148360899276</v>
      </c>
      <c r="J33" s="288">
        <f t="shared" si="97"/>
        <v>-0.11586859383549153</v>
      </c>
      <c r="K33" s="288">
        <f t="shared" si="97"/>
        <v>-0.11909178237003551</v>
      </c>
      <c r="L33" s="288">
        <f t="shared" si="97"/>
        <v>-0.13234469844186128</v>
      </c>
      <c r="M33" s="288">
        <f t="shared" si="97"/>
        <v>-0.14720239227112406</v>
      </c>
      <c r="N33" s="288">
        <f t="shared" si="97"/>
        <v>-0.1637674418604651</v>
      </c>
      <c r="O33" s="288">
        <f t="shared" si="97"/>
        <v>-0.16194717658579047</v>
      </c>
      <c r="P33" s="288">
        <f t="shared" si="97"/>
        <v>-0.17834402443162539</v>
      </c>
      <c r="Q33" s="288">
        <f t="shared" si="97"/>
        <v>-0.19452819653824677</v>
      </c>
      <c r="R33" s="288">
        <f t="shared" si="97"/>
        <v>-0.21925650207312475</v>
      </c>
      <c r="S33" s="288">
        <f t="shared" ca="1" si="97"/>
        <v>-0.22635859453518875</v>
      </c>
      <c r="T33" s="288">
        <f t="shared" ca="1" si="97"/>
        <v>-0.22642986642821003</v>
      </c>
      <c r="U33" s="288">
        <f t="shared" ca="1" si="97"/>
        <v>-0.2375685807151546</v>
      </c>
      <c r="V33" s="288">
        <f t="shared" ca="1" si="97"/>
        <v>-0.2511632562526217</v>
      </c>
      <c r="W33" s="288">
        <f t="shared" ca="1" si="97"/>
        <v>-0.26418040657955705</v>
      </c>
      <c r="X33" s="288">
        <f t="shared" ca="1" si="97"/>
        <v>-0.26074384905279402</v>
      </c>
      <c r="Y33" s="288">
        <f t="shared" ca="1" si="97"/>
        <v>-0.26431199219217533</v>
      </c>
      <c r="Z33" s="288">
        <f t="shared" ca="1" si="97"/>
        <v>-0.27223619805838339</v>
      </c>
      <c r="AA33" s="288">
        <f t="shared" ca="1" si="97"/>
        <v>-0.28147982287222373</v>
      </c>
      <c r="AB33" s="288">
        <f t="shared" ca="1" si="97"/>
        <v>-0.27713336390264881</v>
      </c>
      <c r="AC33" s="288">
        <f t="shared" ca="1" si="97"/>
        <v>-0.27903151365713064</v>
      </c>
      <c r="AD33" s="288">
        <f t="shared" ca="1" si="97"/>
        <v>-0.2853310410930629</v>
      </c>
      <c r="AE33" s="288">
        <f t="shared" ca="1" si="97"/>
        <v>-0.29511745179324173</v>
      </c>
      <c r="AF33" s="288">
        <f t="shared" ca="1" si="97"/>
        <v>-0.29029039841866394</v>
      </c>
      <c r="AG33" s="288">
        <f t="shared" ca="1" si="97"/>
        <v>-0.29142366948396886</v>
      </c>
      <c r="AH33" s="288">
        <f t="shared" ca="1" si="97"/>
        <v>-0.29693627131957057</v>
      </c>
      <c r="AI33" s="288">
        <f t="shared" ref="AI33:AL33" ca="1" si="98">AI30/AI$3</f>
        <v>-0.30941563562419339</v>
      </c>
      <c r="AJ33" s="288">
        <f t="shared" ca="1" si="98"/>
        <v>-0.30463114788438728</v>
      </c>
      <c r="AK33" s="288">
        <f t="shared" ca="1" si="98"/>
        <v>-0.30566372098927297</v>
      </c>
      <c r="AL33" s="288">
        <f t="shared" ca="1" si="98"/>
        <v>-0.31041885121614632</v>
      </c>
    </row>
    <row r="34" spans="1:38" s="285" customFormat="1">
      <c r="B34" s="291" t="s">
        <v>449</v>
      </c>
      <c r="C34" s="286">
        <f t="shared" ref="C34:AH34" si="99">C3+C18</f>
        <v>134.34</v>
      </c>
      <c r="D34" s="286">
        <f t="shared" si="99"/>
        <v>144.37999999999997</v>
      </c>
      <c r="E34" s="286">
        <f t="shared" si="99"/>
        <v>155.80000000000001</v>
      </c>
      <c r="F34" s="286">
        <f t="shared" si="99"/>
        <v>177.79999999999995</v>
      </c>
      <c r="G34" s="286">
        <f t="shared" si="99"/>
        <v>185.93821</v>
      </c>
      <c r="H34" s="286">
        <f t="shared" si="99"/>
        <v>204.56330000000003</v>
      </c>
      <c r="I34" s="286">
        <f t="shared" si="99"/>
        <v>218.42171000000002</v>
      </c>
      <c r="J34" s="286">
        <f t="shared" si="99"/>
        <v>236.13460000000001</v>
      </c>
      <c r="K34" s="286">
        <f t="shared" si="99"/>
        <v>254.32560000000001</v>
      </c>
      <c r="L34" s="286">
        <f t="shared" si="99"/>
        <v>283.01664000000005</v>
      </c>
      <c r="M34" s="286">
        <f t="shared" si="99"/>
        <v>316.85453999999987</v>
      </c>
      <c r="N34" s="286">
        <f t="shared" si="99"/>
        <v>314.98015000000004</v>
      </c>
      <c r="O34" s="286">
        <f t="shared" si="99"/>
        <v>370.62456999999995</v>
      </c>
      <c r="P34" s="286">
        <f t="shared" si="99"/>
        <v>344.49644000000001</v>
      </c>
      <c r="Q34" s="286">
        <f t="shared" si="99"/>
        <v>354.80000000000007</v>
      </c>
      <c r="R34" s="286">
        <f t="shared" si="99"/>
        <v>351.52000000000004</v>
      </c>
      <c r="S34" s="286">
        <f t="shared" ca="1" si="99"/>
        <v>354.08232378427851</v>
      </c>
      <c r="T34" s="286">
        <f t="shared" ca="1" si="99"/>
        <v>376.08931440901495</v>
      </c>
      <c r="U34" s="286">
        <f t="shared" ca="1" si="99"/>
        <v>403.43516272156</v>
      </c>
      <c r="V34" s="286">
        <f t="shared" ca="1" si="99"/>
        <v>420.49968023261999</v>
      </c>
      <c r="W34" s="286">
        <f t="shared" ca="1" si="99"/>
        <v>422.60562589510801</v>
      </c>
      <c r="X34" s="286">
        <f t="shared" ca="1" si="99"/>
        <v>447.41854682062763</v>
      </c>
      <c r="Y34" s="286">
        <f t="shared" ca="1" si="99"/>
        <v>479.1639807797909</v>
      </c>
      <c r="Z34" s="286">
        <f t="shared" ca="1" si="99"/>
        <v>499.24820603655849</v>
      </c>
      <c r="AA34" s="286">
        <f t="shared" ca="1" si="99"/>
        <v>496.6268789687706</v>
      </c>
      <c r="AB34" s="286">
        <f t="shared" ca="1" si="99"/>
        <v>525.47603831454933</v>
      </c>
      <c r="AC34" s="286">
        <f t="shared" ca="1" si="99"/>
        <v>565.0706519986411</v>
      </c>
      <c r="AD34" s="286">
        <f t="shared" ca="1" si="99"/>
        <v>591.20716322222495</v>
      </c>
      <c r="AE34" s="286">
        <f t="shared" ca="1" si="99"/>
        <v>582.2374280153515</v>
      </c>
      <c r="AF34" s="286">
        <f t="shared" ca="1" si="99"/>
        <v>615.62267280147603</v>
      </c>
      <c r="AG34" s="286">
        <f t="shared" ca="1" si="99"/>
        <v>662.8115098737062</v>
      </c>
      <c r="AH34" s="286">
        <f t="shared" ca="1" si="99"/>
        <v>695.26902499947391</v>
      </c>
      <c r="AI34" s="286">
        <f t="shared" ref="AI34:AL34" ca="1" si="100">AI3+AI18</f>
        <v>677.4689803935189</v>
      </c>
      <c r="AJ34" s="286">
        <f t="shared" ca="1" si="100"/>
        <v>715.87656396627881</v>
      </c>
      <c r="AK34" s="286">
        <f t="shared" ca="1" si="100"/>
        <v>771.23971057659674</v>
      </c>
      <c r="AL34" s="286">
        <f t="shared" ca="1" si="100"/>
        <v>812.74136584944063</v>
      </c>
    </row>
    <row r="35" spans="1:38">
      <c r="B35" s="287" t="s">
        <v>392</v>
      </c>
      <c r="C35" s="288"/>
      <c r="D35" s="288"/>
      <c r="E35" s="288"/>
      <c r="F35" s="288"/>
      <c r="G35" s="288">
        <f>G34/C34-1</f>
        <v>0.38408672026202173</v>
      </c>
      <c r="H35" s="288">
        <f t="shared" ref="H35:AG35" si="101">H34/D34-1</f>
        <v>0.41683958997091053</v>
      </c>
      <c r="I35" s="288">
        <f t="shared" si="101"/>
        <v>0.40193652118100132</v>
      </c>
      <c r="J35" s="288">
        <f t="shared" si="101"/>
        <v>0.32809111361079912</v>
      </c>
      <c r="K35" s="288">
        <f t="shared" si="101"/>
        <v>0.36779632330546796</v>
      </c>
      <c r="L35" s="288">
        <f t="shared" si="101"/>
        <v>0.38351620256419405</v>
      </c>
      <c r="M35" s="288">
        <f t="shared" si="101"/>
        <v>0.45065497381189745</v>
      </c>
      <c r="N35" s="288">
        <f t="shared" si="101"/>
        <v>0.33390087687276671</v>
      </c>
      <c r="O35" s="288">
        <f t="shared" si="101"/>
        <v>0.45728377324185976</v>
      </c>
      <c r="P35" s="288">
        <f t="shared" si="101"/>
        <v>0.21723033670387704</v>
      </c>
      <c r="Q35" s="288">
        <f t="shared" si="101"/>
        <v>0.11975671865077331</v>
      </c>
      <c r="R35" s="288">
        <f t="shared" si="101"/>
        <v>0.11600683408144929</v>
      </c>
      <c r="S35" s="288">
        <f t="shared" ca="1" si="101"/>
        <v>-4.4633431117967803E-2</v>
      </c>
      <c r="T35" s="288">
        <f t="shared" ca="1" si="101"/>
        <v>9.1707404607765941E-2</v>
      </c>
      <c r="U35" s="288">
        <f t="shared" ca="1" si="101"/>
        <v>0.13707768523551267</v>
      </c>
      <c r="V35" s="288">
        <f t="shared" ca="1" si="101"/>
        <v>0.19623259055706632</v>
      </c>
      <c r="W35" s="288">
        <f t="shared" ca="1" si="101"/>
        <v>0.19352364551407741</v>
      </c>
      <c r="X35" s="288">
        <f t="shared" ca="1" si="101"/>
        <v>0.18966035374788337</v>
      </c>
      <c r="Y35" s="288">
        <f t="shared" ca="1" si="101"/>
        <v>0.18771000908142677</v>
      </c>
      <c r="Z35" s="288">
        <f t="shared" ca="1" si="101"/>
        <v>0.18727368772403086</v>
      </c>
      <c r="AA35" s="288">
        <f t="shared" ca="1" si="101"/>
        <v>0.17515444314514372</v>
      </c>
      <c r="AB35" s="288">
        <f t="shared" ca="1" si="101"/>
        <v>0.17446190384507099</v>
      </c>
      <c r="AC35" s="288">
        <f t="shared" ca="1" si="101"/>
        <v>0.17928449270966862</v>
      </c>
      <c r="AD35" s="288">
        <f t="shared" ca="1" si="101"/>
        <v>0.18419486755037551</v>
      </c>
      <c r="AE35" s="288">
        <f t="shared" ca="1" si="101"/>
        <v>0.17238404257205819</v>
      </c>
      <c r="AF35" s="288">
        <f t="shared" ca="1" si="101"/>
        <v>0.17155232192141368</v>
      </c>
      <c r="AG35" s="288">
        <f t="shared" ca="1" si="101"/>
        <v>0.17297103916007339</v>
      </c>
      <c r="AH35" s="288">
        <f ca="1">AH34/AD34-1</f>
        <v>0.17601590144829449</v>
      </c>
      <c r="AI35" s="288">
        <f t="shared" ref="AI35:AL35" ca="1" si="102">AI34/AE34-1</f>
        <v>0.16356137169466978</v>
      </c>
      <c r="AJ35" s="288">
        <f t="shared" ca="1" si="102"/>
        <v>0.16284957587507876</v>
      </c>
      <c r="AK35" s="288">
        <f t="shared" ca="1" si="102"/>
        <v>0.16358828880860976</v>
      </c>
      <c r="AL35" s="288">
        <f t="shared" ca="1" si="102"/>
        <v>0.16895954893151699</v>
      </c>
    </row>
    <row r="36" spans="1:38">
      <c r="B36" s="287" t="s">
        <v>347</v>
      </c>
      <c r="C36" s="288"/>
      <c r="D36" s="288">
        <f>D34/C34-1</f>
        <v>7.4735745124311137E-2</v>
      </c>
      <c r="E36" s="288">
        <f t="shared" ref="E36:AG36" si="103">E34/D34-1</f>
        <v>7.9096827815487325E-2</v>
      </c>
      <c r="F36" s="288">
        <f t="shared" si="103"/>
        <v>0.14120667522464658</v>
      </c>
      <c r="G36" s="288">
        <f t="shared" si="103"/>
        <v>4.5771709786276871E-2</v>
      </c>
      <c r="H36" s="288">
        <f t="shared" si="103"/>
        <v>0.10016816876961454</v>
      </c>
      <c r="I36" s="288">
        <f t="shared" si="103"/>
        <v>6.7746316176948707E-2</v>
      </c>
      <c r="J36" s="288">
        <f t="shared" si="103"/>
        <v>8.1094914969761955E-2</v>
      </c>
      <c r="K36" s="288">
        <f t="shared" si="103"/>
        <v>7.7036571514720764E-2</v>
      </c>
      <c r="L36" s="288">
        <f t="shared" si="103"/>
        <v>0.11281223754116776</v>
      </c>
      <c r="M36" s="288">
        <f t="shared" si="103"/>
        <v>0.11956152118829411</v>
      </c>
      <c r="N36" s="288">
        <f t="shared" si="103"/>
        <v>-5.9156166738209004E-3</v>
      </c>
      <c r="O36" s="288">
        <f t="shared" si="103"/>
        <v>0.17666008477042094</v>
      </c>
      <c r="P36" s="288">
        <f t="shared" si="103"/>
        <v>-7.0497565771206028E-2</v>
      </c>
      <c r="Q36" s="288">
        <f t="shared" si="103"/>
        <v>2.9909046375051318E-2</v>
      </c>
      <c r="R36" s="288">
        <f t="shared" si="103"/>
        <v>-9.2446448703495943E-3</v>
      </c>
      <c r="S36" s="288">
        <f t="shared" ca="1" si="103"/>
        <v>7.2892688446701825E-3</v>
      </c>
      <c r="T36" s="288">
        <f t="shared" ca="1" si="103"/>
        <v>6.2152186501532425E-2</v>
      </c>
      <c r="U36" s="288">
        <f t="shared" ca="1" si="103"/>
        <v>7.2711048319775262E-2</v>
      </c>
      <c r="V36" s="288">
        <f t="shared" ca="1" si="103"/>
        <v>4.2298042133817271E-2</v>
      </c>
      <c r="W36" s="288">
        <f t="shared" ca="1" si="103"/>
        <v>5.0081980117631097E-3</v>
      </c>
      <c r="X36" s="288">
        <f t="shared" ca="1" si="103"/>
        <v>5.8714128267848054E-2</v>
      </c>
      <c r="Y36" s="288">
        <f t="shared" ca="1" si="103"/>
        <v>7.0952431866643684E-2</v>
      </c>
      <c r="Z36" s="288">
        <f t="shared" ca="1" si="103"/>
        <v>4.191513983184314E-2</v>
      </c>
      <c r="AA36" s="288">
        <f t="shared" ca="1" si="103"/>
        <v>-5.2505487973569798E-3</v>
      </c>
      <c r="AB36" s="288">
        <f t="shared" ca="1" si="103"/>
        <v>5.8090209304987761E-2</v>
      </c>
      <c r="AC36" s="288">
        <f t="shared" ca="1" si="103"/>
        <v>7.5349988956852298E-2</v>
      </c>
      <c r="AD36" s="288">
        <f t="shared" ca="1" si="103"/>
        <v>4.6253527998914246E-2</v>
      </c>
      <c r="AE36" s="288">
        <f t="shared" ca="1" si="103"/>
        <v>-1.5171898726642929E-2</v>
      </c>
      <c r="AF36" s="288">
        <f t="shared" ca="1" si="103"/>
        <v>5.7339571761855668E-2</v>
      </c>
      <c r="AG36" s="288">
        <f t="shared" ca="1" si="103"/>
        <v>7.6652207849153609E-2</v>
      </c>
      <c r="AH36" s="288">
        <f ca="1">AH34/AG34-1</f>
        <v>4.8969450050667218E-2</v>
      </c>
      <c r="AI36" s="288">
        <f t="shared" ref="AI36:AL36" ca="1" si="104">AI34/AH34-1</f>
        <v>-2.5601664918077582E-2</v>
      </c>
      <c r="AJ36" s="288">
        <f t="shared" ca="1" si="104"/>
        <v>5.669275595533585E-2</v>
      </c>
      <c r="AK36" s="288">
        <f t="shared" ca="1" si="104"/>
        <v>7.7336162960247146E-2</v>
      </c>
      <c r="AL36" s="288">
        <f t="shared" ca="1" si="104"/>
        <v>5.3811616159930686E-2</v>
      </c>
    </row>
    <row r="37" spans="1:38">
      <c r="B37" s="287" t="s">
        <v>395</v>
      </c>
      <c r="C37" s="288">
        <f t="shared" ref="C37:AH37" si="105">C34/C3</f>
        <v>0.59975891780883073</v>
      </c>
      <c r="D37" s="288">
        <f t="shared" si="105"/>
        <v>0.61624482478979037</v>
      </c>
      <c r="E37" s="288">
        <f t="shared" si="105"/>
        <v>0.5858464315259081</v>
      </c>
      <c r="F37" s="288">
        <f t="shared" si="105"/>
        <v>0.58408068066095065</v>
      </c>
      <c r="G37" s="288">
        <f t="shared" si="105"/>
        <v>0.5811477105797781</v>
      </c>
      <c r="H37" s="288">
        <f t="shared" si="105"/>
        <v>0.57315093440923481</v>
      </c>
      <c r="I37" s="288">
        <f t="shared" si="105"/>
        <v>0.54080843319797967</v>
      </c>
      <c r="J37" s="288">
        <f t="shared" si="105"/>
        <v>0.53833348531825642</v>
      </c>
      <c r="K37" s="288">
        <f t="shared" si="105"/>
        <v>0.51324991927671937</v>
      </c>
      <c r="L37" s="288">
        <f t="shared" si="105"/>
        <v>0.4999763982616684</v>
      </c>
      <c r="M37" s="288">
        <f t="shared" si="105"/>
        <v>0.48589869651893869</v>
      </c>
      <c r="N37" s="288">
        <f t="shared" si="105"/>
        <v>0.4744248554042656</v>
      </c>
      <c r="O37" s="288">
        <f t="shared" si="105"/>
        <v>0.50405909313458819</v>
      </c>
      <c r="P37" s="288">
        <f t="shared" si="105"/>
        <v>0.46758933152358334</v>
      </c>
      <c r="Q37" s="288">
        <f t="shared" si="105"/>
        <v>0.44022582046032638</v>
      </c>
      <c r="R37" s="288">
        <f t="shared" si="105"/>
        <v>0.41405955522050514</v>
      </c>
      <c r="S37" s="288">
        <f t="shared" ca="1" si="105"/>
        <v>0.40842274659532596</v>
      </c>
      <c r="T37" s="288">
        <f t="shared" ca="1" si="105"/>
        <v>0.40390420223454188</v>
      </c>
      <c r="U37" s="288">
        <f t="shared" ca="1" si="105"/>
        <v>0.39865290172120171</v>
      </c>
      <c r="V37" s="288">
        <f t="shared" ca="1" si="105"/>
        <v>0.39304379210265161</v>
      </c>
      <c r="W37" s="288">
        <f t="shared" ca="1" si="105"/>
        <v>0.39509867039766022</v>
      </c>
      <c r="X37" s="288">
        <f t="shared" ca="1" si="105"/>
        <v>0.39238833151082675</v>
      </c>
      <c r="Y37" s="288">
        <f t="shared" ca="1" si="105"/>
        <v>0.38981033458782277</v>
      </c>
      <c r="Z37" s="288">
        <f t="shared" ca="1" si="105"/>
        <v>0.38683793953510365</v>
      </c>
      <c r="AA37" s="288">
        <f t="shared" ca="1" si="105"/>
        <v>0.3898530224826961</v>
      </c>
      <c r="AB37" s="288">
        <f t="shared" ca="1" si="105"/>
        <v>0.38816723456224933</v>
      </c>
      <c r="AC37" s="288">
        <f t="shared" ca="1" si="105"/>
        <v>0.38667892669986181</v>
      </c>
      <c r="AD37" s="288">
        <f t="shared" ca="1" si="105"/>
        <v>0.38481058452822259</v>
      </c>
      <c r="AE37" s="288">
        <f t="shared" ca="1" si="105"/>
        <v>0.38764441815590212</v>
      </c>
      <c r="AF37" s="288">
        <f t="shared" ca="1" si="105"/>
        <v>0.38632726100845488</v>
      </c>
      <c r="AG37" s="288">
        <f t="shared" ca="1" si="105"/>
        <v>0.38515668322025703</v>
      </c>
      <c r="AH37" s="288">
        <f t="shared" ca="1" si="105"/>
        <v>0.38363388128695558</v>
      </c>
      <c r="AI37" s="288">
        <f t="shared" ref="AI37:AL37" ca="1" si="106">AI34/AI3</f>
        <v>0.3856027173274495</v>
      </c>
      <c r="AJ37" s="288">
        <f t="shared" ca="1" si="106"/>
        <v>0.3843574345421768</v>
      </c>
      <c r="AK37" s="288">
        <f t="shared" ca="1" si="106"/>
        <v>0.38326541307288953</v>
      </c>
      <c r="AL37" s="288">
        <f t="shared" ca="1" si="106"/>
        <v>0.38201992639003313</v>
      </c>
    </row>
    <row r="38" spans="1:38">
      <c r="B38" s="548" t="s">
        <v>450</v>
      </c>
      <c r="C38" s="283">
        <v>5.21</v>
      </c>
      <c r="D38" s="283">
        <v>5.98</v>
      </c>
      <c r="E38" s="283">
        <v>5.59</v>
      </c>
      <c r="F38" s="283">
        <v>6.49</v>
      </c>
      <c r="G38" s="283">
        <v>7.03</v>
      </c>
      <c r="H38" s="283">
        <v>6.26</v>
      </c>
      <c r="I38" s="283">
        <v>6.37</v>
      </c>
      <c r="J38" s="283">
        <v>6.53</v>
      </c>
      <c r="K38" s="283">
        <v>8.08</v>
      </c>
      <c r="L38" s="283">
        <v>9.59</v>
      </c>
      <c r="M38" s="283">
        <v>10.17</v>
      </c>
      <c r="N38" s="283">
        <v>11.56</v>
      </c>
      <c r="O38" s="283">
        <v>10.65</v>
      </c>
      <c r="P38" s="283">
        <v>10.72</v>
      </c>
      <c r="Q38" s="293">
        <v>10.82</v>
      </c>
      <c r="R38" s="289">
        <v>13.5</v>
      </c>
      <c r="S38" s="289">
        <v>11.609266215178101</v>
      </c>
      <c r="T38" s="289">
        <v>12.6385324303562</v>
      </c>
      <c r="U38" s="289">
        <v>13.6977986455343</v>
      </c>
      <c r="V38" s="289">
        <v>12.275581245652038</v>
      </c>
      <c r="W38" s="289">
        <f>S38*120.2%</f>
        <v>13.954337990644078</v>
      </c>
      <c r="X38" s="289">
        <f t="shared" ref="X38:Z38" si="107">T38*120.2%</f>
        <v>15.191515981288152</v>
      </c>
      <c r="Y38" s="289">
        <f t="shared" si="107"/>
        <v>16.464753971932229</v>
      </c>
      <c r="Z38" s="289">
        <f t="shared" si="107"/>
        <v>14.75524865727375</v>
      </c>
      <c r="AA38" s="289">
        <f>W38*115.7%</f>
        <v>16.145169055175199</v>
      </c>
      <c r="AB38" s="289">
        <f t="shared" ref="AB38:AD38" si="108">X38*115.7%</f>
        <v>17.576583990350393</v>
      </c>
      <c r="AC38" s="289">
        <f t="shared" si="108"/>
        <v>19.049720345525589</v>
      </c>
      <c r="AD38" s="289">
        <f t="shared" si="108"/>
        <v>17.07182269646573</v>
      </c>
      <c r="AE38" s="289">
        <f>AA38*112.7%</f>
        <v>18.195605525182447</v>
      </c>
      <c r="AF38" s="289">
        <f t="shared" ref="AF38:AH38" si="109">AB38*112.7%</f>
        <v>19.808810157124892</v>
      </c>
      <c r="AG38" s="289">
        <f t="shared" si="109"/>
        <v>21.469034829407338</v>
      </c>
      <c r="AH38" s="289">
        <f t="shared" si="109"/>
        <v>19.239944178916879</v>
      </c>
      <c r="AI38" s="289">
        <f t="shared" ref="AI38" si="110">AE38*112.7%</f>
        <v>20.506447426880619</v>
      </c>
      <c r="AJ38" s="289">
        <f t="shared" ref="AJ38" si="111">AF38*112.7%</f>
        <v>22.324529047079753</v>
      </c>
      <c r="AK38" s="289">
        <f t="shared" ref="AK38" si="112">AG38*112.7%</f>
        <v>24.19560225274207</v>
      </c>
      <c r="AL38" s="289">
        <f t="shared" ref="AL38" si="113">AH38*112.7%</f>
        <v>21.683417089639324</v>
      </c>
    </row>
    <row r="39" spans="1:38">
      <c r="B39" s="287" t="s">
        <v>392</v>
      </c>
      <c r="C39" s="288"/>
      <c r="D39" s="288"/>
      <c r="E39" s="288"/>
      <c r="F39" s="288"/>
      <c r="G39" s="288">
        <f>G38/C38-1</f>
        <v>0.34932821497120936</v>
      </c>
      <c r="H39" s="288">
        <f t="shared" ref="H39:AG39" si="114">H38/D38-1</f>
        <v>4.6822742474916357E-2</v>
      </c>
      <c r="I39" s="288">
        <f t="shared" si="114"/>
        <v>0.13953488372093026</v>
      </c>
      <c r="J39" s="288">
        <f t="shared" si="114"/>
        <v>6.1633281972264253E-3</v>
      </c>
      <c r="K39" s="288">
        <f t="shared" si="114"/>
        <v>0.14935988620199137</v>
      </c>
      <c r="L39" s="288">
        <f t="shared" si="114"/>
        <v>0.53194888178913735</v>
      </c>
      <c r="M39" s="288">
        <f t="shared" si="114"/>
        <v>0.59654631083202503</v>
      </c>
      <c r="N39" s="288">
        <f t="shared" si="114"/>
        <v>0.7702909647779479</v>
      </c>
      <c r="O39" s="288">
        <f t="shared" si="114"/>
        <v>0.31806930693069302</v>
      </c>
      <c r="P39" s="288">
        <f t="shared" si="114"/>
        <v>0.11783107403545379</v>
      </c>
      <c r="Q39" s="288">
        <f t="shared" si="114"/>
        <v>6.3913470993117061E-2</v>
      </c>
      <c r="R39" s="288">
        <f t="shared" si="114"/>
        <v>0.16782006920415227</v>
      </c>
      <c r="S39" s="288">
        <f t="shared" si="114"/>
        <v>9.0071945087145666E-2</v>
      </c>
      <c r="T39" s="288">
        <f t="shared" si="114"/>
        <v>0.17896757745860059</v>
      </c>
      <c r="U39" s="288">
        <f t="shared" si="114"/>
        <v>0.26597029995695931</v>
      </c>
      <c r="V39" s="288">
        <f t="shared" si="114"/>
        <v>-9.0697685507256431E-2</v>
      </c>
      <c r="W39" s="288">
        <f t="shared" si="114"/>
        <v>0.20199999999999996</v>
      </c>
      <c r="X39" s="288">
        <f t="shared" si="114"/>
        <v>0.20199999999999996</v>
      </c>
      <c r="Y39" s="288">
        <f t="shared" si="114"/>
        <v>0.20199999999999996</v>
      </c>
      <c r="Z39" s="288">
        <f t="shared" si="114"/>
        <v>0.20199999999999996</v>
      </c>
      <c r="AA39" s="288">
        <f t="shared" si="114"/>
        <v>0.15700000000000003</v>
      </c>
      <c r="AB39" s="288">
        <f t="shared" si="114"/>
        <v>0.15700000000000003</v>
      </c>
      <c r="AC39" s="288">
        <f t="shared" si="114"/>
        <v>0.15700000000000003</v>
      </c>
      <c r="AD39" s="288">
        <f t="shared" si="114"/>
        <v>0.15700000000000003</v>
      </c>
      <c r="AE39" s="288">
        <f t="shared" si="114"/>
        <v>0.127</v>
      </c>
      <c r="AF39" s="288">
        <f t="shared" si="114"/>
        <v>0.127</v>
      </c>
      <c r="AG39" s="288">
        <f t="shared" si="114"/>
        <v>0.127</v>
      </c>
      <c r="AH39" s="288">
        <f>AH38/AD38-1</f>
        <v>0.127</v>
      </c>
      <c r="AI39" s="288">
        <f t="shared" ref="AI39:AL39" si="115">AI38/AE38-1</f>
        <v>0.127</v>
      </c>
      <c r="AJ39" s="288">
        <f t="shared" si="115"/>
        <v>0.127</v>
      </c>
      <c r="AK39" s="288">
        <f t="shared" si="115"/>
        <v>0.127</v>
      </c>
      <c r="AL39" s="288">
        <f t="shared" si="115"/>
        <v>0.127</v>
      </c>
    </row>
    <row r="40" spans="1:38">
      <c r="B40" s="287" t="s">
        <v>347</v>
      </c>
      <c r="C40" s="288"/>
      <c r="D40" s="288">
        <f>D38/C38-1</f>
        <v>0.14779270633397323</v>
      </c>
      <c r="E40" s="288">
        <f t="shared" ref="E40:AG40" si="116">E38/D38-1</f>
        <v>-6.5217391304347894E-2</v>
      </c>
      <c r="F40" s="288">
        <f t="shared" si="116"/>
        <v>0.16100178890876582</v>
      </c>
      <c r="G40" s="288">
        <f t="shared" si="116"/>
        <v>8.3204930662557741E-2</v>
      </c>
      <c r="H40" s="288">
        <f t="shared" si="116"/>
        <v>-0.10953058321479381</v>
      </c>
      <c r="I40" s="288">
        <f t="shared" si="116"/>
        <v>1.7571884984025621E-2</v>
      </c>
      <c r="J40" s="288">
        <f t="shared" si="116"/>
        <v>2.5117739403453632E-2</v>
      </c>
      <c r="K40" s="288">
        <f t="shared" si="116"/>
        <v>0.2373660030627871</v>
      </c>
      <c r="L40" s="288">
        <f t="shared" si="116"/>
        <v>0.18688118811881194</v>
      </c>
      <c r="M40" s="288">
        <f t="shared" si="116"/>
        <v>6.0479666319082304E-2</v>
      </c>
      <c r="N40" s="288">
        <f t="shared" si="116"/>
        <v>0.13667649950835803</v>
      </c>
      <c r="O40" s="288">
        <f t="shared" si="116"/>
        <v>-7.8719723183391044E-2</v>
      </c>
      <c r="P40" s="288">
        <f t="shared" si="116"/>
        <v>6.5727699530515604E-3</v>
      </c>
      <c r="Q40" s="288">
        <f t="shared" si="116"/>
        <v>9.3283582089551675E-3</v>
      </c>
      <c r="R40" s="288">
        <f t="shared" si="116"/>
        <v>0.24768946395563773</v>
      </c>
      <c r="S40" s="288">
        <f t="shared" si="116"/>
        <v>-0.1400543544312518</v>
      </c>
      <c r="T40" s="288">
        <f t="shared" si="116"/>
        <v>8.865902427428396E-2</v>
      </c>
      <c r="U40" s="288">
        <f t="shared" si="116"/>
        <v>8.3812437956314767E-2</v>
      </c>
      <c r="V40" s="288">
        <f t="shared" si="116"/>
        <v>-0.10382817244476927</v>
      </c>
      <c r="W40" s="288">
        <f t="shared" si="116"/>
        <v>0.13675578462621862</v>
      </c>
      <c r="X40" s="288">
        <f t="shared" si="116"/>
        <v>8.8659024274283738E-2</v>
      </c>
      <c r="Y40" s="288">
        <f t="shared" si="116"/>
        <v>8.3812437956314767E-2</v>
      </c>
      <c r="Z40" s="288">
        <f t="shared" si="116"/>
        <v>-0.10382817244476927</v>
      </c>
      <c r="AA40" s="288">
        <f t="shared" si="116"/>
        <v>9.419837172423895E-2</v>
      </c>
      <c r="AB40" s="288">
        <f t="shared" si="116"/>
        <v>8.8659024274283738E-2</v>
      </c>
      <c r="AC40" s="288">
        <f t="shared" si="116"/>
        <v>8.3812437956314767E-2</v>
      </c>
      <c r="AD40" s="288">
        <f t="shared" si="116"/>
        <v>-0.10382817244476916</v>
      </c>
      <c r="AE40" s="288">
        <f t="shared" si="116"/>
        <v>6.5826763122918797E-2</v>
      </c>
      <c r="AF40" s="288">
        <f t="shared" si="116"/>
        <v>8.865902427428396E-2</v>
      </c>
      <c r="AG40" s="288">
        <f t="shared" si="116"/>
        <v>8.3812437956314767E-2</v>
      </c>
      <c r="AH40" s="288">
        <f>AH38/AG38-1</f>
        <v>-0.10382817244476905</v>
      </c>
      <c r="AI40" s="288">
        <f t="shared" ref="AI40:AL40" si="117">AI38/AH38-1</f>
        <v>6.5826763122918797E-2</v>
      </c>
      <c r="AJ40" s="288">
        <f t="shared" si="117"/>
        <v>8.8659024274283738E-2</v>
      </c>
      <c r="AK40" s="288">
        <f t="shared" si="117"/>
        <v>8.3812437956314767E-2</v>
      </c>
      <c r="AL40" s="288">
        <f t="shared" si="117"/>
        <v>-0.10382817244476905</v>
      </c>
    </row>
    <row r="41" spans="1:38">
      <c r="B41" s="287" t="s">
        <v>351</v>
      </c>
      <c r="C41" s="288">
        <f t="shared" ref="C41:AH41" si="118">C38/C3</f>
        <v>2.3259966962810838E-2</v>
      </c>
      <c r="D41" s="288">
        <f t="shared" si="118"/>
        <v>2.5523923342865684E-2</v>
      </c>
      <c r="E41" s="288">
        <f t="shared" si="118"/>
        <v>2.1019778897495674E-2</v>
      </c>
      <c r="F41" s="288">
        <f t="shared" si="118"/>
        <v>2.13199303570842E-2</v>
      </c>
      <c r="G41" s="288">
        <f t="shared" si="118"/>
        <v>2.1972183153617753E-2</v>
      </c>
      <c r="H41" s="288">
        <f t="shared" si="118"/>
        <v>1.7539435712084276E-2</v>
      </c>
      <c r="I41" s="288">
        <f t="shared" si="118"/>
        <v>1.5772011488560958E-2</v>
      </c>
      <c r="J41" s="288">
        <f t="shared" si="118"/>
        <v>1.4886923217216854E-2</v>
      </c>
      <c r="K41" s="288">
        <f t="shared" si="118"/>
        <v>1.6306102680012913E-2</v>
      </c>
      <c r="L41" s="288">
        <f t="shared" si="118"/>
        <v>1.6941666961099527E-2</v>
      </c>
      <c r="M41" s="288">
        <f t="shared" si="118"/>
        <v>1.5595767520318972E-2</v>
      </c>
      <c r="N41" s="288">
        <f t="shared" si="118"/>
        <v>1.7411736353777563E-2</v>
      </c>
      <c r="O41" s="288">
        <f t="shared" si="118"/>
        <v>1.4484278098139486E-2</v>
      </c>
      <c r="P41" s="288">
        <f t="shared" si="118"/>
        <v>1.4550390227349849E-2</v>
      </c>
      <c r="Q41" s="288">
        <f t="shared" si="118"/>
        <v>1.3425150443575904E-2</v>
      </c>
      <c r="R41" s="288">
        <f t="shared" si="118"/>
        <v>1.5901809272521671E-2</v>
      </c>
      <c r="S41" s="288">
        <f t="shared" ca="1" si="118"/>
        <v>1.339092091038149E-2</v>
      </c>
      <c r="T41" s="288">
        <f t="shared" ca="1" si="118"/>
        <v>1.3573255509053741E-2</v>
      </c>
      <c r="U41" s="288">
        <f t="shared" ca="1" si="118"/>
        <v>1.3535426957822711E-2</v>
      </c>
      <c r="V41" s="288">
        <f t="shared" ca="1" si="118"/>
        <v>1.147406580757962E-2</v>
      </c>
      <c r="W41" s="288">
        <f t="shared" ca="1" si="118"/>
        <v>1.3046064814460042E-2</v>
      </c>
      <c r="X41" s="288">
        <f t="shared" ca="1" si="118"/>
        <v>1.3323036452951294E-2</v>
      </c>
      <c r="Y41" s="288">
        <f t="shared" ca="1" si="118"/>
        <v>1.339443595960662E-2</v>
      </c>
      <c r="Z41" s="288">
        <f t="shared" ca="1" si="118"/>
        <v>1.1432970452156037E-2</v>
      </c>
      <c r="AA41" s="288">
        <f t="shared" ca="1" si="118"/>
        <v>1.2673987698217089E-2</v>
      </c>
      <c r="AB41" s="288">
        <f t="shared" ca="1" si="118"/>
        <v>1.298375854105337E-2</v>
      </c>
      <c r="AC41" s="288">
        <f t="shared" ca="1" si="118"/>
        <v>1.3035760025912778E-2</v>
      </c>
      <c r="AD41" s="288">
        <f t="shared" ca="1" si="118"/>
        <v>1.1111871573044219E-2</v>
      </c>
      <c r="AE41" s="288">
        <f t="shared" ca="1" si="118"/>
        <v>1.2114344728483677E-2</v>
      </c>
      <c r="AF41" s="288">
        <f t="shared" ca="1" si="118"/>
        <v>1.2430801706853853E-2</v>
      </c>
      <c r="AG41" s="288">
        <f t="shared" ca="1" si="118"/>
        <v>1.2475556208144743E-2</v>
      </c>
      <c r="AH41" s="288">
        <f t="shared" ca="1" si="118"/>
        <v>1.0616170425696491E-2</v>
      </c>
      <c r="AI41" s="288">
        <f t="shared" ref="AI41:AL41" ca="1" si="119">AI38/AI3</f>
        <v>1.1671887686938144E-2</v>
      </c>
      <c r="AJ41" s="288">
        <f t="shared" ca="1" si="119"/>
        <v>1.1986142784668766E-2</v>
      </c>
      <c r="AK41" s="288">
        <f t="shared" ca="1" si="119"/>
        <v>1.2023936740772286E-2</v>
      </c>
      <c r="AL41" s="288">
        <f t="shared" ca="1" si="119"/>
        <v>1.0192046016768031E-2</v>
      </c>
    </row>
    <row r="42" spans="1:38">
      <c r="B42" s="548" t="s">
        <v>1040</v>
      </c>
      <c r="C42" s="283">
        <v>4.1100000000000003</v>
      </c>
      <c r="D42" s="283">
        <v>6.12</v>
      </c>
      <c r="E42" s="283">
        <v>6.14</v>
      </c>
      <c r="F42" s="283">
        <v>2.4900000000000002</v>
      </c>
      <c r="G42" s="283">
        <v>5.0599999999999996</v>
      </c>
      <c r="H42" s="283">
        <v>9.11</v>
      </c>
      <c r="I42" s="283">
        <v>11.55</v>
      </c>
      <c r="J42" s="283">
        <v>10.220000000000001</v>
      </c>
      <c r="K42" s="283">
        <v>31.91</v>
      </c>
      <c r="L42" s="283">
        <v>51.25</v>
      </c>
      <c r="M42" s="283">
        <v>39.18</v>
      </c>
      <c r="N42" s="283">
        <v>79.06</v>
      </c>
      <c r="O42" s="283">
        <v>75.849999999999994</v>
      </c>
      <c r="P42" s="283">
        <v>25.06</v>
      </c>
      <c r="Q42" s="293">
        <v>87.62</v>
      </c>
      <c r="R42" s="289">
        <v>-21.39</v>
      </c>
      <c r="S42" s="289">
        <f t="shared" ref="S42:AH42" ca="1" si="120">S45*S3</f>
        <v>17.339010950587966</v>
      </c>
      <c r="T42" s="289">
        <f t="shared" ca="1" si="120"/>
        <v>16.760428888608704</v>
      </c>
      <c r="U42" s="289">
        <f t="shared" ca="1" si="120"/>
        <v>18.215928938770521</v>
      </c>
      <c r="V42" s="289">
        <f t="shared" ca="1" si="120"/>
        <v>19.257381483359893</v>
      </c>
      <c r="W42" s="289">
        <f t="shared" ca="1" si="120"/>
        <v>17.113927534902103</v>
      </c>
      <c r="X42" s="289">
        <f t="shared" ca="1" si="120"/>
        <v>18.24390832817749</v>
      </c>
      <c r="Y42" s="289">
        <f t="shared" ca="1" si="120"/>
        <v>19.667574233461977</v>
      </c>
      <c r="Z42" s="289">
        <f t="shared" ca="1" si="120"/>
        <v>20.649399865444341</v>
      </c>
      <c r="AA42" s="289">
        <f t="shared" ca="1" si="120"/>
        <v>17.834352703707442</v>
      </c>
      <c r="AB42" s="289">
        <f t="shared" ca="1" si="120"/>
        <v>18.952306844497258</v>
      </c>
      <c r="AC42" s="289">
        <f t="shared" ca="1" si="120"/>
        <v>20.458805954329765</v>
      </c>
      <c r="AD42" s="289">
        <f t="shared" ca="1" si="120"/>
        <v>21.509024486056227</v>
      </c>
      <c r="AE42" s="289">
        <f t="shared" ca="1" si="120"/>
        <v>18.774855277975018</v>
      </c>
      <c r="AF42" s="289">
        <f t="shared" ca="1" si="120"/>
        <v>19.919079461104968</v>
      </c>
      <c r="AG42" s="289">
        <f t="shared" ca="1" si="120"/>
        <v>21.511099857206315</v>
      </c>
      <c r="AH42" s="289">
        <f t="shared" ca="1" si="120"/>
        <v>22.654054389926831</v>
      </c>
      <c r="AI42" s="289">
        <f t="shared" ref="AI42:AL42" ca="1" si="121">AI45*AI3</f>
        <v>20.028765435093412</v>
      </c>
      <c r="AJ42" s="289">
        <f t="shared" ca="1" si="121"/>
        <v>21.232821576448643</v>
      </c>
      <c r="AK42" s="289">
        <f t="shared" ca="1" si="121"/>
        <v>22.940062945103563</v>
      </c>
      <c r="AL42" s="289">
        <f t="shared" ca="1" si="121"/>
        <v>24.253320129756858</v>
      </c>
    </row>
    <row r="43" spans="1:38">
      <c r="B43" s="287" t="s">
        <v>392</v>
      </c>
      <c r="C43" s="288"/>
      <c r="D43" s="288"/>
      <c r="E43" s="288"/>
      <c r="F43" s="288"/>
      <c r="G43" s="288">
        <f>G42/C42-1</f>
        <v>0.23114355231143535</v>
      </c>
      <c r="H43" s="288">
        <f t="shared" ref="H43:AG43" si="122">H42/D42-1</f>
        <v>0.48856209150326779</v>
      </c>
      <c r="I43" s="288">
        <f t="shared" si="122"/>
        <v>0.88110749185667769</v>
      </c>
      <c r="J43" s="288">
        <f t="shared" si="122"/>
        <v>3.1044176706827304</v>
      </c>
      <c r="K43" s="288">
        <f t="shared" si="122"/>
        <v>5.3063241106719374</v>
      </c>
      <c r="L43" s="288">
        <f t="shared" si="122"/>
        <v>4.6256860592755213</v>
      </c>
      <c r="M43" s="288">
        <f t="shared" si="122"/>
        <v>2.3922077922077918</v>
      </c>
      <c r="N43" s="288">
        <f t="shared" si="122"/>
        <v>6.7358121330724066</v>
      </c>
      <c r="O43" s="288">
        <f t="shared" si="122"/>
        <v>1.3769978063303037</v>
      </c>
      <c r="P43" s="288">
        <f t="shared" si="122"/>
        <v>-0.51102439024390245</v>
      </c>
      <c r="Q43" s="288">
        <f t="shared" si="122"/>
        <v>1.2363450740173558</v>
      </c>
      <c r="R43" s="288">
        <f t="shared" si="122"/>
        <v>-1.2705540096129522</v>
      </c>
      <c r="S43" s="288">
        <f t="shared" ca="1" si="122"/>
        <v>-0.77140394264221535</v>
      </c>
      <c r="T43" s="288">
        <f t="shared" ca="1" si="122"/>
        <v>-0.33118799327179949</v>
      </c>
      <c r="U43" s="288">
        <f t="shared" ca="1" si="122"/>
        <v>-0.79210307077413233</v>
      </c>
      <c r="V43" s="288">
        <f t="shared" ca="1" si="122"/>
        <v>-1.9002983395680175</v>
      </c>
      <c r="W43" s="288">
        <f t="shared" ca="1" si="122"/>
        <v>-1.2981329576830847E-2</v>
      </c>
      <c r="X43" s="288">
        <f t="shared" ca="1" si="122"/>
        <v>8.8510828059837898E-2</v>
      </c>
      <c r="Y43" s="288">
        <f t="shared" ca="1" si="122"/>
        <v>7.9690983620483768E-2</v>
      </c>
      <c r="Z43" s="288">
        <f t="shared" ca="1" si="122"/>
        <v>7.2284925304474834E-2</v>
      </c>
      <c r="AA43" s="288">
        <f t="shared" ca="1" si="122"/>
        <v>4.2095840790262962E-2</v>
      </c>
      <c r="AB43" s="288">
        <f t="shared" ca="1" si="122"/>
        <v>3.8829317905837879E-2</v>
      </c>
      <c r="AC43" s="288">
        <f t="shared" ca="1" si="122"/>
        <v>4.0230264875350308E-2</v>
      </c>
      <c r="AD43" s="288">
        <f t="shared" ca="1" si="122"/>
        <v>4.1629520771226947E-2</v>
      </c>
      <c r="AE43" s="288">
        <f t="shared" ca="1" si="122"/>
        <v>5.2735447699880034E-2</v>
      </c>
      <c r="AF43" s="288">
        <f t="shared" ca="1" si="122"/>
        <v>5.1010814912402447E-2</v>
      </c>
      <c r="AG43" s="288">
        <f t="shared" ca="1" si="122"/>
        <v>5.1434766292108414E-2</v>
      </c>
      <c r="AH43" s="288">
        <f ca="1">AH42/AD42-1</f>
        <v>5.3234859842802296E-2</v>
      </c>
      <c r="AI43" s="288">
        <f t="shared" ref="AI43:AL43" ca="1" si="123">AI42/AE42-1</f>
        <v>6.6786674973168481E-2</v>
      </c>
      <c r="AJ43" s="288">
        <f t="shared" ca="1" si="123"/>
        <v>6.5953957255352025E-2</v>
      </c>
      <c r="AK43" s="288">
        <f t="shared" ca="1" si="123"/>
        <v>6.6429103922296173E-2</v>
      </c>
      <c r="AL43" s="288">
        <f t="shared" ca="1" si="123"/>
        <v>7.0595122281561506E-2</v>
      </c>
    </row>
    <row r="44" spans="1:38">
      <c r="B44" s="287" t="s">
        <v>347</v>
      </c>
      <c r="C44" s="288"/>
      <c r="D44" s="288">
        <f>D42/C42-1</f>
        <v>0.48905109489051091</v>
      </c>
      <c r="E44" s="288">
        <f t="shared" ref="E44:AG44" si="124">E42/D42-1</f>
        <v>3.2679738562091387E-3</v>
      </c>
      <c r="F44" s="288">
        <f t="shared" si="124"/>
        <v>-0.59446254071661231</v>
      </c>
      <c r="G44" s="288">
        <f t="shared" si="124"/>
        <v>1.0321285140562244</v>
      </c>
      <c r="H44" s="288">
        <f t="shared" si="124"/>
        <v>0.80039525691699609</v>
      </c>
      <c r="I44" s="288">
        <f t="shared" si="124"/>
        <v>0.26783754116355674</v>
      </c>
      <c r="J44" s="288">
        <f t="shared" si="124"/>
        <v>-0.11515151515151512</v>
      </c>
      <c r="K44" s="288">
        <f t="shared" si="124"/>
        <v>2.122309197651663</v>
      </c>
      <c r="L44" s="288">
        <f t="shared" si="124"/>
        <v>0.60607959887182705</v>
      </c>
      <c r="M44" s="288">
        <f t="shared" si="124"/>
        <v>-0.23551219512195121</v>
      </c>
      <c r="N44" s="288">
        <f t="shared" si="124"/>
        <v>1.0178662582950486</v>
      </c>
      <c r="O44" s="288">
        <f t="shared" si="124"/>
        <v>-4.0602074373893293E-2</v>
      </c>
      <c r="P44" s="288">
        <f t="shared" si="124"/>
        <v>-0.66961107448912327</v>
      </c>
      <c r="Q44" s="288">
        <f t="shared" si="124"/>
        <v>2.4964086193136477</v>
      </c>
      <c r="R44" s="288">
        <f t="shared" si="124"/>
        <v>-1.2441223464962337</v>
      </c>
      <c r="S44" s="288">
        <f t="shared" ca="1" si="124"/>
        <v>-1.8106129476665715</v>
      </c>
      <c r="T44" s="288">
        <f t="shared" ca="1" si="124"/>
        <v>-3.3368804231572513E-2</v>
      </c>
      <c r="U44" s="288">
        <f t="shared" ca="1" si="124"/>
        <v>8.6841456136665718E-2</v>
      </c>
      <c r="V44" s="288">
        <f t="shared" ca="1" si="124"/>
        <v>5.7172628861806851E-2</v>
      </c>
      <c r="W44" s="288">
        <f t="shared" ca="1" si="124"/>
        <v>-0.11130557652970241</v>
      </c>
      <c r="X44" s="288">
        <f t="shared" ca="1" si="124"/>
        <v>6.6026970779846206E-2</v>
      </c>
      <c r="Y44" s="288">
        <f t="shared" ca="1" si="124"/>
        <v>7.8035138067737986E-2</v>
      </c>
      <c r="Z44" s="288">
        <f t="shared" ca="1" si="124"/>
        <v>4.992103349033794E-2</v>
      </c>
      <c r="AA44" s="288">
        <f t="shared" ca="1" si="124"/>
        <v>-0.13632585838234113</v>
      </c>
      <c r="AB44" s="288">
        <f t="shared" ca="1" si="124"/>
        <v>6.2685434081238833E-2</v>
      </c>
      <c r="AC44" s="288">
        <f t="shared" ca="1" si="124"/>
        <v>7.9488957317610964E-2</v>
      </c>
      <c r="AD44" s="288">
        <f t="shared" ca="1" si="124"/>
        <v>5.1333324831902116E-2</v>
      </c>
      <c r="AE44" s="288">
        <f t="shared" ca="1" si="124"/>
        <v>-0.12711730417405509</v>
      </c>
      <c r="AF44" s="288">
        <f t="shared" ca="1" si="124"/>
        <v>6.0944500833103765E-2</v>
      </c>
      <c r="AG44" s="288">
        <f t="shared" ca="1" si="124"/>
        <v>7.992439606508972E-2</v>
      </c>
      <c r="AH44" s="288">
        <f ca="1">AH42/AG42-1</f>
        <v>5.3133244711223826E-2</v>
      </c>
      <c r="AI44" s="288">
        <f t="shared" ref="AI44:AL44" ca="1" si="125">AI42/AH42-1</f>
        <v>-0.11588605331506396</v>
      </c>
      <c r="AJ44" s="288">
        <f t="shared" ca="1" si="125"/>
        <v>6.0116343429013508E-2</v>
      </c>
      <c r="AK44" s="288">
        <f t="shared" ca="1" si="125"/>
        <v>8.0405770024865042E-2</v>
      </c>
      <c r="AL44" s="288">
        <f t="shared" ca="1" si="125"/>
        <v>5.7247322633593889E-2</v>
      </c>
    </row>
    <row r="45" spans="1:38">
      <c r="B45" s="287" t="s">
        <v>451</v>
      </c>
      <c r="C45" s="288">
        <f t="shared" ref="C45:R45" si="126">C42/C3</f>
        <v>1.8349033438992812E-2</v>
      </c>
      <c r="D45" s="288">
        <f t="shared" si="126"/>
        <v>2.6121473387681938E-2</v>
      </c>
      <c r="E45" s="288">
        <f t="shared" si="126"/>
        <v>2.3087914567195608E-2</v>
      </c>
      <c r="F45" s="288">
        <f t="shared" si="126"/>
        <v>8.1797575638119652E-3</v>
      </c>
      <c r="G45" s="288">
        <f t="shared" si="126"/>
        <v>1.5814971089232691E-2</v>
      </c>
      <c r="H45" s="288">
        <f t="shared" si="126"/>
        <v>2.5524642066627436E-2</v>
      </c>
      <c r="I45" s="288">
        <f t="shared" si="126"/>
        <v>2.8597603248489652E-2</v>
      </c>
      <c r="J45" s="288">
        <f t="shared" si="126"/>
        <v>2.3299288710559914E-2</v>
      </c>
      <c r="K45" s="288">
        <f t="shared" si="126"/>
        <v>6.4396997093961891E-2</v>
      </c>
      <c r="L45" s="288">
        <f t="shared" si="126"/>
        <v>9.0538105501183616E-2</v>
      </c>
      <c r="M45" s="288">
        <f t="shared" si="126"/>
        <v>6.0082809385063649E-2</v>
      </c>
      <c r="N45" s="288">
        <f t="shared" si="126"/>
        <v>0.11908061212194239</v>
      </c>
      <c r="O45" s="288">
        <f t="shared" si="126"/>
        <v>0.10315798063322816</v>
      </c>
      <c r="P45" s="288">
        <f t="shared" si="126"/>
        <v>3.4014251781472681E-2</v>
      </c>
      <c r="Q45" s="288">
        <f t="shared" si="126"/>
        <v>0.10871642161424407</v>
      </c>
      <c r="R45" s="288">
        <f t="shared" si="126"/>
        <v>-2.5195533358462117E-2</v>
      </c>
      <c r="S45" s="274">
        <v>0.02</v>
      </c>
      <c r="T45" s="274">
        <v>1.7999999999999999E-2</v>
      </c>
      <c r="U45" s="274">
        <v>1.7999999999999999E-2</v>
      </c>
      <c r="V45" s="274">
        <v>1.7999999999999999E-2</v>
      </c>
      <c r="W45" s="274">
        <v>1.6E-2</v>
      </c>
      <c r="X45" s="274">
        <v>1.6E-2</v>
      </c>
      <c r="Y45" s="274">
        <v>1.6E-2</v>
      </c>
      <c r="Z45" s="274">
        <v>1.6E-2</v>
      </c>
      <c r="AA45" s="274">
        <v>1.4E-2</v>
      </c>
      <c r="AB45" s="274">
        <v>1.4E-2</v>
      </c>
      <c r="AC45" s="274">
        <v>1.4E-2</v>
      </c>
      <c r="AD45" s="274">
        <v>1.4E-2</v>
      </c>
      <c r="AE45" s="274">
        <v>1.2500000000000001E-2</v>
      </c>
      <c r="AF45" s="274">
        <v>1.2500000000000001E-2</v>
      </c>
      <c r="AG45" s="274">
        <v>1.2500000000000001E-2</v>
      </c>
      <c r="AH45" s="274">
        <v>1.2500000000000001E-2</v>
      </c>
      <c r="AI45" s="274">
        <v>1.14E-2</v>
      </c>
      <c r="AJ45" s="274">
        <v>1.14E-2</v>
      </c>
      <c r="AK45" s="274">
        <v>1.14E-2</v>
      </c>
      <c r="AL45" s="274">
        <v>1.14E-2</v>
      </c>
    </row>
    <row r="46" spans="1:38">
      <c r="A46" s="285"/>
      <c r="B46" s="285" t="s">
        <v>452</v>
      </c>
      <c r="C46" s="286">
        <f>C50+C54+C58</f>
        <v>-49.94</v>
      </c>
      <c r="D46" s="286">
        <f t="shared" ref="D46:AH46" si="127">D50+D54+D58</f>
        <v>-56.120000000000005</v>
      </c>
      <c r="E46" s="286">
        <f t="shared" si="127"/>
        <v>-64.22</v>
      </c>
      <c r="F46" s="286">
        <f t="shared" si="127"/>
        <v>-77.900000000000006</v>
      </c>
      <c r="G46" s="286">
        <f t="shared" si="127"/>
        <v>-64</v>
      </c>
      <c r="H46" s="286">
        <f t="shared" si="127"/>
        <v>-76.64</v>
      </c>
      <c r="I46" s="286">
        <f t="shared" si="127"/>
        <v>-91.6</v>
      </c>
      <c r="J46" s="286">
        <f t="shared" si="127"/>
        <v>-113.71000000000001</v>
      </c>
      <c r="K46" s="286">
        <f t="shared" si="127"/>
        <v>-101.7</v>
      </c>
      <c r="L46" s="286">
        <f t="shared" si="127"/>
        <v>-118.30000000000001</v>
      </c>
      <c r="M46" s="286">
        <f t="shared" si="127"/>
        <v>-138.69999999999999</v>
      </c>
      <c r="N46" s="286">
        <f t="shared" si="127"/>
        <v>-148.33000000000001</v>
      </c>
      <c r="O46" s="286">
        <f t="shared" si="127"/>
        <v>-150</v>
      </c>
      <c r="P46" s="286">
        <f t="shared" si="127"/>
        <v>-162.17000000000002</v>
      </c>
      <c r="Q46" s="286">
        <f t="shared" si="127"/>
        <v>-174.63</v>
      </c>
      <c r="R46" s="286">
        <f t="shared" si="127"/>
        <v>-170.75</v>
      </c>
      <c r="S46" s="286">
        <f t="shared" ca="1" si="127"/>
        <v>-178.59181279105604</v>
      </c>
      <c r="T46" s="286">
        <f t="shared" ca="1" si="127"/>
        <v>-189.61229931365494</v>
      </c>
      <c r="U46" s="286">
        <f t="shared" ca="1" si="127"/>
        <v>-204.69050342850338</v>
      </c>
      <c r="V46" s="286">
        <f t="shared" ca="1" si="127"/>
        <v>-216.85910683605994</v>
      </c>
      <c r="W46" s="286">
        <f t="shared" ca="1" si="127"/>
        <v>-212.58691786012989</v>
      </c>
      <c r="X46" s="286">
        <f t="shared" ca="1" si="127"/>
        <v>-225.98196049914037</v>
      </c>
      <c r="Y46" s="286">
        <f t="shared" ca="1" si="127"/>
        <v>-241.02026375251361</v>
      </c>
      <c r="Z46" s="286">
        <f t="shared" ca="1" si="127"/>
        <v>-252.66865007701028</v>
      </c>
      <c r="AA46" s="286">
        <f t="shared" ca="1" si="127"/>
        <v>-246.4931830794884</v>
      </c>
      <c r="AB46" s="286">
        <f t="shared" ca="1" si="127"/>
        <v>-260.16717417239374</v>
      </c>
      <c r="AC46" s="286">
        <f t="shared" ca="1" si="127"/>
        <v>-278.65456087849589</v>
      </c>
      <c r="AD46" s="286">
        <f t="shared" ca="1" si="127"/>
        <v>-290.88805015250415</v>
      </c>
      <c r="AE46" s="286">
        <f t="shared" ca="1" si="127"/>
        <v>-281.96152769411293</v>
      </c>
      <c r="AF46" s="286">
        <f t="shared" ca="1" si="127"/>
        <v>-296.84603129601362</v>
      </c>
      <c r="AG46" s="286">
        <f t="shared" ca="1" si="127"/>
        <v>-318.03207073221711</v>
      </c>
      <c r="AH46" s="286">
        <f t="shared" ca="1" si="127"/>
        <v>-332.26743777329943</v>
      </c>
      <c r="AI46" s="286">
        <f t="shared" ref="AI46:AL46" ca="1" si="128">AI50+AI54+AI58</f>
        <v>-319.47315490617655</v>
      </c>
      <c r="AJ46" s="286">
        <f t="shared" ca="1" si="128"/>
        <v>-335.93738116231395</v>
      </c>
      <c r="AK46" s="286">
        <f t="shared" ca="1" si="128"/>
        <v>-359.97244247064918</v>
      </c>
      <c r="AL46" s="286">
        <f t="shared" ca="1" si="128"/>
        <v>-377.43140554928385</v>
      </c>
    </row>
    <row r="47" spans="1:38">
      <c r="B47" s="287" t="s">
        <v>453</v>
      </c>
      <c r="G47" s="288">
        <f>G46/C46-1</f>
        <v>0.28153784541449745</v>
      </c>
      <c r="H47" s="288">
        <f t="shared" ref="H47:AG47" si="129">H46/D46-1</f>
        <v>0.36564504632929418</v>
      </c>
      <c r="I47" s="288">
        <f t="shared" si="129"/>
        <v>0.42634693241980681</v>
      </c>
      <c r="J47" s="288">
        <f t="shared" si="129"/>
        <v>0.45969191270860077</v>
      </c>
      <c r="K47" s="288">
        <f t="shared" si="129"/>
        <v>0.58906250000000004</v>
      </c>
      <c r="L47" s="288">
        <f t="shared" si="129"/>
        <v>0.54358037578288121</v>
      </c>
      <c r="M47" s="288">
        <f t="shared" si="129"/>
        <v>0.51419213973799116</v>
      </c>
      <c r="N47" s="288">
        <f t="shared" si="129"/>
        <v>0.30445871075543041</v>
      </c>
      <c r="O47" s="288">
        <f t="shared" si="129"/>
        <v>0.47492625368731556</v>
      </c>
      <c r="P47" s="288">
        <f t="shared" si="129"/>
        <v>0.3708368554522401</v>
      </c>
      <c r="Q47" s="288">
        <f t="shared" si="129"/>
        <v>0.25904830569574622</v>
      </c>
      <c r="R47" s="288">
        <f t="shared" si="129"/>
        <v>0.15114946403289942</v>
      </c>
      <c r="S47" s="288">
        <f t="shared" ca="1" si="129"/>
        <v>0.19061208527370699</v>
      </c>
      <c r="T47" s="288">
        <f t="shared" ca="1" si="129"/>
        <v>0.16921933349975293</v>
      </c>
      <c r="U47" s="288">
        <f t="shared" ca="1" si="129"/>
        <v>0.17213825475865185</v>
      </c>
      <c r="V47" s="288">
        <f t="shared" ca="1" si="129"/>
        <v>0.27003869303695427</v>
      </c>
      <c r="W47" s="288">
        <f t="shared" ca="1" si="129"/>
        <v>0.19035085952594311</v>
      </c>
      <c r="X47" s="288">
        <f t="shared" ca="1" si="129"/>
        <v>0.19181066479934961</v>
      </c>
      <c r="Y47" s="288">
        <f t="shared" ca="1" si="129"/>
        <v>0.17748630110092001</v>
      </c>
      <c r="Z47" s="288">
        <f t="shared" ca="1" si="129"/>
        <v>0.16512815054625052</v>
      </c>
      <c r="AA47" s="288">
        <f t="shared" ca="1" si="129"/>
        <v>0.15949365822061967</v>
      </c>
      <c r="AB47" s="288">
        <f t="shared" ca="1" si="129"/>
        <v>0.15127408222207817</v>
      </c>
      <c r="AC47" s="288">
        <f t="shared" ca="1" si="129"/>
        <v>0.15614578019309699</v>
      </c>
      <c r="AD47" s="288">
        <f t="shared" ca="1" si="129"/>
        <v>0.15126292899354565</v>
      </c>
      <c r="AE47" s="288">
        <f t="shared" ca="1" si="129"/>
        <v>0.14389178707301942</v>
      </c>
      <c r="AF47" s="288">
        <f t="shared" ca="1" si="129"/>
        <v>0.14098187921015537</v>
      </c>
      <c r="AG47" s="288">
        <f t="shared" ca="1" si="129"/>
        <v>0.1413129924361487</v>
      </c>
      <c r="AH47" s="288">
        <f ca="1">AH46/AD46-1</f>
        <v>0.14225193368755185</v>
      </c>
      <c r="AI47" s="288">
        <f t="shared" ref="AI47:AL47" ca="1" si="130">AI46/AE46-1</f>
        <v>0.1330381045911988</v>
      </c>
      <c r="AJ47" s="288">
        <f t="shared" ca="1" si="130"/>
        <v>0.13168897591667172</v>
      </c>
      <c r="AK47" s="288">
        <f t="shared" ca="1" si="130"/>
        <v>0.13187466170273709</v>
      </c>
      <c r="AL47" s="288">
        <f t="shared" ca="1" si="130"/>
        <v>0.13592655385869934</v>
      </c>
    </row>
    <row r="48" spans="1:38">
      <c r="B48" s="287" t="s">
        <v>347</v>
      </c>
      <c r="D48" s="288">
        <f>D46/C46-1</f>
        <v>0.12374849819783762</v>
      </c>
      <c r="E48" s="288">
        <f t="shared" ref="E48:AG48" si="131">E46/D46-1</f>
        <v>0.1443335709194582</v>
      </c>
      <c r="F48" s="288">
        <f t="shared" si="131"/>
        <v>0.21301775147929014</v>
      </c>
      <c r="G48" s="288">
        <f t="shared" si="131"/>
        <v>-0.17843388960205397</v>
      </c>
      <c r="H48" s="288">
        <f t="shared" si="131"/>
        <v>0.19750000000000001</v>
      </c>
      <c r="I48" s="288">
        <f t="shared" si="131"/>
        <v>0.19519832985386221</v>
      </c>
      <c r="J48" s="288">
        <f t="shared" si="131"/>
        <v>0.24137554585152854</v>
      </c>
      <c r="K48" s="288">
        <f t="shared" si="131"/>
        <v>-0.10561955852607519</v>
      </c>
      <c r="L48" s="288">
        <f t="shared" si="131"/>
        <v>0.16322517207472975</v>
      </c>
      <c r="M48" s="288">
        <f t="shared" si="131"/>
        <v>0.17244294167371077</v>
      </c>
      <c r="N48" s="288">
        <f t="shared" si="131"/>
        <v>6.9430425378514959E-2</v>
      </c>
      <c r="O48" s="288">
        <f t="shared" si="131"/>
        <v>1.1258679970336249E-2</v>
      </c>
      <c r="P48" s="288">
        <f t="shared" si="131"/>
        <v>8.1133333333333502E-2</v>
      </c>
      <c r="Q48" s="288">
        <f t="shared" si="131"/>
        <v>7.6832953073934673E-2</v>
      </c>
      <c r="R48" s="288">
        <f t="shared" si="131"/>
        <v>-2.2218404626925481E-2</v>
      </c>
      <c r="S48" s="288">
        <f t="shared" ca="1" si="131"/>
        <v>4.5925697165774881E-2</v>
      </c>
      <c r="T48" s="288">
        <f t="shared" ca="1" si="131"/>
        <v>6.170768049424713E-2</v>
      </c>
      <c r="U48" s="288">
        <f t="shared" ca="1" si="131"/>
        <v>7.9521234484405401E-2</v>
      </c>
      <c r="V48" s="288">
        <f t="shared" ca="1" si="131"/>
        <v>5.9448793196245964E-2</v>
      </c>
      <c r="W48" s="288">
        <f t="shared" ca="1" si="131"/>
        <v>-1.9700297756735319E-2</v>
      </c>
      <c r="X48" s="288">
        <f t="shared" ca="1" si="131"/>
        <v>6.300972220606571E-2</v>
      </c>
      <c r="Y48" s="288">
        <f t="shared" ca="1" si="131"/>
        <v>6.6546476630954032E-2</v>
      </c>
      <c r="Z48" s="288">
        <f t="shared" ca="1" si="131"/>
        <v>4.8329489575438922E-2</v>
      </c>
      <c r="AA48" s="288">
        <f t="shared" ca="1" si="131"/>
        <v>-2.4440970399927653E-2</v>
      </c>
      <c r="AB48" s="288">
        <f t="shared" ca="1" si="131"/>
        <v>5.5474114626917759E-2</v>
      </c>
      <c r="AC48" s="288">
        <f t="shared" ca="1" si="131"/>
        <v>7.1059643726813615E-2</v>
      </c>
      <c r="AD48" s="288">
        <f t="shared" ca="1" si="131"/>
        <v>4.3901988309254847E-2</v>
      </c>
      <c r="AE48" s="288">
        <f t="shared" ca="1" si="131"/>
        <v>-3.0687140477964947E-2</v>
      </c>
      <c r="AF48" s="288">
        <f t="shared" ca="1" si="131"/>
        <v>5.2789129508647781E-2</v>
      </c>
      <c r="AG48" s="288">
        <f t="shared" ca="1" si="131"/>
        <v>7.1370465502625713E-2</v>
      </c>
      <c r="AH48" s="288">
        <f ca="1">AH46/AG46-1</f>
        <v>4.4760790974028852E-2</v>
      </c>
      <c r="AI48" s="288">
        <f t="shared" ref="AI48:AL48" ca="1" si="132">AI46/AH46-1</f>
        <v>-3.8505978656422579E-2</v>
      </c>
      <c r="AJ48" s="288">
        <f t="shared" ca="1" si="132"/>
        <v>5.1535554719684296E-2</v>
      </c>
      <c r="AK48" s="288">
        <f t="shared" ca="1" si="132"/>
        <v>7.1546254320302261E-2</v>
      </c>
      <c r="AL48" s="288">
        <f t="shared" ca="1" si="132"/>
        <v>4.8500832338181477E-2</v>
      </c>
    </row>
    <row r="49" spans="1:38">
      <c r="B49" s="287" t="s">
        <v>351</v>
      </c>
      <c r="C49" s="288">
        <f t="shared" ref="C49:AH49" si="133">C46/C3</f>
        <v>-0.22295638198133844</v>
      </c>
      <c r="D49" s="288">
        <f t="shared" si="133"/>
        <v>-0.23953220367920106</v>
      </c>
      <c r="E49" s="288">
        <f t="shared" si="133"/>
        <v>-0.24148304128750847</v>
      </c>
      <c r="F49" s="288">
        <f t="shared" si="133"/>
        <v>-0.25590486514897676</v>
      </c>
      <c r="G49" s="288">
        <f t="shared" si="133"/>
        <v>-0.20003125488357557</v>
      </c>
      <c r="H49" s="288">
        <f t="shared" si="133"/>
        <v>-0.21473200526743436</v>
      </c>
      <c r="I49" s="288">
        <f t="shared" si="133"/>
        <v>-0.22680003961572742</v>
      </c>
      <c r="J49" s="288">
        <f t="shared" si="133"/>
        <v>-0.25923308407805951</v>
      </c>
      <c r="K49" s="288">
        <f t="shared" si="133"/>
        <v>-0.20523894091055858</v>
      </c>
      <c r="L49" s="288">
        <f t="shared" si="133"/>
        <v>-0.20898844645443945</v>
      </c>
      <c r="M49" s="288">
        <f t="shared" si="133"/>
        <v>-0.21269743904309157</v>
      </c>
      <c r="N49" s="288">
        <f t="shared" si="133"/>
        <v>-0.22341547174358356</v>
      </c>
      <c r="O49" s="288">
        <f t="shared" si="133"/>
        <v>-0.204003916875204</v>
      </c>
      <c r="P49" s="288">
        <f t="shared" si="133"/>
        <v>-0.22011537156430269</v>
      </c>
      <c r="Q49" s="288">
        <f t="shared" si="133"/>
        <v>-0.21667597245486692</v>
      </c>
      <c r="R49" s="288">
        <f t="shared" si="133"/>
        <v>-0.20112843950245005</v>
      </c>
      <c r="S49" s="288">
        <f t="shared" ca="1" si="133"/>
        <v>-0.20600000000000002</v>
      </c>
      <c r="T49" s="288">
        <f t="shared" ca="1" si="133"/>
        <v>-0.20363568321127287</v>
      </c>
      <c r="U49" s="288">
        <f t="shared" ca="1" si="133"/>
        <v>-0.20226413234798993</v>
      </c>
      <c r="V49" s="288">
        <f t="shared" ca="1" si="133"/>
        <v>-0.2026996207361848</v>
      </c>
      <c r="W49" s="288">
        <f t="shared" ca="1" si="133"/>
        <v>-0.19874985907386192</v>
      </c>
      <c r="X49" s="288">
        <f t="shared" ca="1" si="133"/>
        <v>-0.19818732384232737</v>
      </c>
      <c r="Y49" s="288">
        <f t="shared" ca="1" si="133"/>
        <v>-0.19607523400009103</v>
      </c>
      <c r="Z49" s="288">
        <f t="shared" ca="1" si="133"/>
        <v>-0.19577800941311629</v>
      </c>
      <c r="AA49" s="288">
        <f t="shared" ca="1" si="133"/>
        <v>-0.19349760658234919</v>
      </c>
      <c r="AB49" s="288">
        <f t="shared" ca="1" si="133"/>
        <v>-0.19218454345947097</v>
      </c>
      <c r="AC49" s="288">
        <f t="shared" ca="1" si="133"/>
        <v>-0.19068384836375685</v>
      </c>
      <c r="AD49" s="288">
        <f t="shared" ca="1" si="133"/>
        <v>-0.18933600195467332</v>
      </c>
      <c r="AE49" s="288">
        <f t="shared" ca="1" si="133"/>
        <v>-0.18772550009006261</v>
      </c>
      <c r="AF49" s="288">
        <f t="shared" ca="1" si="133"/>
        <v>-0.18628247346699095</v>
      </c>
      <c r="AG49" s="288">
        <f t="shared" ca="1" si="133"/>
        <v>-0.18480695596887098</v>
      </c>
      <c r="AH49" s="288">
        <f t="shared" ca="1" si="133"/>
        <v>-0.18333773287014951</v>
      </c>
      <c r="AI49" s="288">
        <f t="shared" ref="AI49:AL49" ca="1" si="134">AI46/AI3</f>
        <v>-0.18183816559901847</v>
      </c>
      <c r="AJ49" s="288">
        <f t="shared" ca="1" si="134"/>
        <v>-0.18036633197625751</v>
      </c>
      <c r="AK49" s="288">
        <f t="shared" ca="1" si="134"/>
        <v>-0.17888729660357411</v>
      </c>
      <c r="AL49" s="288">
        <f t="shared" ca="1" si="134"/>
        <v>-0.17740738176224993</v>
      </c>
    </row>
    <row r="50" spans="1:38" s="285" customFormat="1">
      <c r="A50" s="283"/>
      <c r="B50" s="548" t="s">
        <v>403</v>
      </c>
      <c r="C50" s="289">
        <f>核心数据模型!M185</f>
        <v>-13.26</v>
      </c>
      <c r="D50" s="289">
        <f>核心数据模型!N185</f>
        <v>-16.010000000000002</v>
      </c>
      <c r="E50" s="289">
        <f>核心数据模型!O185</f>
        <v>-20.420000000000002</v>
      </c>
      <c r="F50" s="289">
        <f>核心数据模型!P185</f>
        <v>-30.24</v>
      </c>
      <c r="G50" s="289">
        <f>核心数据模型!Q185</f>
        <v>-20.32</v>
      </c>
      <c r="H50" s="289">
        <f>核心数据模型!R185</f>
        <v>-23.65</v>
      </c>
      <c r="I50" s="289">
        <f>核心数据模型!S185</f>
        <v>-32.770000000000003</v>
      </c>
      <c r="J50" s="289">
        <f>核心数据模型!T185</f>
        <v>-44.62</v>
      </c>
      <c r="K50" s="289">
        <f>核心数据模型!U185</f>
        <v>-31.58</v>
      </c>
      <c r="L50" s="289">
        <f>核心数据模型!V185</f>
        <v>-36.6</v>
      </c>
      <c r="M50" s="289">
        <f>核心数据模型!W185</f>
        <v>-48.12</v>
      </c>
      <c r="N50" s="289">
        <f>核心数据模型!X185</f>
        <v>-60.22</v>
      </c>
      <c r="O50" s="289">
        <f>核心数据模型!Y185</f>
        <v>-55.7</v>
      </c>
      <c r="P50" s="289">
        <f>核心数据模型!Z185</f>
        <v>-63.6</v>
      </c>
      <c r="Q50" s="289">
        <f>核心数据模型!AA185</f>
        <v>-65.73</v>
      </c>
      <c r="R50" s="289">
        <f>核心数据模型!AB185</f>
        <v>-57.3</v>
      </c>
      <c r="S50" s="289">
        <f ca="1">核心数据模型!AC185</f>
        <v>-63.287389969646071</v>
      </c>
      <c r="T50" s="289">
        <f ca="1">核心数据模型!AD185</f>
        <v>-67.972850492690867</v>
      </c>
      <c r="U50" s="289">
        <f ca="1">核心数据模型!AE185</f>
        <v>-72.863715755082083</v>
      </c>
      <c r="V50" s="289">
        <f ca="1">核心数据模型!AF185</f>
        <v>-77.029525933439572</v>
      </c>
      <c r="W50" s="289">
        <f ca="1">核心数据模型!AG185</f>
        <v>-74.873432965196713</v>
      </c>
      <c r="X50" s="289">
        <f ca="1">核心数据模型!AH185</f>
        <v>-79.817098935776528</v>
      </c>
      <c r="Y50" s="289">
        <f ca="1">核心数据模型!AI185</f>
        <v>-84.816413881804777</v>
      </c>
      <c r="Z50" s="289">
        <f ca="1">核心数据模型!AJ185</f>
        <v>-89.050536919728728</v>
      </c>
      <c r="AA50" s="289">
        <f ca="1">核心数据模型!AK185</f>
        <v>-85.987057678589451</v>
      </c>
      <c r="AB50" s="289">
        <f ca="1">核心数据模型!AL185</f>
        <v>-90.531108587553859</v>
      </c>
      <c r="AC50" s="289">
        <f ca="1">核心数据模型!AM185</f>
        <v>-96.585657574570192</v>
      </c>
      <c r="AD50" s="289">
        <f ca="1">核心数据模型!AN185</f>
        <v>-100.42745975158061</v>
      </c>
      <c r="AE50" s="289">
        <f ca="1">核心数据模型!AO185</f>
        <v>-96.816648240470244</v>
      </c>
      <c r="AF50" s="289">
        <f ca="1">核心数据模型!AP185</f>
        <v>-101.50560590228315</v>
      </c>
      <c r="AG50" s="289">
        <f ca="1">核心数据模型!AQ185</f>
        <v>-108.25187913004171</v>
      </c>
      <c r="AH50" s="289">
        <f ca="1">核心数据模型!AR185</f>
        <v>-112.55873774620056</v>
      </c>
      <c r="AI50" s="289">
        <f ca="1">核心数据模型!AS185</f>
        <v>-107.68525879007635</v>
      </c>
      <c r="AJ50" s="289">
        <f ca="1">核心数据模型!AT185</f>
        <v>-112.68445931539198</v>
      </c>
      <c r="AK50" s="289">
        <f ca="1">核心数据模型!AU185</f>
        <v>-120.13615560533205</v>
      </c>
      <c r="AL50" s="289">
        <f ca="1">核心数据模型!AV185</f>
        <v>-125.30986653158722</v>
      </c>
    </row>
    <row r="51" spans="1:38">
      <c r="B51" s="287" t="s">
        <v>392</v>
      </c>
      <c r="C51" s="288"/>
      <c r="D51" s="288"/>
      <c r="E51" s="288"/>
      <c r="F51" s="288"/>
      <c r="G51" s="288">
        <f>G50/C50-1</f>
        <v>0.53242835595776783</v>
      </c>
      <c r="H51" s="288">
        <f t="shared" ref="H51:AG51" si="135">H50/D50-1</f>
        <v>0.4772017489069329</v>
      </c>
      <c r="I51" s="288">
        <f t="shared" si="135"/>
        <v>0.60479921645445645</v>
      </c>
      <c r="J51" s="288">
        <f t="shared" si="135"/>
        <v>0.47552910052910047</v>
      </c>
      <c r="K51" s="288">
        <f t="shared" si="135"/>
        <v>0.55413385826771644</v>
      </c>
      <c r="L51" s="288">
        <f t="shared" si="135"/>
        <v>0.54756871035940824</v>
      </c>
      <c r="M51" s="288">
        <f t="shared" si="135"/>
        <v>0.46841623436069546</v>
      </c>
      <c r="N51" s="288">
        <f t="shared" si="135"/>
        <v>0.34961900493052456</v>
      </c>
      <c r="O51" s="288">
        <f t="shared" si="135"/>
        <v>0.76377454084863849</v>
      </c>
      <c r="P51" s="288">
        <f t="shared" si="135"/>
        <v>0.73770491803278682</v>
      </c>
      <c r="Q51" s="288">
        <f t="shared" si="135"/>
        <v>0.3659600997506236</v>
      </c>
      <c r="R51" s="288">
        <f t="shared" si="135"/>
        <v>-4.8488874128196691E-2</v>
      </c>
      <c r="S51" s="288">
        <f t="shared" ca="1" si="135"/>
        <v>0.13621885044247883</v>
      </c>
      <c r="T51" s="288">
        <f t="shared" ca="1" si="135"/>
        <v>6.8755510891365779E-2</v>
      </c>
      <c r="U51" s="288">
        <f t="shared" ca="1" si="135"/>
        <v>0.10853059113163055</v>
      </c>
      <c r="V51" s="288">
        <f t="shared" ca="1" si="135"/>
        <v>0.3443198243183172</v>
      </c>
      <c r="W51" s="288">
        <f t="shared" ca="1" si="135"/>
        <v>0.18307032413736057</v>
      </c>
      <c r="X51" s="288">
        <f t="shared" ca="1" si="135"/>
        <v>0.1742496946535923</v>
      </c>
      <c r="Y51" s="288">
        <f t="shared" ca="1" si="135"/>
        <v>0.16404184171583402</v>
      </c>
      <c r="Z51" s="288">
        <f t="shared" ca="1" si="135"/>
        <v>0.156057185093887</v>
      </c>
      <c r="AA51" s="288">
        <f t="shared" ca="1" si="135"/>
        <v>0.14843215107498353</v>
      </c>
      <c r="AB51" s="288">
        <f t="shared" ca="1" si="135"/>
        <v>0.13423201036657795</v>
      </c>
      <c r="AC51" s="288">
        <f t="shared" ca="1" si="135"/>
        <v>0.13876139244894681</v>
      </c>
      <c r="AD51" s="288">
        <f t="shared" ca="1" si="135"/>
        <v>0.12775804869213969</v>
      </c>
      <c r="AE51" s="288">
        <f t="shared" ca="1" si="135"/>
        <v>0.12594442529200922</v>
      </c>
      <c r="AF51" s="288">
        <f t="shared" ca="1" si="135"/>
        <v>0.12122349417731582</v>
      </c>
      <c r="AG51" s="288">
        <f t="shared" ca="1" si="135"/>
        <v>0.12078627250080554</v>
      </c>
      <c r="AH51" s="288">
        <f ca="1">AH50/AD50-1</f>
        <v>0.12079642385287981</v>
      </c>
      <c r="AI51" s="288">
        <f t="shared" ref="AI51:AL51" ca="1" si="136">AI50/AE50-1</f>
        <v>0.11225972750689506</v>
      </c>
      <c r="AJ51" s="288">
        <f t="shared" ca="1" si="136"/>
        <v>0.110130404264277</v>
      </c>
      <c r="AK51" s="288">
        <f t="shared" ca="1" si="136"/>
        <v>0.1097835582236304</v>
      </c>
      <c r="AL51" s="288">
        <f t="shared" ca="1" si="136"/>
        <v>0.11328421978343539</v>
      </c>
    </row>
    <row r="52" spans="1:38">
      <c r="B52" s="287" t="s">
        <v>437</v>
      </c>
      <c r="C52" s="288"/>
      <c r="D52" s="288">
        <f>D50/C50-1</f>
        <v>0.20739064856711931</v>
      </c>
      <c r="E52" s="288">
        <f t="shared" ref="E52:AG52" si="137">E50/D50-1</f>
        <v>0.27545284197376629</v>
      </c>
      <c r="F52" s="288">
        <f t="shared" si="137"/>
        <v>0.48090107737512233</v>
      </c>
      <c r="G52" s="288">
        <f t="shared" si="137"/>
        <v>-0.32804232804232802</v>
      </c>
      <c r="H52" s="288">
        <f t="shared" si="137"/>
        <v>0.16387795275590533</v>
      </c>
      <c r="I52" s="288">
        <f t="shared" si="137"/>
        <v>0.3856236786469347</v>
      </c>
      <c r="J52" s="288">
        <f t="shared" si="137"/>
        <v>0.36161122978333826</v>
      </c>
      <c r="K52" s="288">
        <f t="shared" si="137"/>
        <v>-0.2922456297624384</v>
      </c>
      <c r="L52" s="288">
        <f t="shared" si="137"/>
        <v>0.15896136795440152</v>
      </c>
      <c r="M52" s="288">
        <f t="shared" si="137"/>
        <v>0.3147540983606556</v>
      </c>
      <c r="N52" s="288">
        <f t="shared" si="137"/>
        <v>0.25145469659185382</v>
      </c>
      <c r="O52" s="288">
        <f t="shared" si="137"/>
        <v>-7.5058120225838576E-2</v>
      </c>
      <c r="P52" s="288">
        <f t="shared" si="137"/>
        <v>0.14183123877917403</v>
      </c>
      <c r="Q52" s="288">
        <f t="shared" si="137"/>
        <v>3.3490566037735814E-2</v>
      </c>
      <c r="R52" s="288">
        <f t="shared" si="137"/>
        <v>-0.12825193975353733</v>
      </c>
      <c r="S52" s="288">
        <f t="shared" ca="1" si="137"/>
        <v>0.10449197154705181</v>
      </c>
      <c r="T52" s="288">
        <f t="shared" ca="1" si="137"/>
        <v>7.4034661964919701E-2</v>
      </c>
      <c r="U52" s="288">
        <f t="shared" ca="1" si="137"/>
        <v>7.1953217011505588E-2</v>
      </c>
      <c r="V52" s="288">
        <f t="shared" ca="1" si="137"/>
        <v>5.7172628861806851E-2</v>
      </c>
      <c r="W52" s="288">
        <f t="shared" ca="1" si="137"/>
        <v>-2.799047432936197E-2</v>
      </c>
      <c r="X52" s="288">
        <f t="shared" ca="1" si="137"/>
        <v>6.6026970779846206E-2</v>
      </c>
      <c r="Y52" s="288">
        <f t="shared" ca="1" si="137"/>
        <v>6.2634636095341811E-2</v>
      </c>
      <c r="Z52" s="288">
        <f t="shared" ca="1" si="137"/>
        <v>4.9921033490338163E-2</v>
      </c>
      <c r="AA52" s="288">
        <f t="shared" ca="1" si="137"/>
        <v>-3.4401580800133003E-2</v>
      </c>
      <c r="AB52" s="288">
        <f t="shared" ca="1" si="137"/>
        <v>5.2845754136042089E-2</v>
      </c>
      <c r="AC52" s="288">
        <f t="shared" ca="1" si="137"/>
        <v>6.6878105012498468E-2</v>
      </c>
      <c r="AD52" s="288">
        <f t="shared" ca="1" si="137"/>
        <v>3.9776114523466521E-2</v>
      </c>
      <c r="AE52" s="288">
        <f t="shared" ca="1" si="137"/>
        <v>-3.5954424417805164E-2</v>
      </c>
      <c r="AF52" s="288">
        <f t="shared" ca="1" si="137"/>
        <v>4.8431315760556037E-2</v>
      </c>
      <c r="AG52" s="288">
        <f t="shared" ca="1" si="137"/>
        <v>6.6462075348360905E-2</v>
      </c>
      <c r="AH52" s="288">
        <f ca="1">AH50/AG50-1</f>
        <v>3.9785532138292723E-2</v>
      </c>
      <c r="AI52" s="288">
        <f t="shared" ref="AI52:AL52" ca="1" si="138">AI50/AH50-1</f>
        <v>-4.3297206895772211E-2</v>
      </c>
      <c r="AJ52" s="288">
        <f t="shared" ca="1" si="138"/>
        <v>4.6424186388047461E-2</v>
      </c>
      <c r="AK52" s="288">
        <f t="shared" ca="1" si="138"/>
        <v>6.6128872918345794E-2</v>
      </c>
      <c r="AL52" s="288">
        <f t="shared" ca="1" si="138"/>
        <v>4.3065394428399184E-2</v>
      </c>
    </row>
    <row r="53" spans="1:38">
      <c r="B53" s="287" t="s">
        <v>406</v>
      </c>
      <c r="C53" s="288">
        <f t="shared" ref="C53:AH53" si="139">C50/C3</f>
        <v>-5.9199071387115491E-2</v>
      </c>
      <c r="D53" s="288">
        <f t="shared" si="139"/>
        <v>-6.8334115839344414E-2</v>
      </c>
      <c r="E53" s="288">
        <f t="shared" si="139"/>
        <v>-7.6784237045950221E-2</v>
      </c>
      <c r="F53" s="288">
        <f t="shared" si="139"/>
        <v>-9.933970631713808E-2</v>
      </c>
      <c r="G53" s="288">
        <f t="shared" si="139"/>
        <v>-6.3509923425535242E-2</v>
      </c>
      <c r="H53" s="288">
        <f t="shared" si="139"/>
        <v>-6.6263203608752902E-2</v>
      </c>
      <c r="I53" s="288">
        <f t="shared" si="139"/>
        <v>-8.1137961770823025E-2</v>
      </c>
      <c r="J53" s="288">
        <f t="shared" si="139"/>
        <v>-0.10172350902790443</v>
      </c>
      <c r="K53" s="288">
        <f t="shared" si="139"/>
        <v>-6.3731030029060373E-2</v>
      </c>
      <c r="L53" s="288">
        <f t="shared" si="139"/>
        <v>-6.4657456806698932E-2</v>
      </c>
      <c r="M53" s="288">
        <f t="shared" si="139"/>
        <v>-7.3792363134488587E-2</v>
      </c>
      <c r="N53" s="288">
        <f t="shared" si="139"/>
        <v>-9.0703699240872376E-2</v>
      </c>
      <c r="O53" s="288">
        <f t="shared" si="139"/>
        <v>-7.5753454466325754E-2</v>
      </c>
      <c r="P53" s="288">
        <f t="shared" si="139"/>
        <v>-8.6325076348829313E-2</v>
      </c>
      <c r="Q53" s="288">
        <f t="shared" si="139"/>
        <v>-8.1555927787083565E-2</v>
      </c>
      <c r="R53" s="288">
        <f t="shared" si="139"/>
        <v>-6.7494346023369761E-2</v>
      </c>
      <c r="S53" s="288">
        <f t="shared" ca="1" si="139"/>
        <v>-7.2999999999999995E-2</v>
      </c>
      <c r="T53" s="288">
        <f t="shared" ca="1" si="139"/>
        <v>-7.2999999999999995E-2</v>
      </c>
      <c r="U53" s="288">
        <f t="shared" ca="1" si="139"/>
        <v>-7.1999999999999995E-2</v>
      </c>
      <c r="V53" s="288">
        <f t="shared" ca="1" si="139"/>
        <v>-7.1999999999999995E-2</v>
      </c>
      <c r="W53" s="288">
        <f t="shared" ca="1" si="139"/>
        <v>-7.0000000000000007E-2</v>
      </c>
      <c r="X53" s="288">
        <f t="shared" ca="1" si="139"/>
        <v>-7.0000000000000007E-2</v>
      </c>
      <c r="Y53" s="288">
        <f t="shared" ca="1" si="139"/>
        <v>-6.9000000000000006E-2</v>
      </c>
      <c r="Z53" s="288">
        <f t="shared" ca="1" si="139"/>
        <v>-6.9000000000000006E-2</v>
      </c>
      <c r="AA53" s="288">
        <f t="shared" ca="1" si="139"/>
        <v>-6.7500000000000004E-2</v>
      </c>
      <c r="AB53" s="288">
        <f t="shared" ca="1" si="139"/>
        <v>-6.6875000000000004E-2</v>
      </c>
      <c r="AC53" s="288">
        <f t="shared" ca="1" si="139"/>
        <v>-6.6093749999999993E-2</v>
      </c>
      <c r="AD53" s="288">
        <f t="shared" ca="1" si="139"/>
        <v>-6.5367187500000007E-2</v>
      </c>
      <c r="AE53" s="288">
        <f t="shared" ca="1" si="139"/>
        <v>-6.4458984375E-2</v>
      </c>
      <c r="AF53" s="288">
        <f t="shared" ca="1" si="139"/>
        <v>-6.3698730468750006E-2</v>
      </c>
      <c r="AG53" s="288">
        <f t="shared" ca="1" si="139"/>
        <v>-6.2904663085937507E-2</v>
      </c>
      <c r="AH53" s="288">
        <f t="shared" ca="1" si="139"/>
        <v>-6.2107391357421889E-2</v>
      </c>
      <c r="AI53" s="288">
        <f t="shared" ref="AI53:AL53" ca="1" si="140">AI50/AI3</f>
        <v>-6.1292442321777336E-2</v>
      </c>
      <c r="AJ53" s="288">
        <f t="shared" ca="1" si="140"/>
        <v>-6.0500806808471683E-2</v>
      </c>
      <c r="AK53" s="288">
        <f t="shared" ca="1" si="140"/>
        <v>-5.9701325893402102E-2</v>
      </c>
      <c r="AL53" s="288">
        <f t="shared" ca="1" si="140"/>
        <v>-5.8900491595268258E-2</v>
      </c>
    </row>
    <row r="54" spans="1:38">
      <c r="B54" s="548" t="s">
        <v>454</v>
      </c>
      <c r="C54" s="289">
        <f>核心数据模型!M186</f>
        <v>-20.27</v>
      </c>
      <c r="D54" s="289">
        <f>核心数据模型!N186</f>
        <v>-20.72</v>
      </c>
      <c r="E54" s="289">
        <f>核心数据模型!O186</f>
        <v>-24.61</v>
      </c>
      <c r="F54" s="289">
        <f>核心数据模型!P186</f>
        <v>-24.79</v>
      </c>
      <c r="G54" s="289">
        <f>核心数据模型!Q186</f>
        <v>-23.33</v>
      </c>
      <c r="H54" s="289">
        <f>核心数据模型!R186</f>
        <v>-27.459731219487097</v>
      </c>
      <c r="I54" s="289">
        <f>核心数据模型!S186</f>
        <v>-31.65</v>
      </c>
      <c r="J54" s="289">
        <f>核心数据模型!T186</f>
        <v>-36.01</v>
      </c>
      <c r="K54" s="289">
        <f>核心数据模型!U186</f>
        <v>-35.97381</v>
      </c>
      <c r="L54" s="289">
        <f>核心数据模型!V186</f>
        <v>-42.406809999999993</v>
      </c>
      <c r="M54" s="289">
        <f>核心数据模型!W186</f>
        <v>-48.281655629999996</v>
      </c>
      <c r="N54" s="289">
        <f>核心数据模型!X186</f>
        <v>-47.9</v>
      </c>
      <c r="O54" s="289">
        <f>核心数据模型!Y186</f>
        <v>-50.055628663574034</v>
      </c>
      <c r="P54" s="289">
        <f>核心数据模型!Z186</f>
        <v>-57.222200000000001</v>
      </c>
      <c r="Q54" s="289">
        <f>核心数据模型!AA186</f>
        <v>-62.54</v>
      </c>
      <c r="R54" s="289">
        <f>核心数据模型!AB186</f>
        <v>-59.542171336425987</v>
      </c>
      <c r="S54" s="289">
        <f ca="1">核心数据模型!AC186</f>
        <v>-62.420439422116672</v>
      </c>
      <c r="T54" s="289">
        <f ca="1">核心数据模型!AD186</f>
        <v>-67.04171555443483</v>
      </c>
      <c r="U54" s="289">
        <f ca="1">核心数据模型!AE186</f>
        <v>-71.851719702928165</v>
      </c>
      <c r="V54" s="289">
        <f ca="1">核心数据模型!AF186</f>
        <v>-75.959671406586253</v>
      </c>
      <c r="W54" s="289">
        <f ca="1">核心数据模型!AG186</f>
        <v>-74.873432965196713</v>
      </c>
      <c r="X54" s="289">
        <f ca="1">核心数据模型!AH186</f>
        <v>-79.817098935776528</v>
      </c>
      <c r="Y54" s="289">
        <f ca="1">核心数据模型!AI186</f>
        <v>-84.816413881804777</v>
      </c>
      <c r="Z54" s="289">
        <f ca="1">核心数据模型!AJ186</f>
        <v>-89.050536919728728</v>
      </c>
      <c r="AA54" s="289">
        <f ca="1">核心数据模型!AK186</f>
        <v>-87.515716481764386</v>
      </c>
      <c r="AB54" s="289">
        <f ca="1">核心数据模型!AL186</f>
        <v>-92.561712892321452</v>
      </c>
      <c r="AC54" s="289">
        <f ca="1">核心数据模型!AM186</f>
        <v>-99.325676229167954</v>
      </c>
      <c r="AD54" s="289">
        <f ca="1">核心数据模型!AN186</f>
        <v>-104.02830090438022</v>
      </c>
      <c r="AE54" s="289">
        <f ca="1">核心数据模型!AO186</f>
        <v>-101.21700494624568</v>
      </c>
      <c r="AF54" s="289">
        <f ca="1">核心数据模型!AP186</f>
        <v>-106.86321580608725</v>
      </c>
      <c r="AG54" s="289">
        <f ca="1">核心数据模型!AQ186</f>
        <v>-114.83881318397303</v>
      </c>
      <c r="AH54" s="289">
        <f ca="1">核心数据模型!AR186</f>
        <v>-120.38035974772272</v>
      </c>
      <c r="AI54" s="289">
        <f ca="1">核心数据模型!AS186</f>
        <v>-116.13389693896269</v>
      </c>
      <c r="AJ54" s="289">
        <f ca="1">核心数据模型!AT186</f>
        <v>-122.51597713940133</v>
      </c>
      <c r="AK54" s="289">
        <f ca="1">核心数据模型!AU186</f>
        <v>-131.72230974268757</v>
      </c>
      <c r="AL54" s="289">
        <f ca="1">核心数据模型!AV186</f>
        <v>-138.58584540167669</v>
      </c>
    </row>
    <row r="55" spans="1:38">
      <c r="B55" s="287" t="s">
        <v>392</v>
      </c>
      <c r="C55" s="288"/>
      <c r="D55" s="288"/>
      <c r="E55" s="288"/>
      <c r="F55" s="288"/>
      <c r="G55" s="288">
        <f>G54/C54-1</f>
        <v>0.15096201282683763</v>
      </c>
      <c r="H55" s="288">
        <f t="shared" ref="H55:AG55" si="141">H54/D54-1</f>
        <v>0.32527660325709928</v>
      </c>
      <c r="I55" s="288">
        <f t="shared" si="141"/>
        <v>0.28606257618854114</v>
      </c>
      <c r="J55" s="288">
        <f t="shared" si="141"/>
        <v>0.45260185558693022</v>
      </c>
      <c r="K55" s="288">
        <f t="shared" si="141"/>
        <v>0.54195499357051014</v>
      </c>
      <c r="L55" s="288">
        <f t="shared" si="141"/>
        <v>0.54432720630220666</v>
      </c>
      <c r="M55" s="288">
        <f t="shared" si="141"/>
        <v>0.52548674976303311</v>
      </c>
      <c r="N55" s="288">
        <f t="shared" si="141"/>
        <v>0.33018605942793666</v>
      </c>
      <c r="O55" s="288">
        <f t="shared" si="141"/>
        <v>0.39144640680467346</v>
      </c>
      <c r="P55" s="288">
        <f t="shared" si="141"/>
        <v>0.34936346308529242</v>
      </c>
      <c r="Q55" s="288">
        <f t="shared" si="141"/>
        <v>0.29531597837627843</v>
      </c>
      <c r="R55" s="288">
        <f t="shared" si="141"/>
        <v>0.24305159366233808</v>
      </c>
      <c r="S55" s="288">
        <f t="shared" ca="1" si="141"/>
        <v>0.24702138577955024</v>
      </c>
      <c r="T55" s="288">
        <f t="shared" ca="1" si="141"/>
        <v>0.17160325108847307</v>
      </c>
      <c r="U55" s="288">
        <f t="shared" ca="1" si="141"/>
        <v>0.14889222422334769</v>
      </c>
      <c r="V55" s="288">
        <f t="shared" ca="1" si="141"/>
        <v>0.27572894474065923</v>
      </c>
      <c r="W55" s="288">
        <f t="shared" ca="1" si="141"/>
        <v>0.1995018564170461</v>
      </c>
      <c r="X55" s="288">
        <f t="shared" ca="1" si="141"/>
        <v>0.19055871819044756</v>
      </c>
      <c r="Y55" s="288">
        <f t="shared" ca="1" si="141"/>
        <v>0.18043679723295836</v>
      </c>
      <c r="Z55" s="288">
        <f t="shared" ca="1" si="141"/>
        <v>0.17233968065858951</v>
      </c>
      <c r="AA55" s="288">
        <f t="shared" ca="1" si="141"/>
        <v>0.16884872264965023</v>
      </c>
      <c r="AB55" s="288">
        <f t="shared" ca="1" si="141"/>
        <v>0.15967272835610902</v>
      </c>
      <c r="AC55" s="288">
        <f t="shared" ca="1" si="141"/>
        <v>0.1710666801779952</v>
      </c>
      <c r="AD55" s="288">
        <f t="shared" ca="1" si="141"/>
        <v>0.16819397729350727</v>
      </c>
      <c r="AE55" s="288">
        <f t="shared" ca="1" si="141"/>
        <v>0.15655803340576235</v>
      </c>
      <c r="AF55" s="288">
        <f t="shared" ca="1" si="141"/>
        <v>0.15450775992448373</v>
      </c>
      <c r="AG55" s="288">
        <f t="shared" ca="1" si="141"/>
        <v>0.15618455915681451</v>
      </c>
      <c r="AH55" s="288">
        <f ca="1">AH54/AD54-1</f>
        <v>0.15718856023970673</v>
      </c>
      <c r="AI55" s="288">
        <f t="shared" ref="AI55:AL55" ca="1" si="142">AI54/AE54-1</f>
        <v>0.14737535457247608</v>
      </c>
      <c r="AJ55" s="288">
        <f t="shared" ca="1" si="142"/>
        <v>0.14647473609363759</v>
      </c>
      <c r="AK55" s="288">
        <f t="shared" ca="1" si="142"/>
        <v>0.14701907909538381</v>
      </c>
      <c r="AL55" s="288">
        <f t="shared" ca="1" si="142"/>
        <v>0.15123302249724646</v>
      </c>
    </row>
    <row r="56" spans="1:38">
      <c r="B56" s="287" t="s">
        <v>347</v>
      </c>
      <c r="C56" s="288"/>
      <c r="D56" s="288">
        <f>D54/C54-1</f>
        <v>2.2200296003946685E-2</v>
      </c>
      <c r="E56" s="288">
        <f t="shared" ref="E56:AG56" si="143">E54/D54-1</f>
        <v>0.18774131274131278</v>
      </c>
      <c r="F56" s="288">
        <f t="shared" si="143"/>
        <v>7.3140999593661604E-3</v>
      </c>
      <c r="G56" s="288">
        <f t="shared" si="143"/>
        <v>-5.8894715611133575E-2</v>
      </c>
      <c r="H56" s="288">
        <f t="shared" si="143"/>
        <v>0.17701376851637796</v>
      </c>
      <c r="I56" s="288">
        <f t="shared" si="143"/>
        <v>0.15259686072743617</v>
      </c>
      <c r="J56" s="288">
        <f t="shared" si="143"/>
        <v>0.13775671406003154</v>
      </c>
      <c r="K56" s="288">
        <f t="shared" si="143"/>
        <v>-1.0049986114967213E-3</v>
      </c>
      <c r="L56" s="288">
        <f t="shared" si="143"/>
        <v>0.17882453929678266</v>
      </c>
      <c r="M56" s="288">
        <f t="shared" si="143"/>
        <v>0.1385354293331662</v>
      </c>
      <c r="N56" s="288">
        <f t="shared" si="143"/>
        <v>-7.9047751163456859E-3</v>
      </c>
      <c r="O56" s="288">
        <f t="shared" si="143"/>
        <v>4.5002686087140642E-2</v>
      </c>
      <c r="P56" s="288">
        <f t="shared" si="143"/>
        <v>0.14317213723541045</v>
      </c>
      <c r="Q56" s="288">
        <f t="shared" si="143"/>
        <v>9.2932463274743027E-2</v>
      </c>
      <c r="R56" s="288">
        <f t="shared" si="143"/>
        <v>-4.7934580485673339E-2</v>
      </c>
      <c r="S56" s="288">
        <f t="shared" ca="1" si="143"/>
        <v>4.8339991993705755E-2</v>
      </c>
      <c r="T56" s="288">
        <f t="shared" ca="1" si="143"/>
        <v>7.4034661964919701E-2</v>
      </c>
      <c r="U56" s="288">
        <f t="shared" ca="1" si="143"/>
        <v>7.1746435912545037E-2</v>
      </c>
      <c r="V56" s="288">
        <f t="shared" ca="1" si="143"/>
        <v>5.7172628861806851E-2</v>
      </c>
      <c r="W56" s="288">
        <f t="shared" ca="1" si="143"/>
        <v>-1.430019931991644E-2</v>
      </c>
      <c r="X56" s="288">
        <f t="shared" ca="1" si="143"/>
        <v>6.6026970779846206E-2</v>
      </c>
      <c r="Y56" s="288">
        <f t="shared" ca="1" si="143"/>
        <v>6.2634636095341811E-2</v>
      </c>
      <c r="Z56" s="288">
        <f t="shared" ca="1" si="143"/>
        <v>4.9921033490338163E-2</v>
      </c>
      <c r="AA56" s="288">
        <f t="shared" ca="1" si="143"/>
        <v>-1.7235386681024201E-2</v>
      </c>
      <c r="AB56" s="288">
        <f t="shared" ca="1" si="143"/>
        <v>5.7658174021902653E-2</v>
      </c>
      <c r="AC56" s="288">
        <f t="shared" ca="1" si="143"/>
        <v>7.307517466444402E-2</v>
      </c>
      <c r="AD56" s="288">
        <f t="shared" ca="1" si="143"/>
        <v>4.7345508772195011E-2</v>
      </c>
      <c r="AE56" s="288">
        <f t="shared" ca="1" si="143"/>
        <v>-2.7024337932026743E-2</v>
      </c>
      <c r="AF56" s="288">
        <f t="shared" ca="1" si="143"/>
        <v>5.5783224003122411E-2</v>
      </c>
      <c r="AG56" s="288">
        <f t="shared" ca="1" si="143"/>
        <v>7.4633701762804927E-2</v>
      </c>
      <c r="AH56" s="288">
        <f ca="1">AH54/AG54-1</f>
        <v>4.8254996809067308E-2</v>
      </c>
      <c r="AI56" s="288">
        <f t="shared" ref="AI56:AL56" ca="1" si="144">AI54/AH54-1</f>
        <v>-3.5275378954334413E-2</v>
      </c>
      <c r="AJ56" s="288">
        <f t="shared" ca="1" si="144"/>
        <v>5.4954499665097023E-2</v>
      </c>
      <c r="AK56" s="288">
        <f t="shared" ca="1" si="144"/>
        <v>7.5143934842155868E-2</v>
      </c>
      <c r="AL56" s="288">
        <f t="shared" ca="1" si="144"/>
        <v>5.2106098597850758E-2</v>
      </c>
    </row>
    <row r="57" spans="1:38">
      <c r="B57" s="287" t="s">
        <v>407</v>
      </c>
      <c r="C57" s="288">
        <f t="shared" ref="C57:AH57" si="145">C54/C3</f>
        <v>-9.0495111388901289E-2</v>
      </c>
      <c r="D57" s="288">
        <f t="shared" si="145"/>
        <v>-8.8437406632805513E-2</v>
      </c>
      <c r="E57" s="288">
        <f t="shared" si="145"/>
        <v>-9.2539670602391516E-2</v>
      </c>
      <c r="F57" s="288">
        <f t="shared" si="145"/>
        <v>-8.1436220886304658E-2</v>
      </c>
      <c r="G57" s="288">
        <f t="shared" si="145"/>
        <v>-7.2917643381778405E-2</v>
      </c>
      <c r="H57" s="288">
        <f t="shared" si="145"/>
        <v>-7.6937410606279164E-2</v>
      </c>
      <c r="I57" s="288">
        <f t="shared" si="145"/>
        <v>-7.8364860849757356E-2</v>
      </c>
      <c r="J57" s="288">
        <f t="shared" si="145"/>
        <v>-8.209465621010395E-2</v>
      </c>
      <c r="K57" s="288">
        <f t="shared" si="145"/>
        <v>-7.2598098966742006E-2</v>
      </c>
      <c r="L57" s="288">
        <f t="shared" si="145"/>
        <v>-7.491575098046141E-2</v>
      </c>
      <c r="M57" s="288">
        <f t="shared" si="145"/>
        <v>-7.4040263195828862E-2</v>
      </c>
      <c r="N57" s="288">
        <f t="shared" si="145"/>
        <v>-7.2147246656223629E-2</v>
      </c>
      <c r="O57" s="288">
        <f t="shared" si="145"/>
        <v>-6.8076962060132237E-2</v>
      </c>
      <c r="P57" s="288">
        <f t="shared" si="145"/>
        <v>-7.7668408551068879E-2</v>
      </c>
      <c r="Q57" s="288">
        <f t="shared" si="145"/>
        <v>-7.7597865872572738E-2</v>
      </c>
      <c r="R57" s="288">
        <f t="shared" si="145"/>
        <v>-7.0135426093603917E-2</v>
      </c>
      <c r="S57" s="288">
        <f t="shared" ca="1" si="145"/>
        <v>-7.1999999999999995E-2</v>
      </c>
      <c r="T57" s="288">
        <f t="shared" ca="1" si="145"/>
        <v>-7.2000000000000008E-2</v>
      </c>
      <c r="U57" s="288">
        <f t="shared" ca="1" si="145"/>
        <v>-7.0999999999999994E-2</v>
      </c>
      <c r="V57" s="288">
        <f t="shared" ca="1" si="145"/>
        <v>-7.0999999999999994E-2</v>
      </c>
      <c r="W57" s="288">
        <f t="shared" ca="1" si="145"/>
        <v>-7.0000000000000007E-2</v>
      </c>
      <c r="X57" s="288">
        <f t="shared" ca="1" si="145"/>
        <v>-7.0000000000000007E-2</v>
      </c>
      <c r="Y57" s="288">
        <f t="shared" ca="1" si="145"/>
        <v>-6.9000000000000006E-2</v>
      </c>
      <c r="Z57" s="288">
        <f t="shared" ca="1" si="145"/>
        <v>-6.9000000000000006E-2</v>
      </c>
      <c r="AA57" s="288">
        <f t="shared" ca="1" si="145"/>
        <v>-6.8700000000000011E-2</v>
      </c>
      <c r="AB57" s="288">
        <f t="shared" ca="1" si="145"/>
        <v>-6.8375000000000019E-2</v>
      </c>
      <c r="AC57" s="288">
        <f t="shared" ca="1" si="145"/>
        <v>-6.7968750000000008E-2</v>
      </c>
      <c r="AD57" s="288">
        <f t="shared" ca="1" si="145"/>
        <v>-6.7710937500000012E-2</v>
      </c>
      <c r="AE57" s="288">
        <f t="shared" ca="1" si="145"/>
        <v>-6.7388671875000028E-2</v>
      </c>
      <c r="AF57" s="288">
        <f t="shared" ca="1" si="145"/>
        <v>-6.7060839843750025E-2</v>
      </c>
      <c r="AG57" s="288">
        <f t="shared" ca="1" si="145"/>
        <v>-6.6732299804687534E-2</v>
      </c>
      <c r="AH57" s="288">
        <f t="shared" ca="1" si="145"/>
        <v>-6.6423187255859426E-2</v>
      </c>
      <c r="AI57" s="288">
        <f t="shared" ref="AI57:AL57" ca="1" si="146">AI54/AI3</f>
        <v>-6.6101249694824241E-2</v>
      </c>
      <c r="AJ57" s="288">
        <f t="shared" ca="1" si="146"/>
        <v>-6.5779394149780318E-2</v>
      </c>
      <c r="AK57" s="288">
        <f t="shared" ca="1" si="146"/>
        <v>-6.5459032726287891E-2</v>
      </c>
      <c r="AL57" s="288">
        <f t="shared" ca="1" si="146"/>
        <v>-6.5140715956687981E-2</v>
      </c>
    </row>
    <row r="58" spans="1:38">
      <c r="B58" s="548" t="s">
        <v>405</v>
      </c>
      <c r="C58" s="289">
        <f>核心数据模型!M187</f>
        <v>-16.41</v>
      </c>
      <c r="D58" s="289">
        <f>核心数据模型!N187</f>
        <v>-19.39</v>
      </c>
      <c r="E58" s="289">
        <f>核心数据模型!O187</f>
        <v>-19.189999999999998</v>
      </c>
      <c r="F58" s="289">
        <f>核心数据模型!P187</f>
        <v>-22.869999999999997</v>
      </c>
      <c r="G58" s="289">
        <f>核心数据模型!Q187</f>
        <v>-20.350000000000001</v>
      </c>
      <c r="H58" s="289">
        <f>核心数据模型!R187</f>
        <v>-25.530268780512905</v>
      </c>
      <c r="I58" s="289">
        <f>核心数据模型!S187</f>
        <v>-27.18</v>
      </c>
      <c r="J58" s="289">
        <f>核心数据模型!T187</f>
        <v>-33.080000000000005</v>
      </c>
      <c r="K58" s="289">
        <f>核心数据模型!U187</f>
        <v>-34.146190000000004</v>
      </c>
      <c r="L58" s="289">
        <f>核心数据模型!V187</f>
        <v>-39.29319000000001</v>
      </c>
      <c r="M58" s="289">
        <f>核心数据模型!W187</f>
        <v>-42.298344370000002</v>
      </c>
      <c r="N58" s="289">
        <f>核心数据模型!X187</f>
        <v>-40.21</v>
      </c>
      <c r="O58" s="289">
        <f>核心数据模型!Y187</f>
        <v>-44.244371336425964</v>
      </c>
      <c r="P58" s="289">
        <f>核心数据模型!Z187</f>
        <v>-41.347799999999992</v>
      </c>
      <c r="Q58" s="289">
        <f>核心数据模型!AA187</f>
        <v>-46.36</v>
      </c>
      <c r="R58" s="289">
        <f>核心数据模型!AB187</f>
        <v>-53.907828663574016</v>
      </c>
      <c r="S58" s="289">
        <f ca="1">核心数据模型!AC187</f>
        <v>-52.883983399293292</v>
      </c>
      <c r="T58" s="289">
        <f ca="1">核心数据模型!AD187</f>
        <v>-54.597733266529247</v>
      </c>
      <c r="U58" s="289">
        <f ca="1">核心数据模型!AE187</f>
        <v>-59.97506797049315</v>
      </c>
      <c r="V58" s="289">
        <f ca="1">核心数据模型!AF187</f>
        <v>-63.869909496034097</v>
      </c>
      <c r="W58" s="289">
        <f ca="1">核心数据模型!AG187</f>
        <v>-62.840051929736468</v>
      </c>
      <c r="X58" s="289">
        <f ca="1">核心数据模型!AH187</f>
        <v>-66.347762627587329</v>
      </c>
      <c r="Y58" s="289">
        <f ca="1">核心数据模型!AI187</f>
        <v>-71.387435988904059</v>
      </c>
      <c r="Z58" s="289">
        <f ca="1">核心数据模型!AJ187</f>
        <v>-74.567576237552828</v>
      </c>
      <c r="AA58" s="289">
        <f ca="1">核心数据模型!AK187</f>
        <v>-72.990408919134552</v>
      </c>
      <c r="AB58" s="289">
        <f ca="1">核心数据模型!AL187</f>
        <v>-77.074352692518431</v>
      </c>
      <c r="AC58" s="289">
        <f ca="1">核心数据模型!AM187</f>
        <v>-82.743227074757741</v>
      </c>
      <c r="AD58" s="289">
        <f ca="1">核心数据模型!AN187</f>
        <v>-86.432289496543319</v>
      </c>
      <c r="AE58" s="289">
        <f ca="1">核心数据模型!AO187</f>
        <v>-83.927874507397007</v>
      </c>
      <c r="AF58" s="289">
        <f ca="1">核心数据模型!AP187</f>
        <v>-88.477209587643216</v>
      </c>
      <c r="AG58" s="289">
        <f ca="1">核心数据模型!AQ187</f>
        <v>-94.941378418202333</v>
      </c>
      <c r="AH58" s="289">
        <f ca="1">核心数据模型!AR187</f>
        <v>-99.32834027937615</v>
      </c>
      <c r="AI58" s="289">
        <f ca="1">核心数据模型!AS187</f>
        <v>-95.653999177137536</v>
      </c>
      <c r="AJ58" s="289">
        <f ca="1">核心数据模型!AT187</f>
        <v>-100.73694470752064</v>
      </c>
      <c r="AK58" s="289">
        <f ca="1">核心数据模型!AU187</f>
        <v>-108.11397712262959</v>
      </c>
      <c r="AL58" s="289">
        <f ca="1">核心数据模型!AV187</f>
        <v>-113.53569361601996</v>
      </c>
    </row>
    <row r="59" spans="1:38">
      <c r="B59" s="287" t="s">
        <v>455</v>
      </c>
      <c r="C59" s="288"/>
      <c r="D59" s="288"/>
      <c r="E59" s="288"/>
      <c r="F59" s="288"/>
      <c r="G59" s="288">
        <f>G58/C58-1</f>
        <v>0.24009750152346143</v>
      </c>
      <c r="H59" s="288">
        <f t="shared" ref="H59:AG59" si="147">H58/D58-1</f>
        <v>0.31667193298158347</v>
      </c>
      <c r="I59" s="288">
        <f t="shared" si="147"/>
        <v>0.41636268890046924</v>
      </c>
      <c r="J59" s="288">
        <f t="shared" si="147"/>
        <v>0.44643637953651116</v>
      </c>
      <c r="K59" s="288">
        <f t="shared" si="147"/>
        <v>0.67794545454545463</v>
      </c>
      <c r="L59" s="288">
        <f t="shared" si="147"/>
        <v>0.53908250390188828</v>
      </c>
      <c r="M59" s="288">
        <f t="shared" si="147"/>
        <v>0.55623047718910978</v>
      </c>
      <c r="N59" s="288">
        <f t="shared" si="147"/>
        <v>0.21553808948004827</v>
      </c>
      <c r="O59" s="288">
        <f t="shared" si="147"/>
        <v>0.2957337652143901</v>
      </c>
      <c r="P59" s="288">
        <f t="shared" si="147"/>
        <v>5.2289213474395524E-2</v>
      </c>
      <c r="Q59" s="288">
        <f t="shared" si="147"/>
        <v>9.6023986056549271E-2</v>
      </c>
      <c r="R59" s="288">
        <f t="shared" si="147"/>
        <v>0.34065726594314882</v>
      </c>
      <c r="S59" s="288">
        <f t="shared" ca="1" si="147"/>
        <v>0.19527030901113562</v>
      </c>
      <c r="T59" s="288">
        <f t="shared" ca="1" si="147"/>
        <v>0.32045074384923167</v>
      </c>
      <c r="U59" s="288">
        <f t="shared" ca="1" si="147"/>
        <v>0.29368136260770394</v>
      </c>
      <c r="V59" s="288">
        <f t="shared" ca="1" si="147"/>
        <v>0.18479840645467416</v>
      </c>
      <c r="W59" s="288">
        <f t="shared" ca="1" si="147"/>
        <v>0.18826245472606029</v>
      </c>
      <c r="X59" s="288">
        <f t="shared" ca="1" si="147"/>
        <v>0.21521093748888931</v>
      </c>
      <c r="Y59" s="288">
        <f t="shared" ca="1" si="147"/>
        <v>0.1902852035786875</v>
      </c>
      <c r="Z59" s="288">
        <f t="shared" ca="1" si="147"/>
        <v>0.16749149679291442</v>
      </c>
      <c r="AA59" s="288">
        <f t="shared" ca="1" si="147"/>
        <v>0.16152687144096456</v>
      </c>
      <c r="AB59" s="288">
        <f t="shared" ca="1" si="147"/>
        <v>0.16167221983263991</v>
      </c>
      <c r="AC59" s="288">
        <f t="shared" ca="1" si="147"/>
        <v>0.15907268454940371</v>
      </c>
      <c r="AD59" s="288">
        <f t="shared" ca="1" si="147"/>
        <v>0.15911356996763071</v>
      </c>
      <c r="AE59" s="288">
        <f t="shared" ca="1" si="147"/>
        <v>0.14984798345738803</v>
      </c>
      <c r="AF59" s="288">
        <f t="shared" ca="1" si="147"/>
        <v>0.14794619087643213</v>
      </c>
      <c r="AG59" s="288">
        <f t="shared" ca="1" si="147"/>
        <v>0.14742175008987357</v>
      </c>
      <c r="AH59" s="288">
        <f ca="1">AH58/AD58-1</f>
        <v>0.14920408631948345</v>
      </c>
      <c r="AI59" s="288">
        <f t="shared" ref="AI59:AL59" ca="1" si="148">AI58/AE58-1</f>
        <v>0.13971668815117022</v>
      </c>
      <c r="AJ59" s="288">
        <f t="shared" ca="1" si="148"/>
        <v>0.13856376322236108</v>
      </c>
      <c r="AK59" s="288">
        <f t="shared" ca="1" si="148"/>
        <v>0.13874454872989062</v>
      </c>
      <c r="AL59" s="288">
        <f t="shared" ca="1" si="148"/>
        <v>0.14303423672119608</v>
      </c>
    </row>
    <row r="60" spans="1:38">
      <c r="B60" s="287" t="s">
        <v>347</v>
      </c>
      <c r="C60" s="288"/>
      <c r="D60" s="288">
        <f>D58/C58-1</f>
        <v>0.18159658744667895</v>
      </c>
      <c r="E60" s="288">
        <f t="shared" ref="E60:AG60" si="149">E58/D58-1</f>
        <v>-1.0314595152140393E-2</v>
      </c>
      <c r="F60" s="288">
        <f t="shared" si="149"/>
        <v>0.19176654507556012</v>
      </c>
      <c r="G60" s="288">
        <f t="shared" si="149"/>
        <v>-0.11018801923917776</v>
      </c>
      <c r="H60" s="288">
        <f t="shared" si="149"/>
        <v>0.25455866243306646</v>
      </c>
      <c r="I60" s="288">
        <f t="shared" si="149"/>
        <v>6.4618638905451942E-2</v>
      </c>
      <c r="J60" s="288">
        <f t="shared" si="149"/>
        <v>0.21707137601177351</v>
      </c>
      <c r="K60" s="288">
        <f t="shared" si="149"/>
        <v>3.2230652962515149E-2</v>
      </c>
      <c r="L60" s="288">
        <f t="shared" si="149"/>
        <v>0.1507342400425935</v>
      </c>
      <c r="M60" s="288">
        <f t="shared" si="149"/>
        <v>7.6480285006129245E-2</v>
      </c>
      <c r="N60" s="288">
        <f t="shared" si="149"/>
        <v>-4.9371775683049068E-2</v>
      </c>
      <c r="O60" s="288">
        <f t="shared" si="149"/>
        <v>0.1003325375883104</v>
      </c>
      <c r="P60" s="288">
        <f t="shared" si="149"/>
        <v>-6.5467566809820466E-2</v>
      </c>
      <c r="Q60" s="288">
        <f t="shared" si="149"/>
        <v>0.12122047605918596</v>
      </c>
      <c r="R60" s="288">
        <f t="shared" si="149"/>
        <v>0.16280907384758447</v>
      </c>
      <c r="S60" s="288">
        <f t="shared" ca="1" si="149"/>
        <v>-1.8992515366743845E-2</v>
      </c>
      <c r="T60" s="288">
        <f t="shared" ca="1" si="149"/>
        <v>3.2405839293468519E-2</v>
      </c>
      <c r="U60" s="288">
        <f t="shared" ca="1" si="149"/>
        <v>9.8490072430542419E-2</v>
      </c>
      <c r="V60" s="288">
        <f t="shared" ca="1" si="149"/>
        <v>6.4941010612229011E-2</v>
      </c>
      <c r="W60" s="288">
        <f t="shared" ca="1" si="149"/>
        <v>-1.6124299759052829E-2</v>
      </c>
      <c r="X60" s="288">
        <f t="shared" ca="1" si="149"/>
        <v>5.5819665804429208E-2</v>
      </c>
      <c r="Y60" s="288">
        <f t="shared" ca="1" si="149"/>
        <v>7.595845227825726E-2</v>
      </c>
      <c r="Z60" s="288">
        <f t="shared" ca="1" si="149"/>
        <v>4.4547618283181656E-2</v>
      </c>
      <c r="AA60" s="288">
        <f t="shared" ca="1" si="149"/>
        <v>-2.115084595741501E-2</v>
      </c>
      <c r="AB60" s="288">
        <f t="shared" ca="1" si="149"/>
        <v>5.5951786458799724E-2</v>
      </c>
      <c r="AC60" s="288">
        <f t="shared" ca="1" si="149"/>
        <v>7.3550723219886205E-2</v>
      </c>
      <c r="AD60" s="288">
        <f t="shared" ca="1" si="149"/>
        <v>4.4584463915729788E-2</v>
      </c>
      <c r="AE60" s="288">
        <f t="shared" ca="1" si="149"/>
        <v>-2.8975455859542754E-2</v>
      </c>
      <c r="AF60" s="288">
        <f t="shared" ca="1" si="149"/>
        <v>5.4205293616070849E-2</v>
      </c>
      <c r="AG60" s="288">
        <f t="shared" ca="1" si="149"/>
        <v>7.306027010442584E-2</v>
      </c>
      <c r="AH60" s="288">
        <f ca="1">AH58/AG58-1</f>
        <v>4.6207058863732886E-2</v>
      </c>
      <c r="AI60" s="288">
        <f t="shared" ref="AI60:AL60" ca="1" si="150">AI58/AH58-1</f>
        <v>-3.6991870516551173E-2</v>
      </c>
      <c r="AJ60" s="288">
        <f t="shared" ca="1" si="150"/>
        <v>5.3138871078147076E-2</v>
      </c>
      <c r="AK60" s="288">
        <f t="shared" ca="1" si="150"/>
        <v>7.3230654716870847E-2</v>
      </c>
      <c r="AL60" s="288">
        <f t="shared" ca="1" si="150"/>
        <v>5.014815510154369E-2</v>
      </c>
    </row>
    <row r="61" spans="1:38">
      <c r="B61" s="287" t="s">
        <v>408</v>
      </c>
      <c r="C61" s="288">
        <f t="shared" ref="C61:AH61" si="151">C58/C3</f>
        <v>-7.3262199205321663E-2</v>
      </c>
      <c r="D61" s="288">
        <f t="shared" si="151"/>
        <v>-8.2760681207051101E-2</v>
      </c>
      <c r="E61" s="288">
        <f t="shared" si="151"/>
        <v>-7.215913363916672E-2</v>
      </c>
      <c r="F61" s="288">
        <f t="shared" si="151"/>
        <v>-7.5128937945533977E-2</v>
      </c>
      <c r="G61" s="288">
        <f t="shared" si="151"/>
        <v>-6.3603688076261919E-2</v>
      </c>
      <c r="H61" s="288">
        <f t="shared" si="151"/>
        <v>-7.1531391052402291E-2</v>
      </c>
      <c r="I61" s="288">
        <f t="shared" si="151"/>
        <v>-6.7297216995147069E-2</v>
      </c>
      <c r="J61" s="288">
        <f t="shared" si="151"/>
        <v>-7.5414918840051082E-2</v>
      </c>
      <c r="K61" s="288">
        <f t="shared" si="151"/>
        <v>-6.8909811914756217E-2</v>
      </c>
      <c r="L61" s="288">
        <f t="shared" si="151"/>
        <v>-6.9415238667279097E-2</v>
      </c>
      <c r="M61" s="288">
        <f t="shared" si="151"/>
        <v>-6.4864812712774125E-2</v>
      </c>
      <c r="N61" s="288">
        <f t="shared" si="151"/>
        <v>-6.056452584648752E-2</v>
      </c>
      <c r="O61" s="288">
        <f t="shared" si="151"/>
        <v>-6.0173500348746009E-2</v>
      </c>
      <c r="P61" s="288">
        <f t="shared" si="151"/>
        <v>-5.6121886664404472E-2</v>
      </c>
      <c r="Q61" s="288">
        <f t="shared" si="151"/>
        <v>-5.752217879521062E-2</v>
      </c>
      <c r="R61" s="288">
        <f t="shared" si="151"/>
        <v>-6.3498667385476368E-2</v>
      </c>
      <c r="S61" s="288">
        <f t="shared" ca="1" si="151"/>
        <v>-6.0999999999999999E-2</v>
      </c>
      <c r="T61" s="288">
        <f t="shared" ca="1" si="151"/>
        <v>-5.8635683211272875E-2</v>
      </c>
      <c r="U61" s="288">
        <f t="shared" ca="1" si="151"/>
        <v>-5.9264132347989967E-2</v>
      </c>
      <c r="V61" s="288">
        <f t="shared" ca="1" si="151"/>
        <v>-5.9699620736184802E-2</v>
      </c>
      <c r="W61" s="288">
        <f t="shared" ca="1" si="151"/>
        <v>-5.8749859073861904E-2</v>
      </c>
      <c r="X61" s="288">
        <f t="shared" ca="1" si="151"/>
        <v>-5.8187323842327388E-2</v>
      </c>
      <c r="Y61" s="288">
        <f t="shared" ca="1" si="151"/>
        <v>-5.8075234000091021E-2</v>
      </c>
      <c r="Z61" s="288">
        <f t="shared" ca="1" si="151"/>
        <v>-5.7778009413116282E-2</v>
      </c>
      <c r="AA61" s="288">
        <f t="shared" ca="1" si="151"/>
        <v>-5.7297606582349149E-2</v>
      </c>
      <c r="AB61" s="288">
        <f t="shared" ca="1" si="151"/>
        <v>-5.6934543459470958E-2</v>
      </c>
      <c r="AC61" s="288">
        <f t="shared" ca="1" si="151"/>
        <v>-5.6621348363756846E-2</v>
      </c>
      <c r="AD61" s="288">
        <f t="shared" ca="1" si="151"/>
        <v>-5.6257876954673311E-2</v>
      </c>
      <c r="AE61" s="288">
        <f t="shared" ca="1" si="151"/>
        <v>-5.5877843840062572E-2</v>
      </c>
      <c r="AF61" s="288">
        <f t="shared" ca="1" si="151"/>
        <v>-5.5522903154490919E-2</v>
      </c>
      <c r="AG61" s="288">
        <f t="shared" ca="1" si="151"/>
        <v>-5.5169993078245924E-2</v>
      </c>
      <c r="AH61" s="288">
        <f t="shared" ca="1" si="151"/>
        <v>-5.4807154256868197E-2</v>
      </c>
      <c r="AI61" s="288">
        <f t="shared" ref="AI61:AL61" ca="1" si="152">AI58/AI3</f>
        <v>-5.44444735824169E-2</v>
      </c>
      <c r="AJ61" s="288">
        <f t="shared" ca="1" si="152"/>
        <v>-5.4086131018005495E-2</v>
      </c>
      <c r="AK61" s="288">
        <f t="shared" ca="1" si="152"/>
        <v>-5.3726937983884129E-2</v>
      </c>
      <c r="AL61" s="288">
        <f t="shared" ca="1" si="152"/>
        <v>-5.3366174210293701E-2</v>
      </c>
    </row>
    <row r="62" spans="1:38">
      <c r="A62" s="285"/>
      <c r="B62" s="285" t="s">
        <v>456</v>
      </c>
      <c r="C62" s="286">
        <f>C34+C38+C42+C46</f>
        <v>93.720000000000027</v>
      </c>
      <c r="D62" s="286">
        <f>D34+D38+D42+D46</f>
        <v>100.35999999999996</v>
      </c>
      <c r="E62" s="286">
        <f t="shared" ref="E62:AH62" si="153">E34+E38+E42+E46</f>
        <v>103.31</v>
      </c>
      <c r="F62" s="286">
        <f t="shared" si="153"/>
        <v>108.87999999999997</v>
      </c>
      <c r="G62" s="286">
        <f t="shared" si="153"/>
        <v>134.02821</v>
      </c>
      <c r="H62" s="286">
        <f t="shared" si="153"/>
        <v>143.29330000000004</v>
      </c>
      <c r="I62" s="286">
        <f t="shared" si="153"/>
        <v>144.74171000000004</v>
      </c>
      <c r="J62" s="286">
        <f t="shared" si="153"/>
        <v>139.1746</v>
      </c>
      <c r="K62" s="286">
        <f t="shared" si="153"/>
        <v>192.61560000000003</v>
      </c>
      <c r="L62" s="286">
        <f t="shared" si="153"/>
        <v>225.55664000000002</v>
      </c>
      <c r="M62" s="286">
        <f t="shared" si="153"/>
        <v>227.50453999999991</v>
      </c>
      <c r="N62" s="286">
        <f t="shared" si="153"/>
        <v>257.27015000000006</v>
      </c>
      <c r="O62" s="286">
        <f t="shared" si="153"/>
        <v>307.12456999999995</v>
      </c>
      <c r="P62" s="286">
        <f t="shared" si="153"/>
        <v>218.10644000000002</v>
      </c>
      <c r="Q62" s="286">
        <f t="shared" si="153"/>
        <v>278.61000000000007</v>
      </c>
      <c r="R62" s="286">
        <f t="shared" si="153"/>
        <v>172.88000000000005</v>
      </c>
      <c r="S62" s="286">
        <f t="shared" ca="1" si="153"/>
        <v>204.43878815898853</v>
      </c>
      <c r="T62" s="286">
        <f t="shared" ca="1" si="153"/>
        <v>215.8759764143249</v>
      </c>
      <c r="U62" s="286">
        <f t="shared" ca="1" si="153"/>
        <v>230.65838687736144</v>
      </c>
      <c r="V62" s="286">
        <f t="shared" ca="1" si="153"/>
        <v>235.17353612557201</v>
      </c>
      <c r="W62" s="286">
        <f t="shared" ca="1" si="153"/>
        <v>241.08697356052429</v>
      </c>
      <c r="X62" s="286">
        <f t="shared" ca="1" si="153"/>
        <v>254.8720106309529</v>
      </c>
      <c r="Y62" s="286">
        <f t="shared" ca="1" si="153"/>
        <v>274.27604523267144</v>
      </c>
      <c r="Z62" s="286">
        <f t="shared" ca="1" si="153"/>
        <v>281.98420448226636</v>
      </c>
      <c r="AA62" s="286">
        <f t="shared" ca="1" si="153"/>
        <v>284.11321764816478</v>
      </c>
      <c r="AB62" s="286">
        <f t="shared" ca="1" si="153"/>
        <v>301.83775497700321</v>
      </c>
      <c r="AC62" s="286">
        <f t="shared" ca="1" si="153"/>
        <v>325.92461742000057</v>
      </c>
      <c r="AD62" s="286">
        <f t="shared" ca="1" si="153"/>
        <v>338.89996025224269</v>
      </c>
      <c r="AE62" s="286">
        <f t="shared" ca="1" si="153"/>
        <v>337.24636112439606</v>
      </c>
      <c r="AF62" s="286">
        <f t="shared" ca="1" si="153"/>
        <v>358.50453112369223</v>
      </c>
      <c r="AG62" s="286">
        <f t="shared" ca="1" si="153"/>
        <v>387.7595738281027</v>
      </c>
      <c r="AH62" s="286">
        <f t="shared" ca="1" si="153"/>
        <v>404.89558579501818</v>
      </c>
      <c r="AI62" s="286">
        <f t="shared" ref="AI62:AL62" ca="1" si="154">AI34+AI38+AI42+AI46</f>
        <v>398.53103834931642</v>
      </c>
      <c r="AJ62" s="286">
        <f t="shared" ca="1" si="154"/>
        <v>423.4965334274932</v>
      </c>
      <c r="AK62" s="286">
        <f t="shared" ca="1" si="154"/>
        <v>458.40293330379325</v>
      </c>
      <c r="AL62" s="286">
        <f t="shared" ca="1" si="154"/>
        <v>481.24669751955292</v>
      </c>
    </row>
    <row r="63" spans="1:38">
      <c r="B63" s="287" t="s">
        <v>392</v>
      </c>
      <c r="C63" s="288"/>
      <c r="D63" s="288"/>
      <c r="E63" s="288"/>
      <c r="F63" s="288"/>
      <c r="G63" s="288">
        <f>G62/C62-1</f>
        <v>0.43009186939820698</v>
      </c>
      <c r="H63" s="288">
        <f t="shared" ref="H63:AG63" si="155">H62/D62-1</f>
        <v>0.42779294539657342</v>
      </c>
      <c r="I63" s="288">
        <f t="shared" si="155"/>
        <v>0.40104259026231759</v>
      </c>
      <c r="J63" s="288">
        <f t="shared" si="155"/>
        <v>0.27823842762674533</v>
      </c>
      <c r="K63" s="288">
        <f t="shared" si="155"/>
        <v>0.43712730327443783</v>
      </c>
      <c r="L63" s="288">
        <f t="shared" si="155"/>
        <v>0.5740906239161212</v>
      </c>
      <c r="M63" s="288">
        <f t="shared" si="155"/>
        <v>0.57179668528166383</v>
      </c>
      <c r="N63" s="288">
        <f t="shared" si="155"/>
        <v>0.84854240644485457</v>
      </c>
      <c r="O63" s="288">
        <f t="shared" si="155"/>
        <v>0.59449478650742682</v>
      </c>
      <c r="P63" s="288">
        <f t="shared" si="155"/>
        <v>-3.3030284544050659E-2</v>
      </c>
      <c r="Q63" s="288">
        <f t="shared" si="155"/>
        <v>0.22463490179141132</v>
      </c>
      <c r="R63" s="288">
        <f t="shared" si="155"/>
        <v>-0.32802153689419467</v>
      </c>
      <c r="S63" s="288">
        <f t="shared" ca="1" si="155"/>
        <v>-0.33434570813078046</v>
      </c>
      <c r="T63" s="288">
        <f t="shared" ca="1" si="155"/>
        <v>-1.0226491183273234E-2</v>
      </c>
      <c r="U63" s="288">
        <f t="shared" ca="1" si="155"/>
        <v>-0.17211016518659994</v>
      </c>
      <c r="V63" s="288">
        <f t="shared" ca="1" si="155"/>
        <v>0.36032818212385442</v>
      </c>
      <c r="W63" s="288">
        <f t="shared" ca="1" si="155"/>
        <v>0.1792623881777029</v>
      </c>
      <c r="X63" s="288">
        <f t="shared" ca="1" si="155"/>
        <v>0.18064091643890934</v>
      </c>
      <c r="Y63" s="288">
        <f t="shared" ca="1" si="155"/>
        <v>0.18910068238056765</v>
      </c>
      <c r="Z63" s="288">
        <f t="shared" ca="1" si="155"/>
        <v>0.19904734660153078</v>
      </c>
      <c r="AA63" s="288">
        <f t="shared" ca="1" si="155"/>
        <v>0.17846772661418342</v>
      </c>
      <c r="AB63" s="288">
        <f t="shared" ca="1" si="155"/>
        <v>0.18427187916705101</v>
      </c>
      <c r="AC63" s="288">
        <f t="shared" ca="1" si="155"/>
        <v>0.18830872431281809</v>
      </c>
      <c r="AD63" s="288">
        <f t="shared" ca="1" si="155"/>
        <v>0.20184022674062829</v>
      </c>
      <c r="AE63" s="288">
        <f t="shared" ca="1" si="155"/>
        <v>0.18701397955384591</v>
      </c>
      <c r="AF63" s="288">
        <f t="shared" ca="1" si="155"/>
        <v>0.18773919170915643</v>
      </c>
      <c r="AG63" s="288">
        <f t="shared" ca="1" si="155"/>
        <v>0.18972165066138258</v>
      </c>
      <c r="AH63" s="288">
        <f ca="1">AH62/AD62-1</f>
        <v>0.19473482821790555</v>
      </c>
      <c r="AI63" s="288">
        <f t="shared" ref="AI63:AL63" ca="1" si="156">AI62/AE62-1</f>
        <v>0.18172079609871616</v>
      </c>
      <c r="AJ63" s="288">
        <f t="shared" ca="1" si="156"/>
        <v>0.18128641805471979</v>
      </c>
      <c r="AK63" s="288">
        <f t="shared" ca="1" si="156"/>
        <v>0.18218340498539787</v>
      </c>
      <c r="AL63" s="288">
        <f t="shared" ca="1" si="156"/>
        <v>0.18856987925570556</v>
      </c>
    </row>
    <row r="64" spans="1:38">
      <c r="B64" s="287" t="s">
        <v>347</v>
      </c>
      <c r="C64" s="288"/>
      <c r="D64" s="288">
        <f>D62/C62-1</f>
        <v>7.0849338454971544E-2</v>
      </c>
      <c r="E64" s="288">
        <f t="shared" ref="E64:AG64" si="157">E62/D62-1</f>
        <v>2.9394180948585591E-2</v>
      </c>
      <c r="F64" s="288">
        <f t="shared" si="157"/>
        <v>5.3915400251669299E-2</v>
      </c>
      <c r="G64" s="288">
        <f t="shared" si="157"/>
        <v>0.23097180382072047</v>
      </c>
      <c r="H64" s="288">
        <f t="shared" si="157"/>
        <v>6.9127909713933011E-2</v>
      </c>
      <c r="I64" s="288">
        <f t="shared" si="157"/>
        <v>1.0108009236998505E-2</v>
      </c>
      <c r="J64" s="288">
        <f t="shared" si="157"/>
        <v>-3.8462375496324031E-2</v>
      </c>
      <c r="K64" s="288">
        <f t="shared" si="157"/>
        <v>0.38398529616754806</v>
      </c>
      <c r="L64" s="288">
        <f t="shared" si="157"/>
        <v>0.17101958512186965</v>
      </c>
      <c r="M64" s="288">
        <f t="shared" si="157"/>
        <v>8.6359683315015978E-3</v>
      </c>
      <c r="N64" s="288">
        <f t="shared" si="157"/>
        <v>0.13083523520014229</v>
      </c>
      <c r="O64" s="288">
        <f t="shared" si="157"/>
        <v>0.19378237234284623</v>
      </c>
      <c r="P64" s="288">
        <f t="shared" si="157"/>
        <v>-0.28984372692813198</v>
      </c>
      <c r="Q64" s="288">
        <f t="shared" si="157"/>
        <v>0.27740382173034428</v>
      </c>
      <c r="R64" s="288">
        <f t="shared" si="157"/>
        <v>-0.37949104482969021</v>
      </c>
      <c r="S64" s="288">
        <f t="shared" ca="1" si="157"/>
        <v>0.18254736325189991</v>
      </c>
      <c r="T64" s="288">
        <f t="shared" ca="1" si="157"/>
        <v>5.5944316430020402E-2</v>
      </c>
      <c r="U64" s="288">
        <f t="shared" ca="1" si="157"/>
        <v>6.8476403482085724E-2</v>
      </c>
      <c r="V64" s="288">
        <f t="shared" ca="1" si="157"/>
        <v>1.957504909895702E-2</v>
      </c>
      <c r="W64" s="288">
        <f t="shared" ca="1" si="157"/>
        <v>2.5144995191103359E-2</v>
      </c>
      <c r="X64" s="288">
        <f t="shared" ca="1" si="157"/>
        <v>5.717868894715683E-2</v>
      </c>
      <c r="Y64" s="288">
        <f t="shared" ca="1" si="157"/>
        <v>7.6132465678292904E-2</v>
      </c>
      <c r="Z64" s="288">
        <f t="shared" ca="1" si="157"/>
        <v>2.8103654633987452E-2</v>
      </c>
      <c r="AA64" s="288">
        <f t="shared" ca="1" si="157"/>
        <v>7.5501149782746246E-3</v>
      </c>
      <c r="AB64" s="288">
        <f t="shared" ca="1" si="157"/>
        <v>6.2385472508314832E-2</v>
      </c>
      <c r="AC64" s="288">
        <f t="shared" ca="1" si="157"/>
        <v>7.9800694398991068E-2</v>
      </c>
      <c r="AD64" s="288">
        <f t="shared" ca="1" si="157"/>
        <v>3.9810870792621245E-2</v>
      </c>
      <c r="AE64" s="288">
        <f t="shared" ca="1" si="157"/>
        <v>-4.879313431066401E-3</v>
      </c>
      <c r="AF64" s="288">
        <f t="shared" ca="1" si="157"/>
        <v>6.3034542251013015E-2</v>
      </c>
      <c r="AG64" s="288">
        <f t="shared" ca="1" si="157"/>
        <v>8.1602992890253967E-2</v>
      </c>
      <c r="AH64" s="288">
        <f ca="1">AH62/AG62-1</f>
        <v>4.4192363318699135E-2</v>
      </c>
      <c r="AI64" s="288">
        <f t="shared" ref="AI64:AL64" ca="1" si="158">AI62/AH62-1</f>
        <v>-1.5718984520922574E-2</v>
      </c>
      <c r="AJ64" s="288">
        <f t="shared" ca="1" si="158"/>
        <v>6.2643791012067407E-2</v>
      </c>
      <c r="AK64" s="288">
        <f t="shared" ca="1" si="158"/>
        <v>8.2424287145378416E-2</v>
      </c>
      <c r="AL64" s="288">
        <f t="shared" ca="1" si="158"/>
        <v>4.9833372686166166E-2</v>
      </c>
    </row>
    <row r="65" spans="1:38">
      <c r="B65" s="287" t="s">
        <v>457</v>
      </c>
      <c r="C65" s="288">
        <f t="shared" ref="C65:AH65" si="159">C62/C3</f>
        <v>0.41841153622929605</v>
      </c>
      <c r="D65" s="288">
        <f t="shared" si="159"/>
        <v>0.42835801784113692</v>
      </c>
      <c r="E65" s="288">
        <f t="shared" si="159"/>
        <v>0.38847108370309091</v>
      </c>
      <c r="F65" s="288">
        <f t="shared" si="159"/>
        <v>0.35767550343287008</v>
      </c>
      <c r="G65" s="288">
        <f t="shared" si="159"/>
        <v>0.41890360993905301</v>
      </c>
      <c r="H65" s="288">
        <f t="shared" si="159"/>
        <v>0.40148300692051225</v>
      </c>
      <c r="I65" s="288">
        <f t="shared" si="159"/>
        <v>0.35837800831930289</v>
      </c>
      <c r="J65" s="288">
        <f t="shared" si="159"/>
        <v>0.31728661316797374</v>
      </c>
      <c r="K65" s="288">
        <f t="shared" si="159"/>
        <v>0.38871407814013564</v>
      </c>
      <c r="L65" s="288">
        <f t="shared" si="159"/>
        <v>0.39846772426951205</v>
      </c>
      <c r="M65" s="288">
        <f t="shared" si="159"/>
        <v>0.34887983438122977</v>
      </c>
      <c r="N65" s="288">
        <f t="shared" si="159"/>
        <v>0.38750173213640204</v>
      </c>
      <c r="O65" s="288">
        <f t="shared" si="159"/>
        <v>0.41769743499075179</v>
      </c>
      <c r="P65" s="288">
        <f t="shared" si="159"/>
        <v>0.29603860196810317</v>
      </c>
      <c r="Q65" s="288">
        <f t="shared" si="159"/>
        <v>0.34569142006327941</v>
      </c>
      <c r="R65" s="288">
        <f t="shared" si="159"/>
        <v>0.20363739163211464</v>
      </c>
      <c r="S65" s="288">
        <f t="shared" ca="1" si="159"/>
        <v>0.23581366750570742</v>
      </c>
      <c r="T65" s="288">
        <f t="shared" ca="1" si="159"/>
        <v>0.23184177453232271</v>
      </c>
      <c r="U65" s="288">
        <f t="shared" ca="1" si="159"/>
        <v>0.2279241963310345</v>
      </c>
      <c r="V65" s="288">
        <f t="shared" ca="1" si="159"/>
        <v>0.21981823717404644</v>
      </c>
      <c r="W65" s="288">
        <f t="shared" ca="1" si="159"/>
        <v>0.22539487613825834</v>
      </c>
      <c r="X65" s="288">
        <f t="shared" ca="1" si="159"/>
        <v>0.22352404412145063</v>
      </c>
      <c r="Y65" s="288">
        <f t="shared" ca="1" si="159"/>
        <v>0.2231295365473383</v>
      </c>
      <c r="Z65" s="288">
        <f t="shared" ca="1" si="159"/>
        <v>0.21849290057414344</v>
      </c>
      <c r="AA65" s="288">
        <f t="shared" ca="1" si="159"/>
        <v>0.22302940359856394</v>
      </c>
      <c r="AB65" s="288">
        <f t="shared" ca="1" si="159"/>
        <v>0.22296644964383172</v>
      </c>
      <c r="AC65" s="288">
        <f t="shared" ca="1" si="159"/>
        <v>0.22303083836201776</v>
      </c>
      <c r="AD65" s="288">
        <f t="shared" ca="1" si="159"/>
        <v>0.22058645414659345</v>
      </c>
      <c r="AE65" s="288">
        <f t="shared" ca="1" si="159"/>
        <v>0.2245332627943232</v>
      </c>
      <c r="AF65" s="288">
        <f t="shared" ca="1" si="159"/>
        <v>0.22497558924831773</v>
      </c>
      <c r="AG65" s="288">
        <f t="shared" ca="1" si="159"/>
        <v>0.22532528345953076</v>
      </c>
      <c r="AH65" s="288">
        <f t="shared" ca="1" si="159"/>
        <v>0.22341231884250254</v>
      </c>
      <c r="AI65" s="288">
        <f t="shared" ref="AI65:AL65" ca="1" si="160">AI62/AI3</f>
        <v>0.22683643941536921</v>
      </c>
      <c r="AJ65" s="288">
        <f t="shared" ca="1" si="160"/>
        <v>0.22737724535058804</v>
      </c>
      <c r="AK65" s="288">
        <f t="shared" ca="1" si="160"/>
        <v>0.22780205321008773</v>
      </c>
      <c r="AL65" s="288">
        <f t="shared" ca="1" si="160"/>
        <v>0.2262045906445512</v>
      </c>
    </row>
    <row r="66" spans="1:38" s="285" customFormat="1">
      <c r="A66" s="283"/>
      <c r="B66" s="548" t="s">
        <v>458</v>
      </c>
      <c r="C66" s="283">
        <v>-4.33</v>
      </c>
      <c r="D66" s="283">
        <v>-3.41</v>
      </c>
      <c r="E66" s="283">
        <v>-4.8099999999999996</v>
      </c>
      <c r="F66" s="283">
        <v>-3.63</v>
      </c>
      <c r="G66" s="283">
        <v>-4.91</v>
      </c>
      <c r="H66" s="283">
        <v>-3.77</v>
      </c>
      <c r="I66" s="283">
        <v>-6.04</v>
      </c>
      <c r="J66" s="283">
        <v>-4.83</v>
      </c>
      <c r="K66" s="283">
        <v>-6.91</v>
      </c>
      <c r="L66" s="283">
        <v>-8.34</v>
      </c>
      <c r="M66" s="283">
        <v>-5.24</v>
      </c>
      <c r="N66" s="283">
        <v>-8.59</v>
      </c>
      <c r="O66" s="283">
        <v>-6.54</v>
      </c>
      <c r="P66" s="283">
        <v>-11.51</v>
      </c>
      <c r="Q66" s="289">
        <v>-14.92</v>
      </c>
      <c r="R66" s="289">
        <v>-13.72</v>
      </c>
      <c r="S66" s="289">
        <f>O66*120.3%</f>
        <v>-7.8676200000000005</v>
      </c>
      <c r="T66" s="289">
        <f t="shared" ref="T66:V66" si="161">P66*120.3%</f>
        <v>-13.846530000000001</v>
      </c>
      <c r="U66" s="289">
        <f t="shared" si="161"/>
        <v>-17.94876</v>
      </c>
      <c r="V66" s="289">
        <f t="shared" si="161"/>
        <v>-16.50516</v>
      </c>
      <c r="W66" s="289">
        <f>S66*126.9%</f>
        <v>-9.9840097800000009</v>
      </c>
      <c r="X66" s="289">
        <f t="shared" ref="X66:Z66" si="162">T66*126.9%</f>
        <v>-17.571246570000003</v>
      </c>
      <c r="Y66" s="289">
        <f t="shared" si="162"/>
        <v>-22.776976440000002</v>
      </c>
      <c r="Z66" s="289">
        <f t="shared" si="162"/>
        <v>-20.945048040000003</v>
      </c>
      <c r="AA66" s="289">
        <f>W66*125.9%</f>
        <v>-12.569868313020002</v>
      </c>
      <c r="AB66" s="289">
        <f t="shared" ref="AB66:AD66" si="163">X66*125.9%</f>
        <v>-22.122199431630005</v>
      </c>
      <c r="AC66" s="289">
        <f t="shared" si="163"/>
        <v>-28.676213337960004</v>
      </c>
      <c r="AD66" s="289">
        <f t="shared" si="163"/>
        <v>-26.369815482360007</v>
      </c>
      <c r="AE66" s="289">
        <f>AA66*125.3%</f>
        <v>-15.750044996214061</v>
      </c>
      <c r="AF66" s="289">
        <f t="shared" ref="AF66:AH66" si="164">AB66*125.3%</f>
        <v>-27.719115887832395</v>
      </c>
      <c r="AG66" s="289">
        <f t="shared" si="164"/>
        <v>-35.931295312463881</v>
      </c>
      <c r="AH66" s="289">
        <f t="shared" si="164"/>
        <v>-33.041378799397087</v>
      </c>
      <c r="AI66" s="289">
        <f t="shared" ref="AI66" si="165">AE66*125.3%</f>
        <v>-19.734806380256217</v>
      </c>
      <c r="AJ66" s="289">
        <f t="shared" ref="AJ66" si="166">AF66*125.3%</f>
        <v>-34.732052207453989</v>
      </c>
      <c r="AK66" s="289">
        <f t="shared" ref="AK66" si="167">AG66*125.3%</f>
        <v>-45.02191302651724</v>
      </c>
      <c r="AL66" s="289">
        <f t="shared" ref="AL66" si="168">AH66*125.3%</f>
        <v>-41.400847635644546</v>
      </c>
    </row>
    <row r="67" spans="1:38">
      <c r="B67" s="287" t="s">
        <v>392</v>
      </c>
      <c r="C67" s="288"/>
      <c r="D67" s="288"/>
      <c r="E67" s="288"/>
      <c r="F67" s="288"/>
      <c r="G67" s="288">
        <f>G66/C66-1</f>
        <v>0.13394919168591235</v>
      </c>
      <c r="H67" s="288">
        <f t="shared" ref="H67:AG67" si="169">H66/D66-1</f>
        <v>0.10557184750733128</v>
      </c>
      <c r="I67" s="288">
        <f t="shared" si="169"/>
        <v>0.25571725571725579</v>
      </c>
      <c r="J67" s="288">
        <f t="shared" si="169"/>
        <v>0.33057851239669422</v>
      </c>
      <c r="K67" s="288">
        <f t="shared" si="169"/>
        <v>0.40733197556008149</v>
      </c>
      <c r="L67" s="288">
        <f t="shared" si="169"/>
        <v>1.2122015915119362</v>
      </c>
      <c r="M67" s="288">
        <f t="shared" si="169"/>
        <v>-0.13245033112582782</v>
      </c>
      <c r="N67" s="288">
        <f t="shared" si="169"/>
        <v>0.77846790890269135</v>
      </c>
      <c r="O67" s="288">
        <f t="shared" si="169"/>
        <v>-5.3545586107091148E-2</v>
      </c>
      <c r="P67" s="288">
        <f t="shared" si="169"/>
        <v>0.38009592326139097</v>
      </c>
      <c r="Q67" s="288">
        <f t="shared" si="169"/>
        <v>1.8473282442748089</v>
      </c>
      <c r="R67" s="288">
        <f t="shared" si="169"/>
        <v>0.59720605355064027</v>
      </c>
      <c r="S67" s="288">
        <f t="shared" si="169"/>
        <v>0.20300000000000007</v>
      </c>
      <c r="T67" s="288">
        <f t="shared" si="169"/>
        <v>0.20300000000000007</v>
      </c>
      <c r="U67" s="288">
        <f t="shared" si="169"/>
        <v>0.20300000000000007</v>
      </c>
      <c r="V67" s="288">
        <f t="shared" si="169"/>
        <v>0.20299999999999985</v>
      </c>
      <c r="W67" s="288">
        <f t="shared" si="169"/>
        <v>0.26900000000000013</v>
      </c>
      <c r="X67" s="288">
        <f t="shared" si="169"/>
        <v>0.26900000000000013</v>
      </c>
      <c r="Y67" s="288">
        <f t="shared" si="169"/>
        <v>0.26900000000000013</v>
      </c>
      <c r="Z67" s="288">
        <f t="shared" si="169"/>
        <v>0.26900000000000013</v>
      </c>
      <c r="AA67" s="288">
        <f t="shared" si="169"/>
        <v>0.25900000000000012</v>
      </c>
      <c r="AB67" s="288">
        <f t="shared" si="169"/>
        <v>0.25900000000000012</v>
      </c>
      <c r="AC67" s="288">
        <f t="shared" si="169"/>
        <v>0.25900000000000012</v>
      </c>
      <c r="AD67" s="288">
        <f t="shared" si="169"/>
        <v>0.25900000000000012</v>
      </c>
      <c r="AE67" s="288">
        <f t="shared" si="169"/>
        <v>0.25299999999999989</v>
      </c>
      <c r="AF67" s="288">
        <f t="shared" si="169"/>
        <v>0.25299999999999989</v>
      </c>
      <c r="AG67" s="288">
        <f t="shared" si="169"/>
        <v>0.25299999999999989</v>
      </c>
      <c r="AH67" s="288">
        <f>AH66/AD66-1</f>
        <v>0.25299999999999989</v>
      </c>
      <c r="AI67" s="288">
        <f t="shared" ref="AI67:AL67" si="170">AI66/AE66-1</f>
        <v>0.25299999999999989</v>
      </c>
      <c r="AJ67" s="288">
        <f t="shared" si="170"/>
        <v>0.25299999999999989</v>
      </c>
      <c r="AK67" s="288">
        <f t="shared" si="170"/>
        <v>0.25299999999999989</v>
      </c>
      <c r="AL67" s="288">
        <f t="shared" si="170"/>
        <v>0.25299999999999989</v>
      </c>
    </row>
    <row r="68" spans="1:38">
      <c r="B68" s="287" t="s">
        <v>347</v>
      </c>
      <c r="C68" s="288"/>
      <c r="D68" s="288">
        <f>D66/C66-1</f>
        <v>-0.21247113163972287</v>
      </c>
      <c r="E68" s="288">
        <f t="shared" ref="E68:AG68" si="171">E66/D66-1</f>
        <v>0.410557184750733</v>
      </c>
      <c r="F68" s="288">
        <f t="shared" si="171"/>
        <v>-0.24532224532224534</v>
      </c>
      <c r="G68" s="288">
        <f t="shared" si="171"/>
        <v>0.35261707988980717</v>
      </c>
      <c r="H68" s="288">
        <f t="shared" si="171"/>
        <v>-0.23217922606924646</v>
      </c>
      <c r="I68" s="288">
        <f t="shared" si="171"/>
        <v>0.60212201591511927</v>
      </c>
      <c r="J68" s="288">
        <f t="shared" si="171"/>
        <v>-0.20033112582781454</v>
      </c>
      <c r="K68" s="288">
        <f t="shared" si="171"/>
        <v>0.43064182194616984</v>
      </c>
      <c r="L68" s="288">
        <f t="shared" si="171"/>
        <v>0.20694645441389281</v>
      </c>
      <c r="M68" s="288">
        <f t="shared" si="171"/>
        <v>-0.37170263788968816</v>
      </c>
      <c r="N68" s="288">
        <f t="shared" si="171"/>
        <v>0.63931297709923651</v>
      </c>
      <c r="O68" s="288">
        <f t="shared" si="171"/>
        <v>-0.23864959254947615</v>
      </c>
      <c r="P68" s="288">
        <f t="shared" si="171"/>
        <v>0.75993883792048922</v>
      </c>
      <c r="Q68" s="288">
        <f t="shared" si="171"/>
        <v>0.29626411815812337</v>
      </c>
      <c r="R68" s="288">
        <f t="shared" si="171"/>
        <v>-8.0428954423592436E-2</v>
      </c>
      <c r="S68" s="288">
        <f t="shared" si="171"/>
        <v>-0.42655830903790082</v>
      </c>
      <c r="T68" s="288">
        <f t="shared" si="171"/>
        <v>0.75993883792048944</v>
      </c>
      <c r="U68" s="288">
        <f t="shared" si="171"/>
        <v>0.29626411815812315</v>
      </c>
      <c r="V68" s="288">
        <f t="shared" si="171"/>
        <v>-8.0428954423592547E-2</v>
      </c>
      <c r="W68" s="288">
        <f t="shared" si="171"/>
        <v>-0.39509766763848386</v>
      </c>
      <c r="X68" s="288">
        <f t="shared" si="171"/>
        <v>0.75993883792048944</v>
      </c>
      <c r="Y68" s="288">
        <f t="shared" si="171"/>
        <v>0.29626411815812337</v>
      </c>
      <c r="Z68" s="288">
        <f t="shared" si="171"/>
        <v>-8.0428954423592436E-2</v>
      </c>
      <c r="AA68" s="288">
        <f t="shared" si="171"/>
        <v>-0.39986443148688045</v>
      </c>
      <c r="AB68" s="288">
        <f t="shared" si="171"/>
        <v>0.75993883792048944</v>
      </c>
      <c r="AC68" s="288">
        <f t="shared" si="171"/>
        <v>0.29626411815812337</v>
      </c>
      <c r="AD68" s="288">
        <f t="shared" si="171"/>
        <v>-8.0428954423592325E-2</v>
      </c>
      <c r="AE68" s="288">
        <f t="shared" si="171"/>
        <v>-0.40272448979591846</v>
      </c>
      <c r="AF68" s="288">
        <f t="shared" si="171"/>
        <v>0.75993883792048944</v>
      </c>
      <c r="AG68" s="288">
        <f t="shared" si="171"/>
        <v>0.29626411815812315</v>
      </c>
      <c r="AH68" s="288">
        <f>AH66/AG66-1</f>
        <v>-8.0428954423592325E-2</v>
      </c>
      <c r="AI68" s="288">
        <f t="shared" ref="AI68:AL68" si="172">AI66/AH66-1</f>
        <v>-0.40272448979591846</v>
      </c>
      <c r="AJ68" s="288">
        <f t="shared" si="172"/>
        <v>0.75993883792048966</v>
      </c>
      <c r="AK68" s="288">
        <f t="shared" si="172"/>
        <v>0.29626411815812315</v>
      </c>
      <c r="AL68" s="288">
        <f t="shared" si="172"/>
        <v>-8.0428954423592325E-2</v>
      </c>
    </row>
    <row r="69" spans="1:38">
      <c r="B69" s="287" t="s">
        <v>351</v>
      </c>
      <c r="C69" s="288">
        <f t="shared" ref="C69:AH69" si="173">C66/C3</f>
        <v>-1.9331220143756416E-2</v>
      </c>
      <c r="D69" s="288">
        <f t="shared" si="173"/>
        <v>-1.4554611805881603E-2</v>
      </c>
      <c r="E69" s="288">
        <f t="shared" si="173"/>
        <v>-1.8086786493193951E-2</v>
      </c>
      <c r="F69" s="288">
        <f t="shared" si="173"/>
        <v>-1.1924706809894551E-2</v>
      </c>
      <c r="G69" s="288">
        <f t="shared" si="173"/>
        <v>-1.5346147835599313E-2</v>
      </c>
      <c r="H69" s="288">
        <f t="shared" si="173"/>
        <v>-1.0562887002325515E-2</v>
      </c>
      <c r="I69" s="288">
        <f t="shared" si="173"/>
        <v>-1.4954937110032684E-2</v>
      </c>
      <c r="J69" s="288">
        <f t="shared" si="173"/>
        <v>-1.1011307678278315E-2</v>
      </c>
      <c r="K69" s="288">
        <f t="shared" si="173"/>
        <v>-1.3944946722634808E-2</v>
      </c>
      <c r="L69" s="288">
        <f t="shared" si="173"/>
        <v>-1.4733420485460903E-2</v>
      </c>
      <c r="M69" s="288">
        <f t="shared" si="173"/>
        <v>-8.0355773654347505E-3</v>
      </c>
      <c r="N69" s="288">
        <f t="shared" si="173"/>
        <v>-1.293830581997831E-2</v>
      </c>
      <c r="O69" s="288">
        <f t="shared" si="173"/>
        <v>-8.8945707757588956E-3</v>
      </c>
      <c r="P69" s="288">
        <f t="shared" si="173"/>
        <v>-1.5622667119104174E-2</v>
      </c>
      <c r="Q69" s="288">
        <f t="shared" si="173"/>
        <v>-1.8512314659718344E-2</v>
      </c>
      <c r="R69" s="288">
        <f t="shared" si="173"/>
        <v>-1.6160949868073878E-2</v>
      </c>
      <c r="S69" s="288">
        <f t="shared" ca="1" si="173"/>
        <v>-9.0750505001938528E-3</v>
      </c>
      <c r="T69" s="288">
        <f t="shared" ca="1" si="173"/>
        <v>-1.4870594401638213E-2</v>
      </c>
      <c r="U69" s="288">
        <f t="shared" ca="1" si="173"/>
        <v>-1.7735998042480616E-2</v>
      </c>
      <c r="V69" s="288">
        <f t="shared" ca="1" si="173"/>
        <v>-1.5427480639396113E-2</v>
      </c>
      <c r="W69" s="288">
        <f t="shared" ca="1" si="173"/>
        <v>-9.3341610892191847E-3</v>
      </c>
      <c r="X69" s="288">
        <f t="shared" ca="1" si="173"/>
        <v>-1.5410072231386017E-2</v>
      </c>
      <c r="Y69" s="288">
        <f t="shared" ca="1" si="173"/>
        <v>-1.8529566418006148E-2</v>
      </c>
      <c r="Z69" s="288">
        <f t="shared" ca="1" si="173"/>
        <v>-1.622908030372382E-2</v>
      </c>
      <c r="AA69" s="288">
        <f t="shared" ca="1" si="173"/>
        <v>-9.8673699744480977E-3</v>
      </c>
      <c r="AB69" s="288">
        <f t="shared" ca="1" si="173"/>
        <v>-1.6341588102386787E-2</v>
      </c>
      <c r="AC69" s="288">
        <f t="shared" ca="1" si="173"/>
        <v>-1.9623187571534511E-2</v>
      </c>
      <c r="AD69" s="288">
        <f t="shared" ca="1" si="173"/>
        <v>-1.7163838229500773E-2</v>
      </c>
      <c r="AE69" s="288">
        <f t="shared" ca="1" si="173"/>
        <v>-1.048612942884479E-2</v>
      </c>
      <c r="AF69" s="288">
        <f t="shared" ca="1" si="173"/>
        <v>-1.7394827370134112E-2</v>
      </c>
      <c r="AG69" s="288">
        <f t="shared" ca="1" si="173"/>
        <v>-2.0879508457831562E-2</v>
      </c>
      <c r="AH69" s="288">
        <f t="shared" ca="1" si="173"/>
        <v>-1.8231493042415954E-2</v>
      </c>
      <c r="AI69" s="288">
        <f t="shared" ref="AI69:AL69" ca="1" si="174">AI66/AI3</f>
        <v>-1.1232683984641794E-2</v>
      </c>
      <c r="AJ69" s="288">
        <f t="shared" ca="1" si="174"/>
        <v>-1.8647799292212601E-2</v>
      </c>
      <c r="AK69" s="288">
        <f t="shared" ca="1" si="174"/>
        <v>-2.2373513522195763E-2</v>
      </c>
      <c r="AL69" s="288">
        <f t="shared" ca="1" si="174"/>
        <v>-1.9460002198514639E-2</v>
      </c>
    </row>
    <row r="70" spans="1:38">
      <c r="B70" s="548" t="s">
        <v>459</v>
      </c>
      <c r="C70" s="283">
        <v>-3.1</v>
      </c>
      <c r="D70" s="283">
        <v>-4.5199999999999996</v>
      </c>
      <c r="E70" s="283">
        <v>-7.02</v>
      </c>
      <c r="F70" s="283">
        <v>-13.29</v>
      </c>
      <c r="G70" s="283">
        <v>-10.89</v>
      </c>
      <c r="H70" s="283">
        <v>-2.92</v>
      </c>
      <c r="I70" s="283">
        <v>-6.19</v>
      </c>
      <c r="J70" s="283">
        <v>-5.22</v>
      </c>
      <c r="K70" s="283">
        <v>-3.75</v>
      </c>
      <c r="L70" s="283">
        <v>4.9800000000000004</v>
      </c>
      <c r="M70" s="283">
        <v>8.18</v>
      </c>
      <c r="N70" s="283">
        <v>-1.2</v>
      </c>
      <c r="O70" s="283">
        <v>-3.19</v>
      </c>
      <c r="P70" s="283">
        <v>15.26</v>
      </c>
      <c r="Q70" s="289">
        <v>2.64</v>
      </c>
      <c r="R70" s="289">
        <v>0.16</v>
      </c>
      <c r="S70" s="289">
        <f t="shared" ref="S70:AH70" ca="1" si="175">S73*S3</f>
        <v>3.4678021901175931</v>
      </c>
      <c r="T70" s="289">
        <f t="shared" ca="1" si="175"/>
        <v>3.7245397530241573</v>
      </c>
      <c r="U70" s="289">
        <f t="shared" ca="1" si="175"/>
        <v>4.0479842086156719</v>
      </c>
      <c r="V70" s="289">
        <f t="shared" ca="1" si="175"/>
        <v>4.27941810741331</v>
      </c>
      <c r="W70" s="289">
        <f t="shared" ca="1" si="175"/>
        <v>3.7436716482598356</v>
      </c>
      <c r="X70" s="289">
        <f t="shared" ca="1" si="175"/>
        <v>3.9908549467888261</v>
      </c>
      <c r="Y70" s="289">
        <f t="shared" ca="1" si="175"/>
        <v>4.3022818635698075</v>
      </c>
      <c r="Z70" s="289">
        <f t="shared" ca="1" si="175"/>
        <v>4.5170562205659497</v>
      </c>
      <c r="AA70" s="289">
        <f t="shared" ca="1" si="175"/>
        <v>4.2038117087310392</v>
      </c>
      <c r="AB70" s="289">
        <f t="shared" ca="1" si="175"/>
        <v>4.4673294704886395</v>
      </c>
      <c r="AC70" s="289">
        <f t="shared" ca="1" si="175"/>
        <v>4.8224328320920158</v>
      </c>
      <c r="AD70" s="289">
        <f t="shared" ca="1" si="175"/>
        <v>5.069984343141825</v>
      </c>
      <c r="AE70" s="289">
        <f t="shared" ca="1" si="175"/>
        <v>4.5059652667140044</v>
      </c>
      <c r="AF70" s="289">
        <f t="shared" ca="1" si="175"/>
        <v>4.7805790706651914</v>
      </c>
      <c r="AG70" s="289">
        <f t="shared" ca="1" si="175"/>
        <v>5.1626639657295152</v>
      </c>
      <c r="AH70" s="289">
        <f t="shared" ca="1" si="175"/>
        <v>5.436973053582439</v>
      </c>
      <c r="AI70" s="289">
        <f t="shared" ref="AI70:AL70" ca="1" si="176">AI73*AI3</f>
        <v>4.5679640466002516</v>
      </c>
      <c r="AJ70" s="289">
        <f t="shared" ca="1" si="176"/>
        <v>4.8425733419970589</v>
      </c>
      <c r="AK70" s="289">
        <f t="shared" ca="1" si="176"/>
        <v>5.2319441804622153</v>
      </c>
      <c r="AL70" s="289">
        <f t="shared" ca="1" si="176"/>
        <v>5.5314589769620897</v>
      </c>
    </row>
    <row r="71" spans="1:38">
      <c r="B71" s="287" t="s">
        <v>460</v>
      </c>
      <c r="C71" s="288"/>
      <c r="D71" s="288"/>
      <c r="E71" s="288"/>
      <c r="F71" s="288"/>
      <c r="G71" s="288">
        <f>G70/C70-1</f>
        <v>2.5129032258064519</v>
      </c>
      <c r="H71" s="288">
        <f t="shared" ref="H71:AG71" si="177">H70/D70-1</f>
        <v>-0.35398230088495575</v>
      </c>
      <c r="I71" s="288">
        <f t="shared" si="177"/>
        <v>-0.11823361823361811</v>
      </c>
      <c r="J71" s="288">
        <f t="shared" si="177"/>
        <v>-0.60722347629796847</v>
      </c>
      <c r="K71" s="288">
        <f t="shared" si="177"/>
        <v>-0.65564738292011016</v>
      </c>
      <c r="L71" s="288">
        <f t="shared" si="177"/>
        <v>-2.7054794520547949</v>
      </c>
      <c r="M71" s="288">
        <f t="shared" si="177"/>
        <v>-2.3214862681744748</v>
      </c>
      <c r="N71" s="288">
        <f t="shared" si="177"/>
        <v>-0.77011494252873569</v>
      </c>
      <c r="O71" s="288">
        <f t="shared" si="177"/>
        <v>-0.14933333333333332</v>
      </c>
      <c r="P71" s="288">
        <f t="shared" si="177"/>
        <v>2.0642570281124497</v>
      </c>
      <c r="Q71" s="288">
        <f t="shared" si="177"/>
        <v>-0.6772616136919315</v>
      </c>
      <c r="R71" s="288">
        <f t="shared" si="177"/>
        <v>-1.1333333333333333</v>
      </c>
      <c r="S71" s="288">
        <f t="shared" ca="1" si="177"/>
        <v>-2.0870853260556719</v>
      </c>
      <c r="T71" s="288">
        <f t="shared" ca="1" si="177"/>
        <v>-0.75592793230510114</v>
      </c>
      <c r="U71" s="288">
        <f t="shared" ca="1" si="177"/>
        <v>0.53332735174836055</v>
      </c>
      <c r="V71" s="288">
        <f t="shared" ca="1" si="177"/>
        <v>25.746363171333186</v>
      </c>
      <c r="W71" s="288">
        <f t="shared" ca="1" si="177"/>
        <v>7.9551670775341421E-2</v>
      </c>
      <c r="X71" s="288">
        <f t="shared" ca="1" si="177"/>
        <v>7.1502846371402695E-2</v>
      </c>
      <c r="Y71" s="288">
        <f t="shared" ca="1" si="177"/>
        <v>6.282081200141354E-2</v>
      </c>
      <c r="Z71" s="288">
        <f t="shared" ca="1" si="177"/>
        <v>5.5530473346592446E-2</v>
      </c>
      <c r="AA71" s="288">
        <f t="shared" ca="1" si="177"/>
        <v>0.1229114366066506</v>
      </c>
      <c r="AB71" s="288">
        <f t="shared" ca="1" si="177"/>
        <v>0.11939159153935197</v>
      </c>
      <c r="AC71" s="288">
        <f t="shared" ca="1" si="177"/>
        <v>0.12090118337588751</v>
      </c>
      <c r="AD71" s="288">
        <f t="shared" ca="1" si="177"/>
        <v>0.12240895299430177</v>
      </c>
      <c r="AE71" s="288">
        <f t="shared" ca="1" si="177"/>
        <v>7.187609220351443E-2</v>
      </c>
      <c r="AF71" s="288">
        <f t="shared" ca="1" si="177"/>
        <v>7.01201024562641E-2</v>
      </c>
      <c r="AG71" s="288">
        <f t="shared" ca="1" si="177"/>
        <v>7.0551762042874167E-2</v>
      </c>
      <c r="AH71" s="288">
        <f ca="1">AH70/AD70-1</f>
        <v>7.2384584567216637E-2</v>
      </c>
      <c r="AI71" s="288">
        <f t="shared" ref="AI71:AL71" ca="1" si="178">AI70/AE70-1</f>
        <v>1.3759267152864574E-2</v>
      </c>
      <c r="AJ71" s="288">
        <f t="shared" ca="1" si="178"/>
        <v>1.2967941836226515E-2</v>
      </c>
      <c r="AK71" s="288">
        <f t="shared" ca="1" si="178"/>
        <v>1.3419470101597053E-2</v>
      </c>
      <c r="AL71" s="288">
        <f t="shared" ca="1" si="178"/>
        <v>1.7378405676922393E-2</v>
      </c>
    </row>
    <row r="72" spans="1:38" s="285" customFormat="1">
      <c r="A72" s="283"/>
      <c r="B72" s="287" t="s">
        <v>347</v>
      </c>
      <c r="C72" s="288"/>
      <c r="D72" s="288">
        <f>D70/C70-1</f>
        <v>0.45806451612903198</v>
      </c>
      <c r="E72" s="288">
        <f t="shared" ref="E72:AG72" si="179">E70/D70-1</f>
        <v>0.55309734513274345</v>
      </c>
      <c r="F72" s="288">
        <f t="shared" si="179"/>
        <v>0.8931623931623931</v>
      </c>
      <c r="G72" s="288">
        <f t="shared" si="179"/>
        <v>-0.1805869074492098</v>
      </c>
      <c r="H72" s="288">
        <f t="shared" si="179"/>
        <v>-0.73186409550045917</v>
      </c>
      <c r="I72" s="288">
        <f t="shared" si="179"/>
        <v>1.1198630136986303</v>
      </c>
      <c r="J72" s="288">
        <f t="shared" si="179"/>
        <v>-0.15670436187399039</v>
      </c>
      <c r="K72" s="288">
        <f t="shared" si="179"/>
        <v>-0.28160919540229878</v>
      </c>
      <c r="L72" s="288">
        <f t="shared" si="179"/>
        <v>-2.3280000000000003</v>
      </c>
      <c r="M72" s="288">
        <f t="shared" si="179"/>
        <v>0.64257028112449777</v>
      </c>
      <c r="N72" s="288">
        <f t="shared" si="179"/>
        <v>-1.1466992665036675</v>
      </c>
      <c r="O72" s="288">
        <f t="shared" si="179"/>
        <v>1.6583333333333332</v>
      </c>
      <c r="P72" s="288">
        <f t="shared" si="179"/>
        <v>-5.7836990595611288</v>
      </c>
      <c r="Q72" s="288">
        <f t="shared" si="179"/>
        <v>-0.82699868938401044</v>
      </c>
      <c r="R72" s="288">
        <f t="shared" si="179"/>
        <v>-0.93939393939393945</v>
      </c>
      <c r="S72" s="288">
        <f t="shared" ca="1" si="179"/>
        <v>20.673763688234956</v>
      </c>
      <c r="T72" s="288">
        <f t="shared" ca="1" si="179"/>
        <v>7.4034661964919701E-2</v>
      </c>
      <c r="U72" s="288">
        <f t="shared" ca="1" si="179"/>
        <v>8.6841456136665496E-2</v>
      </c>
      <c r="V72" s="288">
        <f t="shared" ca="1" si="179"/>
        <v>5.7172628861806629E-2</v>
      </c>
      <c r="W72" s="288">
        <f t="shared" ca="1" si="179"/>
        <v>-0.12519142689642582</v>
      </c>
      <c r="X72" s="288">
        <f t="shared" ca="1" si="179"/>
        <v>6.6026970779846206E-2</v>
      </c>
      <c r="Y72" s="288">
        <f t="shared" ca="1" si="179"/>
        <v>7.8035138067737986E-2</v>
      </c>
      <c r="Z72" s="288">
        <f t="shared" ca="1" si="179"/>
        <v>4.992103349033794E-2</v>
      </c>
      <c r="AA72" s="288">
        <f t="shared" ca="1" si="179"/>
        <v>-6.9347047399747397E-2</v>
      </c>
      <c r="AB72" s="288">
        <f t="shared" ca="1" si="179"/>
        <v>6.2685434081239055E-2</v>
      </c>
      <c r="AC72" s="288">
        <f t="shared" ca="1" si="179"/>
        <v>7.9488957317610742E-2</v>
      </c>
      <c r="AD72" s="288">
        <f t="shared" ca="1" si="179"/>
        <v>5.1333324831902116E-2</v>
      </c>
      <c r="AE72" s="288">
        <f t="shared" ca="1" si="179"/>
        <v>-0.11124670970449246</v>
      </c>
      <c r="AF72" s="288">
        <f t="shared" ca="1" si="179"/>
        <v>6.0944500833103543E-2</v>
      </c>
      <c r="AG72" s="288">
        <f t="shared" ca="1" si="179"/>
        <v>7.9924396065089942E-2</v>
      </c>
      <c r="AH72" s="288">
        <f ca="1">AH70/AG70-1</f>
        <v>5.3133244711223826E-2</v>
      </c>
      <c r="AI72" s="288">
        <f t="shared" ref="AI72:AL72" ca="1" si="180">AI70/AH70-1</f>
        <v>-0.15983323779940284</v>
      </c>
      <c r="AJ72" s="288">
        <f t="shared" ca="1" si="180"/>
        <v>6.0116343429013508E-2</v>
      </c>
      <c r="AK72" s="288">
        <f t="shared" ca="1" si="180"/>
        <v>8.040577002486482E-2</v>
      </c>
      <c r="AL72" s="288">
        <f t="shared" ca="1" si="180"/>
        <v>5.7247322633593889E-2</v>
      </c>
    </row>
    <row r="73" spans="1:38">
      <c r="B73" s="287" t="s">
        <v>351</v>
      </c>
      <c r="C73" s="288">
        <f t="shared" ref="C73:R73" si="181">C70/C3</f>
        <v>-1.3839903567123533E-2</v>
      </c>
      <c r="D73" s="288">
        <f t="shared" si="181"/>
        <v>-1.9292330018353326E-2</v>
      </c>
      <c r="E73" s="288">
        <f t="shared" si="181"/>
        <v>-2.6396931638715499E-2</v>
      </c>
      <c r="F73" s="288">
        <f t="shared" si="181"/>
        <v>-4.3658224105646994E-2</v>
      </c>
      <c r="G73" s="288">
        <f t="shared" si="181"/>
        <v>-3.4036568213783404E-2</v>
      </c>
      <c r="H73" s="288">
        <f t="shared" si="181"/>
        <v>-8.1813342299179061E-3</v>
      </c>
      <c r="I73" s="288">
        <f t="shared" si="181"/>
        <v>-1.5326334554818265E-2</v>
      </c>
      <c r="J73" s="288">
        <f t="shared" si="181"/>
        <v>-1.1900419478387743E-2</v>
      </c>
      <c r="K73" s="288">
        <f t="shared" si="181"/>
        <v>-7.5678075556990633E-3</v>
      </c>
      <c r="L73" s="288">
        <f t="shared" si="181"/>
        <v>8.7976539589442806E-3</v>
      </c>
      <c r="M73" s="288">
        <f t="shared" si="181"/>
        <v>1.2544088330010736E-2</v>
      </c>
      <c r="N73" s="288">
        <f t="shared" si="181"/>
        <v>-1.8074466803229302E-3</v>
      </c>
      <c r="O73" s="288">
        <f t="shared" si="181"/>
        <v>-4.3384832988793386E-3</v>
      </c>
      <c r="P73" s="288">
        <f t="shared" si="181"/>
        <v>2.0712589073634203E-2</v>
      </c>
      <c r="Q73" s="288">
        <f t="shared" si="181"/>
        <v>3.2756374464917178E-3</v>
      </c>
      <c r="R73" s="288">
        <f t="shared" si="181"/>
        <v>1.8846588767433095E-4</v>
      </c>
      <c r="S73" s="274">
        <v>4.0000000000000001E-3</v>
      </c>
      <c r="T73" s="274">
        <v>4.0000000000000001E-3</v>
      </c>
      <c r="U73" s="274">
        <v>4.0000000000000001E-3</v>
      </c>
      <c r="V73" s="274">
        <v>4.0000000000000001E-3</v>
      </c>
      <c r="W73" s="274">
        <v>3.5000000000000001E-3</v>
      </c>
      <c r="X73" s="274">
        <v>3.5000000000000001E-3</v>
      </c>
      <c r="Y73" s="274">
        <v>3.5000000000000001E-3</v>
      </c>
      <c r="Z73" s="274">
        <v>3.5000000000000001E-3</v>
      </c>
      <c r="AA73" s="274">
        <v>3.3E-3</v>
      </c>
      <c r="AB73" s="274">
        <v>3.3E-3</v>
      </c>
      <c r="AC73" s="274">
        <v>3.3E-3</v>
      </c>
      <c r="AD73" s="274">
        <v>3.3E-3</v>
      </c>
      <c r="AE73" s="274">
        <v>3.0000000000000001E-3</v>
      </c>
      <c r="AF73" s="274">
        <v>3.0000000000000001E-3</v>
      </c>
      <c r="AG73" s="274">
        <v>3.0000000000000001E-3</v>
      </c>
      <c r="AH73" s="274">
        <v>3.0000000000000001E-3</v>
      </c>
      <c r="AI73" s="274">
        <v>2.5999999999999999E-3</v>
      </c>
      <c r="AJ73" s="274">
        <v>2.5999999999999999E-3</v>
      </c>
      <c r="AK73" s="274">
        <v>2.5999999999999999E-3</v>
      </c>
      <c r="AL73" s="274">
        <v>2.5999999999999999E-3</v>
      </c>
    </row>
    <row r="74" spans="1:38">
      <c r="B74" s="295" t="s">
        <v>461</v>
      </c>
      <c r="C74" s="298">
        <f t="shared" ref="C74:AH74" si="182">C62+C66+C70</f>
        <v>86.290000000000035</v>
      </c>
      <c r="D74" s="298">
        <f t="shared" si="182"/>
        <v>92.429999999999964</v>
      </c>
      <c r="E74" s="298">
        <f t="shared" si="182"/>
        <v>91.48</v>
      </c>
      <c r="F74" s="298">
        <f t="shared" si="182"/>
        <v>91.95999999999998</v>
      </c>
      <c r="G74" s="298">
        <f t="shared" si="182"/>
        <v>118.22821</v>
      </c>
      <c r="H74" s="298">
        <f t="shared" si="182"/>
        <v>136.60330000000005</v>
      </c>
      <c r="I74" s="298">
        <f t="shared" si="182"/>
        <v>132.51171000000005</v>
      </c>
      <c r="J74" s="298">
        <f t="shared" si="182"/>
        <v>129.12459999999999</v>
      </c>
      <c r="K74" s="298">
        <f t="shared" si="182"/>
        <v>181.95560000000003</v>
      </c>
      <c r="L74" s="298">
        <f t="shared" si="182"/>
        <v>222.19664</v>
      </c>
      <c r="M74" s="298">
        <f t="shared" si="182"/>
        <v>230.4445399999999</v>
      </c>
      <c r="N74" s="298">
        <f t="shared" si="182"/>
        <v>247.48015000000007</v>
      </c>
      <c r="O74" s="298">
        <f t="shared" si="182"/>
        <v>297.39456999999993</v>
      </c>
      <c r="P74" s="298">
        <f t="shared" si="182"/>
        <v>221.85644000000002</v>
      </c>
      <c r="Q74" s="298">
        <f t="shared" si="182"/>
        <v>266.33000000000004</v>
      </c>
      <c r="R74" s="298">
        <f t="shared" si="182"/>
        <v>159.32000000000005</v>
      </c>
      <c r="S74" s="298">
        <f t="shared" ca="1" si="182"/>
        <v>200.03897034910614</v>
      </c>
      <c r="T74" s="298">
        <f t="shared" ca="1" si="182"/>
        <v>205.75398616734904</v>
      </c>
      <c r="U74" s="298">
        <f t="shared" ca="1" si="182"/>
        <v>216.75761108597712</v>
      </c>
      <c r="V74" s="298">
        <f t="shared" ca="1" si="182"/>
        <v>222.94779423298533</v>
      </c>
      <c r="W74" s="298">
        <f t="shared" ca="1" si="182"/>
        <v>234.84663542878411</v>
      </c>
      <c r="X74" s="298">
        <f t="shared" ca="1" si="182"/>
        <v>241.29161900774173</v>
      </c>
      <c r="Y74" s="298">
        <f t="shared" ca="1" si="182"/>
        <v>255.80135065624125</v>
      </c>
      <c r="Z74" s="298">
        <f t="shared" ca="1" si="182"/>
        <v>265.55621266283231</v>
      </c>
      <c r="AA74" s="298">
        <f t="shared" ca="1" si="182"/>
        <v>275.74716104387585</v>
      </c>
      <c r="AB74" s="298">
        <f t="shared" ca="1" si="182"/>
        <v>284.18288501586187</v>
      </c>
      <c r="AC74" s="298">
        <f t="shared" ca="1" si="182"/>
        <v>302.0708369141326</v>
      </c>
      <c r="AD74" s="298">
        <f t="shared" ca="1" si="182"/>
        <v>317.60012911302448</v>
      </c>
      <c r="AE74" s="298">
        <f t="shared" ca="1" si="182"/>
        <v>326.00228139489599</v>
      </c>
      <c r="AF74" s="298">
        <f t="shared" ca="1" si="182"/>
        <v>335.565994306525</v>
      </c>
      <c r="AG74" s="298">
        <f t="shared" ca="1" si="182"/>
        <v>356.99094248136834</v>
      </c>
      <c r="AH74" s="298">
        <f t="shared" ca="1" si="182"/>
        <v>377.29118004920355</v>
      </c>
      <c r="AI74" s="298">
        <f t="shared" ref="AI74:AL74" ca="1" si="183">AI62+AI66+AI70</f>
        <v>383.36419601566047</v>
      </c>
      <c r="AJ74" s="298">
        <f t="shared" ca="1" si="183"/>
        <v>393.6070545620363</v>
      </c>
      <c r="AK74" s="298">
        <f t="shared" ca="1" si="183"/>
        <v>418.6129644577382</v>
      </c>
      <c r="AL74" s="298">
        <f t="shared" ca="1" si="183"/>
        <v>445.37730886087047</v>
      </c>
    </row>
    <row r="75" spans="1:38">
      <c r="B75" s="287" t="s">
        <v>392</v>
      </c>
      <c r="C75" s="288"/>
      <c r="D75" s="288"/>
      <c r="E75" s="288"/>
      <c r="F75" s="288"/>
      <c r="G75" s="288">
        <f>G74/C74-1</f>
        <v>0.37012643411751012</v>
      </c>
      <c r="H75" s="288">
        <f t="shared" ref="H75:AG75" si="184">H74/D74-1</f>
        <v>0.47791085145515644</v>
      </c>
      <c r="I75" s="288">
        <f t="shared" si="184"/>
        <v>0.44853202885876753</v>
      </c>
      <c r="J75" s="288">
        <f t="shared" si="184"/>
        <v>0.40413875598086135</v>
      </c>
      <c r="K75" s="288">
        <f t="shared" si="184"/>
        <v>0.53902017124339463</v>
      </c>
      <c r="L75" s="288">
        <f t="shared" si="184"/>
        <v>0.62658325238116452</v>
      </c>
      <c r="M75" s="288">
        <f t="shared" si="184"/>
        <v>0.73905038279258362</v>
      </c>
      <c r="N75" s="288">
        <f t="shared" si="184"/>
        <v>0.91659954803345056</v>
      </c>
      <c r="O75" s="288">
        <f t="shared" si="184"/>
        <v>0.63443482915612304</v>
      </c>
      <c r="P75" s="288">
        <f t="shared" si="184"/>
        <v>-1.5310762574987091E-3</v>
      </c>
      <c r="Q75" s="288">
        <f t="shared" si="184"/>
        <v>0.15572276088641601</v>
      </c>
      <c r="R75" s="288">
        <f t="shared" si="184"/>
        <v>-0.35623119672426251</v>
      </c>
      <c r="S75" s="288">
        <f t="shared" ca="1" si="184"/>
        <v>-0.32736172570633626</v>
      </c>
      <c r="T75" s="288">
        <f t="shared" ca="1" si="184"/>
        <v>-7.2580511220007748E-2</v>
      </c>
      <c r="U75" s="288">
        <f t="shared" ca="1" si="184"/>
        <v>-0.1861314493824312</v>
      </c>
      <c r="V75" s="288">
        <f t="shared" ca="1" si="184"/>
        <v>0.39937104087989739</v>
      </c>
      <c r="W75" s="288">
        <f t="shared" ca="1" si="184"/>
        <v>0.17400442033335795</v>
      </c>
      <c r="X75" s="288">
        <f t="shared" ca="1" si="184"/>
        <v>0.17271904910502345</v>
      </c>
      <c r="Y75" s="288">
        <f t="shared" ca="1" si="184"/>
        <v>0.18012626811419041</v>
      </c>
      <c r="Z75" s="288">
        <f t="shared" ca="1" si="184"/>
        <v>0.19111388195803469</v>
      </c>
      <c r="AA75" s="288">
        <f t="shared" ca="1" si="184"/>
        <v>0.17415844830144311</v>
      </c>
      <c r="AB75" s="288">
        <f t="shared" ca="1" si="184"/>
        <v>0.17775696555272402</v>
      </c>
      <c r="AC75" s="288">
        <f t="shared" ca="1" si="184"/>
        <v>0.18088053929031278</v>
      </c>
      <c r="AD75" s="288">
        <f t="shared" ca="1" si="184"/>
        <v>0.19598079038832572</v>
      </c>
      <c r="AE75" s="288">
        <f t="shared" ca="1" si="184"/>
        <v>0.18225072621155203</v>
      </c>
      <c r="AF75" s="288">
        <f t="shared" ca="1" si="184"/>
        <v>0.18081000651321832</v>
      </c>
      <c r="AG75" s="288">
        <f t="shared" ca="1" si="184"/>
        <v>0.18181200849536983</v>
      </c>
      <c r="AH75" s="288">
        <f ca="1">AH74/AD74-1</f>
        <v>0.18794403863399189</v>
      </c>
      <c r="AI75" s="288">
        <f t="shared" ref="AI75:AL75" ca="1" si="185">AI74/AE74-1</f>
        <v>0.1759555619528943</v>
      </c>
      <c r="AJ75" s="288">
        <f t="shared" ca="1" si="185"/>
        <v>0.17296466638539454</v>
      </c>
      <c r="AK75" s="288">
        <f t="shared" ca="1" si="185"/>
        <v>0.17261508526812541</v>
      </c>
      <c r="AL75" s="288">
        <f t="shared" ca="1" si="185"/>
        <v>0.18046043059577399</v>
      </c>
    </row>
    <row r="76" spans="1:38">
      <c r="B76" s="287" t="s">
        <v>347</v>
      </c>
      <c r="C76" s="288"/>
      <c r="D76" s="288">
        <f>D74/C74-1</f>
        <v>7.1155406188433412E-2</v>
      </c>
      <c r="E76" s="288">
        <f t="shared" ref="E76:AG76" si="186">E74/D74-1</f>
        <v>-1.0278048252731375E-2</v>
      </c>
      <c r="F76" s="288">
        <f t="shared" si="186"/>
        <v>5.2470485351987506E-3</v>
      </c>
      <c r="G76" s="288">
        <f t="shared" si="186"/>
        <v>0.28564821661592021</v>
      </c>
      <c r="H76" s="288">
        <f t="shared" si="186"/>
        <v>0.15542052104146764</v>
      </c>
      <c r="I76" s="288">
        <f t="shared" si="186"/>
        <v>-2.9952351077902173E-2</v>
      </c>
      <c r="J76" s="288">
        <f t="shared" si="186"/>
        <v>-2.5560835340514898E-2</v>
      </c>
      <c r="K76" s="288">
        <f t="shared" si="186"/>
        <v>0.40914744363196509</v>
      </c>
      <c r="L76" s="288">
        <f t="shared" si="186"/>
        <v>0.2211585683540378</v>
      </c>
      <c r="M76" s="288">
        <f t="shared" si="186"/>
        <v>3.7119823234050164E-2</v>
      </c>
      <c r="N76" s="288">
        <f t="shared" si="186"/>
        <v>7.3924988632840583E-2</v>
      </c>
      <c r="O76" s="288">
        <f t="shared" si="186"/>
        <v>0.20169060023601837</v>
      </c>
      <c r="P76" s="288">
        <f t="shared" si="186"/>
        <v>-0.25399969474896578</v>
      </c>
      <c r="Q76" s="288">
        <f t="shared" si="186"/>
        <v>0.20046098278688684</v>
      </c>
      <c r="R76" s="288">
        <f t="shared" si="186"/>
        <v>-0.40179476589193852</v>
      </c>
      <c r="S76" s="288">
        <f t="shared" ca="1" si="186"/>
        <v>0.25557977874156457</v>
      </c>
      <c r="T76" s="288">
        <f t="shared" ca="1" si="186"/>
        <v>2.8569512271879427E-2</v>
      </c>
      <c r="U76" s="288">
        <f t="shared" ca="1" si="186"/>
        <v>5.3479522431601145E-2</v>
      </c>
      <c r="V76" s="288">
        <f t="shared" ca="1" si="186"/>
        <v>2.8558088991638142E-2</v>
      </c>
      <c r="W76" s="288">
        <f t="shared" ca="1" si="186"/>
        <v>5.3370526659547224E-2</v>
      </c>
      <c r="X76" s="288">
        <f t="shared" ca="1" si="186"/>
        <v>2.7443371999732236E-2</v>
      </c>
      <c r="Y76" s="288">
        <f t="shared" ca="1" si="186"/>
        <v>6.0133591494671901E-2</v>
      </c>
      <c r="Z76" s="288">
        <f t="shared" ca="1" si="186"/>
        <v>3.8134521110094299E-2</v>
      </c>
      <c r="AA76" s="288">
        <f t="shared" ca="1" si="186"/>
        <v>3.837586128697601E-2</v>
      </c>
      <c r="AB76" s="288">
        <f t="shared" ca="1" si="186"/>
        <v>3.0592242328267405E-2</v>
      </c>
      <c r="AC76" s="288">
        <f t="shared" ca="1" si="186"/>
        <v>6.294521183875057E-2</v>
      </c>
      <c r="AD76" s="288">
        <f t="shared" ca="1" si="186"/>
        <v>5.1409438784407735E-2</v>
      </c>
      <c r="AE76" s="288">
        <f t="shared" ca="1" si="186"/>
        <v>2.6455128671819317E-2</v>
      </c>
      <c r="AF76" s="288">
        <f t="shared" ca="1" si="186"/>
        <v>2.9336337373799592E-2</v>
      </c>
      <c r="AG76" s="288">
        <f t="shared" ca="1" si="186"/>
        <v>6.3847197088965357E-2</v>
      </c>
      <c r="AH76" s="288">
        <f ca="1">AH74/AG74-1</f>
        <v>5.6864853283762784E-2</v>
      </c>
      <c r="AI76" s="288">
        <f t="shared" ref="AI76:AL76" ca="1" si="187">AI74/AH74-1</f>
        <v>1.6096363465652574E-2</v>
      </c>
      <c r="AJ76" s="288">
        <f t="shared" ca="1" si="187"/>
        <v>2.6718349425509214E-2</v>
      </c>
      <c r="AK76" s="288">
        <f t="shared" ca="1" si="187"/>
        <v>6.3530136479707622E-2</v>
      </c>
      <c r="AL76" s="288">
        <f t="shared" ca="1" si="187"/>
        <v>6.3935775228084912E-2</v>
      </c>
    </row>
    <row r="77" spans="1:38" s="285" customFormat="1">
      <c r="A77" s="283"/>
      <c r="B77" s="287" t="s">
        <v>462</v>
      </c>
      <c r="C77" s="288">
        <f t="shared" ref="C77:AH77" si="188">C74/C3</f>
        <v>0.38524041251841612</v>
      </c>
      <c r="D77" s="288">
        <f t="shared" si="188"/>
        <v>0.39451107601690205</v>
      </c>
      <c r="E77" s="288">
        <f t="shared" si="188"/>
        <v>0.34398736557118148</v>
      </c>
      <c r="F77" s="288">
        <f t="shared" si="188"/>
        <v>0.30209257251732857</v>
      </c>
      <c r="G77" s="288">
        <f t="shared" si="188"/>
        <v>0.3695208938896703</v>
      </c>
      <c r="H77" s="288">
        <f t="shared" si="188"/>
        <v>0.38273878568826886</v>
      </c>
      <c r="I77" s="288">
        <f t="shared" si="188"/>
        <v>0.32809673665445194</v>
      </c>
      <c r="J77" s="288">
        <f t="shared" si="188"/>
        <v>0.29437488601130768</v>
      </c>
      <c r="K77" s="288">
        <f t="shared" si="188"/>
        <v>0.36720132386180176</v>
      </c>
      <c r="L77" s="288">
        <f t="shared" si="188"/>
        <v>0.39253195774299543</v>
      </c>
      <c r="M77" s="288">
        <f t="shared" si="188"/>
        <v>0.35338834534580577</v>
      </c>
      <c r="N77" s="288">
        <f t="shared" si="188"/>
        <v>0.3727559796361008</v>
      </c>
      <c r="O77" s="288">
        <f t="shared" si="188"/>
        <v>0.40446438091611353</v>
      </c>
      <c r="P77" s="288">
        <f t="shared" si="188"/>
        <v>0.30112852392263323</v>
      </c>
      <c r="Q77" s="288">
        <f t="shared" si="188"/>
        <v>0.33045474285005277</v>
      </c>
      <c r="R77" s="288">
        <f t="shared" si="188"/>
        <v>0.18766490765171509</v>
      </c>
      <c r="S77" s="288">
        <f t="shared" ca="1" si="188"/>
        <v>0.2307386170055136</v>
      </c>
      <c r="T77" s="288">
        <f t="shared" ca="1" si="188"/>
        <v>0.22097118013068451</v>
      </c>
      <c r="U77" s="288">
        <f t="shared" ca="1" si="188"/>
        <v>0.2141881982885539</v>
      </c>
      <c r="V77" s="288">
        <f t="shared" ca="1" si="188"/>
        <v>0.20839075653465036</v>
      </c>
      <c r="W77" s="288">
        <f t="shared" ca="1" si="188"/>
        <v>0.21956071504903915</v>
      </c>
      <c r="X77" s="288">
        <f t="shared" ca="1" si="188"/>
        <v>0.21161397189006464</v>
      </c>
      <c r="Y77" s="288">
        <f t="shared" ca="1" si="188"/>
        <v>0.20809997012933218</v>
      </c>
      <c r="Z77" s="288">
        <f t="shared" ca="1" si="188"/>
        <v>0.20576382027041965</v>
      </c>
      <c r="AA77" s="288">
        <f t="shared" ca="1" si="188"/>
        <v>0.21646203362411587</v>
      </c>
      <c r="AB77" s="288">
        <f t="shared" ca="1" si="188"/>
        <v>0.20992486154144496</v>
      </c>
      <c r="AC77" s="288">
        <f t="shared" ca="1" si="188"/>
        <v>0.20670765079048325</v>
      </c>
      <c r="AD77" s="288">
        <f t="shared" ca="1" si="188"/>
        <v>0.20672261591709268</v>
      </c>
      <c r="AE77" s="288">
        <f t="shared" ca="1" si="188"/>
        <v>0.2170471333654784</v>
      </c>
      <c r="AF77" s="288">
        <f t="shared" ca="1" si="188"/>
        <v>0.21058076187818361</v>
      </c>
      <c r="AG77" s="288">
        <f t="shared" ca="1" si="188"/>
        <v>0.2074457750016992</v>
      </c>
      <c r="AH77" s="288">
        <f t="shared" ca="1" si="188"/>
        <v>0.20818082580008659</v>
      </c>
      <c r="AI77" s="288">
        <f t="shared" ref="AI77:AL77" ca="1" si="189">AI74/AI3</f>
        <v>0.21820375543072743</v>
      </c>
      <c r="AJ77" s="288">
        <f t="shared" ca="1" si="189"/>
        <v>0.21132944605837545</v>
      </c>
      <c r="AK77" s="288">
        <f t="shared" ca="1" si="189"/>
        <v>0.20802853968789195</v>
      </c>
      <c r="AL77" s="288">
        <f t="shared" ca="1" si="189"/>
        <v>0.20934458844603657</v>
      </c>
    </row>
    <row r="78" spans="1:38">
      <c r="A78" s="285"/>
      <c r="B78" s="295" t="s">
        <v>463</v>
      </c>
      <c r="C78" s="283">
        <v>-16.989999999999998</v>
      </c>
      <c r="D78" s="283">
        <v>-18.47</v>
      </c>
      <c r="E78" s="283">
        <v>-15.64</v>
      </c>
      <c r="F78" s="283">
        <v>-19.98</v>
      </c>
      <c r="G78" s="283">
        <v>-25.5</v>
      </c>
      <c r="H78" s="283">
        <v>-27.8</v>
      </c>
      <c r="I78" s="283">
        <v>-24.61</v>
      </c>
      <c r="J78" s="283">
        <v>-24.02</v>
      </c>
      <c r="K78" s="283">
        <v>-36.58</v>
      </c>
      <c r="L78" s="283">
        <v>-39.700000000000003</v>
      </c>
      <c r="M78" s="283">
        <v>-49.93</v>
      </c>
      <c r="N78" s="283">
        <v>-31.23</v>
      </c>
      <c r="O78" s="283">
        <v>-57.46</v>
      </c>
      <c r="P78" s="283">
        <v>-36.020000000000003</v>
      </c>
      <c r="Q78" s="289">
        <v>-32.28</v>
      </c>
      <c r="R78" s="289">
        <v>-19.059999999999999</v>
      </c>
      <c r="S78" s="289">
        <f t="shared" ref="S78:AL78" ca="1" si="190">S74*S79</f>
        <v>-34.006624959348045</v>
      </c>
      <c r="T78" s="289">
        <f t="shared" ca="1" si="190"/>
        <v>-34.978177648449339</v>
      </c>
      <c r="U78" s="289">
        <f t="shared" ca="1" si="190"/>
        <v>-36.848793884616114</v>
      </c>
      <c r="V78" s="289">
        <f t="shared" ca="1" si="190"/>
        <v>-37.901125019607512</v>
      </c>
      <c r="W78" s="289">
        <f t="shared" ca="1" si="190"/>
        <v>-39.9239280228933</v>
      </c>
      <c r="X78" s="289">
        <f t="shared" ca="1" si="190"/>
        <v>-41.019575231316097</v>
      </c>
      <c r="Y78" s="289">
        <f t="shared" ca="1" si="190"/>
        <v>-43.486229611561015</v>
      </c>
      <c r="Z78" s="289">
        <f t="shared" ca="1" si="190"/>
        <v>-45.144556152681496</v>
      </c>
      <c r="AA78" s="289">
        <f t="shared" ca="1" si="190"/>
        <v>-46.877017377458898</v>
      </c>
      <c r="AB78" s="289">
        <f t="shared" ca="1" si="190"/>
        <v>-48.311090452696519</v>
      </c>
      <c r="AC78" s="289">
        <f t="shared" ca="1" si="190"/>
        <v>-51.352042275402546</v>
      </c>
      <c r="AD78" s="289">
        <f t="shared" ca="1" si="190"/>
        <v>-53.992021949214163</v>
      </c>
      <c r="AE78" s="289">
        <f t="shared" ca="1" si="190"/>
        <v>-55.420387837132324</v>
      </c>
      <c r="AF78" s="289">
        <f t="shared" ca="1" si="190"/>
        <v>-57.046219032109256</v>
      </c>
      <c r="AG78" s="289">
        <f t="shared" ca="1" si="190"/>
        <v>-60.688460221832621</v>
      </c>
      <c r="AH78" s="289">
        <f t="shared" ca="1" si="190"/>
        <v>-64.139500608364614</v>
      </c>
      <c r="AI78" s="289">
        <f t="shared" ca="1" si="190"/>
        <v>-65.171913322662277</v>
      </c>
      <c r="AJ78" s="289">
        <f t="shared" ca="1" si="190"/>
        <v>-66.913199275546177</v>
      </c>
      <c r="AK78" s="289">
        <f t="shared" ca="1" si="190"/>
        <v>-71.164203957815502</v>
      </c>
      <c r="AL78" s="289">
        <f t="shared" ca="1" si="190"/>
        <v>-75.714142506347983</v>
      </c>
    </row>
    <row r="79" spans="1:38">
      <c r="B79" s="283" t="s">
        <v>464</v>
      </c>
      <c r="C79" s="296">
        <f t="shared" ref="C79:R79" si="191">C78/C74</f>
        <v>-0.19689419399698679</v>
      </c>
      <c r="D79" s="296">
        <f t="shared" si="191"/>
        <v>-0.19982689602942774</v>
      </c>
      <c r="E79" s="296">
        <f t="shared" si="191"/>
        <v>-0.17096633143856579</v>
      </c>
      <c r="F79" s="296">
        <f t="shared" si="191"/>
        <v>-0.21726837755545894</v>
      </c>
      <c r="G79" s="296">
        <f t="shared" si="191"/>
        <v>-0.21568456462294405</v>
      </c>
      <c r="H79" s="296">
        <f t="shared" si="191"/>
        <v>-0.20350899282813806</v>
      </c>
      <c r="I79" s="296">
        <f t="shared" si="191"/>
        <v>-0.18571943566345941</v>
      </c>
      <c r="J79" s="296">
        <f t="shared" si="191"/>
        <v>-0.18602187344626819</v>
      </c>
      <c r="K79" s="296">
        <f t="shared" si="191"/>
        <v>-0.20103805543770015</v>
      </c>
      <c r="L79" s="296">
        <f t="shared" si="191"/>
        <v>-0.17867056855585217</v>
      </c>
      <c r="M79" s="296">
        <f t="shared" si="191"/>
        <v>-0.21666818402380034</v>
      </c>
      <c r="N79" s="296">
        <f t="shared" si="191"/>
        <v>-0.12619193903026157</v>
      </c>
      <c r="O79" s="296">
        <f t="shared" si="191"/>
        <v>-0.19321132863992779</v>
      </c>
      <c r="P79" s="296">
        <f t="shared" si="191"/>
        <v>-0.16235724326956658</v>
      </c>
      <c r="Q79" s="296">
        <f t="shared" si="191"/>
        <v>-0.12120301881124919</v>
      </c>
      <c r="R79" s="296">
        <f t="shared" si="191"/>
        <v>-0.1196334421290484</v>
      </c>
      <c r="S79" s="297">
        <v>-0.17</v>
      </c>
      <c r="T79" s="297">
        <v>-0.17</v>
      </c>
      <c r="U79" s="297">
        <v>-0.17</v>
      </c>
      <c r="V79" s="297">
        <v>-0.17</v>
      </c>
      <c r="W79" s="297">
        <v>-0.17</v>
      </c>
      <c r="X79" s="297">
        <v>-0.17</v>
      </c>
      <c r="Y79" s="297">
        <v>-0.17</v>
      </c>
      <c r="Z79" s="297">
        <v>-0.17</v>
      </c>
      <c r="AA79" s="297">
        <v>-0.17</v>
      </c>
      <c r="AB79" s="297">
        <v>-0.17</v>
      </c>
      <c r="AC79" s="297">
        <v>-0.17</v>
      </c>
      <c r="AD79" s="297">
        <v>-0.17</v>
      </c>
      <c r="AE79" s="297">
        <v>-0.17</v>
      </c>
      <c r="AF79" s="297">
        <v>-0.17</v>
      </c>
      <c r="AG79" s="297">
        <v>-0.17</v>
      </c>
      <c r="AH79" s="297">
        <v>-0.17</v>
      </c>
      <c r="AI79" s="297">
        <v>-0.17</v>
      </c>
      <c r="AJ79" s="297">
        <v>-0.17</v>
      </c>
      <c r="AK79" s="297">
        <v>-0.17</v>
      </c>
      <c r="AL79" s="297">
        <v>-0.17</v>
      </c>
    </row>
    <row r="80" spans="1:38" s="285" customFormat="1">
      <c r="B80" s="291" t="s">
        <v>465</v>
      </c>
      <c r="C80" s="286">
        <f t="shared" ref="C80:AH80" si="192">C74+C78</f>
        <v>69.30000000000004</v>
      </c>
      <c r="D80" s="286">
        <f t="shared" si="192"/>
        <v>73.959999999999965</v>
      </c>
      <c r="E80" s="286">
        <f t="shared" si="192"/>
        <v>75.84</v>
      </c>
      <c r="F80" s="286">
        <f t="shared" si="192"/>
        <v>71.979999999999976</v>
      </c>
      <c r="G80" s="286">
        <f t="shared" si="192"/>
        <v>92.728210000000004</v>
      </c>
      <c r="H80" s="286">
        <f t="shared" si="192"/>
        <v>108.80330000000005</v>
      </c>
      <c r="I80" s="286">
        <f t="shared" si="192"/>
        <v>107.90171000000005</v>
      </c>
      <c r="J80" s="286">
        <f t="shared" si="192"/>
        <v>105.10459999999999</v>
      </c>
      <c r="K80" s="286">
        <f t="shared" si="192"/>
        <v>145.37560000000002</v>
      </c>
      <c r="L80" s="286">
        <f t="shared" si="192"/>
        <v>182.49664000000001</v>
      </c>
      <c r="M80" s="286">
        <f t="shared" si="192"/>
        <v>180.5145399999999</v>
      </c>
      <c r="N80" s="286">
        <f t="shared" si="192"/>
        <v>216.25015000000008</v>
      </c>
      <c r="O80" s="286">
        <f t="shared" si="192"/>
        <v>239.93456999999992</v>
      </c>
      <c r="P80" s="286">
        <f t="shared" si="192"/>
        <v>185.83644000000001</v>
      </c>
      <c r="Q80" s="286">
        <f t="shared" si="192"/>
        <v>234.05000000000004</v>
      </c>
      <c r="R80" s="286">
        <f t="shared" si="192"/>
        <v>140.26000000000005</v>
      </c>
      <c r="S80" s="286">
        <f t="shared" ca="1" si="192"/>
        <v>166.03234538975809</v>
      </c>
      <c r="T80" s="286">
        <f t="shared" ca="1" si="192"/>
        <v>170.77580851889971</v>
      </c>
      <c r="U80" s="286">
        <f t="shared" ca="1" si="192"/>
        <v>179.90881720136099</v>
      </c>
      <c r="V80" s="286">
        <f t="shared" ca="1" si="192"/>
        <v>185.04666921337781</v>
      </c>
      <c r="W80" s="286">
        <f t="shared" ca="1" si="192"/>
        <v>194.9227074058908</v>
      </c>
      <c r="X80" s="286">
        <f t="shared" ca="1" si="192"/>
        <v>200.27204377642562</v>
      </c>
      <c r="Y80" s="286">
        <f t="shared" ca="1" si="192"/>
        <v>212.31512104468024</v>
      </c>
      <c r="Z80" s="286">
        <f t="shared" ca="1" si="192"/>
        <v>220.41165651015081</v>
      </c>
      <c r="AA80" s="286">
        <f t="shared" ca="1" si="192"/>
        <v>228.87014366641694</v>
      </c>
      <c r="AB80" s="286">
        <f t="shared" ca="1" si="192"/>
        <v>235.87179456316534</v>
      </c>
      <c r="AC80" s="286">
        <f t="shared" ca="1" si="192"/>
        <v>250.71879463873006</v>
      </c>
      <c r="AD80" s="286">
        <f t="shared" ca="1" si="192"/>
        <v>263.6081071638103</v>
      </c>
      <c r="AE80" s="286">
        <f t="shared" ca="1" si="192"/>
        <v>270.58189355776369</v>
      </c>
      <c r="AF80" s="286">
        <f t="shared" ca="1" si="192"/>
        <v>278.51977527441574</v>
      </c>
      <c r="AG80" s="286">
        <f t="shared" ca="1" si="192"/>
        <v>296.30248225953574</v>
      </c>
      <c r="AH80" s="286">
        <f t="shared" ca="1" si="192"/>
        <v>313.15167944083896</v>
      </c>
      <c r="AI80" s="286">
        <f t="shared" ref="AI80:AL80" ca="1" si="193">AI74+AI78</f>
        <v>318.19228269299822</v>
      </c>
      <c r="AJ80" s="286">
        <f t="shared" ca="1" si="193"/>
        <v>326.69385528649013</v>
      </c>
      <c r="AK80" s="286">
        <f t="shared" ca="1" si="193"/>
        <v>347.44876049992268</v>
      </c>
      <c r="AL80" s="286">
        <f t="shared" ca="1" si="193"/>
        <v>369.6631663545225</v>
      </c>
    </row>
    <row r="81" spans="1:38">
      <c r="B81" s="287" t="s">
        <v>460</v>
      </c>
      <c r="C81" s="288"/>
      <c r="D81" s="288"/>
      <c r="E81" s="288"/>
      <c r="F81" s="288"/>
      <c r="G81" s="288">
        <f>G80/C80-1</f>
        <v>0.33806940836940758</v>
      </c>
      <c r="H81" s="288">
        <f t="shared" ref="H81:AG81" si="194">H80/D80-1</f>
        <v>0.47111005949161844</v>
      </c>
      <c r="I81" s="288">
        <f t="shared" si="194"/>
        <v>0.42275461497890365</v>
      </c>
      <c r="J81" s="288">
        <f t="shared" si="194"/>
        <v>0.46019171992220098</v>
      </c>
      <c r="K81" s="288">
        <f t="shared" si="194"/>
        <v>0.56776023175687329</v>
      </c>
      <c r="L81" s="288">
        <f t="shared" si="194"/>
        <v>0.67730794929933125</v>
      </c>
      <c r="M81" s="288">
        <f t="shared" si="194"/>
        <v>0.67295346848534487</v>
      </c>
      <c r="N81" s="288">
        <f t="shared" si="194"/>
        <v>1.0574756004970296</v>
      </c>
      <c r="O81" s="288">
        <f t="shared" si="194"/>
        <v>0.65044594828843283</v>
      </c>
      <c r="P81" s="288">
        <f t="shared" si="194"/>
        <v>1.830061090439794E-2</v>
      </c>
      <c r="Q81" s="288">
        <f t="shared" si="194"/>
        <v>0.29657145623837389</v>
      </c>
      <c r="R81" s="288">
        <f t="shared" si="194"/>
        <v>-0.35139929382707946</v>
      </c>
      <c r="S81" s="288">
        <f t="shared" ca="1" si="194"/>
        <v>-0.30800990707692455</v>
      </c>
      <c r="T81" s="288">
        <f t="shared" ca="1" si="194"/>
        <v>-8.1042402023522975E-2</v>
      </c>
      <c r="U81" s="288">
        <f t="shared" ca="1" si="194"/>
        <v>-0.23132314803947462</v>
      </c>
      <c r="V81" s="288">
        <f t="shared" ca="1" si="194"/>
        <v>0.3193117725180219</v>
      </c>
      <c r="W81" s="288">
        <f t="shared" ca="1" si="194"/>
        <v>0.17400442033335772</v>
      </c>
      <c r="X81" s="288">
        <f t="shared" ca="1" si="194"/>
        <v>0.17271904910502345</v>
      </c>
      <c r="Y81" s="288">
        <f t="shared" ca="1" si="194"/>
        <v>0.18012626811419064</v>
      </c>
      <c r="Z81" s="288">
        <f t="shared" ca="1" si="194"/>
        <v>0.19111388195803469</v>
      </c>
      <c r="AA81" s="288">
        <f t="shared" ca="1" si="194"/>
        <v>0.17415844830144289</v>
      </c>
      <c r="AB81" s="288">
        <f t="shared" ca="1" si="194"/>
        <v>0.17775696555272402</v>
      </c>
      <c r="AC81" s="288">
        <f t="shared" ca="1" si="194"/>
        <v>0.18088053929031278</v>
      </c>
      <c r="AD81" s="288">
        <f t="shared" ca="1" si="194"/>
        <v>0.19598079038832572</v>
      </c>
      <c r="AE81" s="288">
        <f t="shared" ca="1" si="194"/>
        <v>0.18225072621155203</v>
      </c>
      <c r="AF81" s="288">
        <f t="shared" ca="1" si="194"/>
        <v>0.18081000651321832</v>
      </c>
      <c r="AG81" s="288">
        <f t="shared" ca="1" si="194"/>
        <v>0.18181200849536983</v>
      </c>
      <c r="AH81" s="288">
        <f ca="1">AH80/AD80-1</f>
        <v>0.18794403863399189</v>
      </c>
      <c r="AI81" s="288">
        <f t="shared" ref="AI81:AL81" ca="1" si="195">AI80/AE80-1</f>
        <v>0.1759555619528943</v>
      </c>
      <c r="AJ81" s="288">
        <f t="shared" ca="1" si="195"/>
        <v>0.17296466638539454</v>
      </c>
      <c r="AK81" s="288">
        <f t="shared" ca="1" si="195"/>
        <v>0.17261508526812541</v>
      </c>
      <c r="AL81" s="288">
        <f t="shared" ca="1" si="195"/>
        <v>0.18046043059577377</v>
      </c>
    </row>
    <row r="82" spans="1:38">
      <c r="B82" s="287" t="s">
        <v>447</v>
      </c>
      <c r="C82" s="288"/>
      <c r="D82" s="288">
        <f>D80/C80-1</f>
        <v>6.7243867243866218E-2</v>
      </c>
      <c r="E82" s="288">
        <f t="shared" ref="E82:AG82" si="196">E80/D80-1</f>
        <v>2.5419145484046002E-2</v>
      </c>
      <c r="F82" s="288">
        <f t="shared" si="196"/>
        <v>-5.0896624472574259E-2</v>
      </c>
      <c r="G82" s="288">
        <f t="shared" si="196"/>
        <v>0.28824965268130076</v>
      </c>
      <c r="H82" s="288">
        <f t="shared" si="196"/>
        <v>0.1733570614595068</v>
      </c>
      <c r="I82" s="288">
        <f t="shared" si="196"/>
        <v>-8.2864214596432006E-3</v>
      </c>
      <c r="J82" s="288">
        <f t="shared" si="196"/>
        <v>-2.5922758777410126E-2</v>
      </c>
      <c r="K82" s="288">
        <f t="shared" si="196"/>
        <v>0.3831516413173166</v>
      </c>
      <c r="L82" s="288">
        <f t="shared" si="196"/>
        <v>0.25534573889978773</v>
      </c>
      <c r="M82" s="288">
        <f t="shared" si="196"/>
        <v>-1.0861021879636334E-2</v>
      </c>
      <c r="N82" s="288">
        <f t="shared" si="196"/>
        <v>0.19796527193876012</v>
      </c>
      <c r="O82" s="288">
        <f t="shared" si="196"/>
        <v>0.10952325350988112</v>
      </c>
      <c r="P82" s="288">
        <f t="shared" si="196"/>
        <v>-0.22547034385249254</v>
      </c>
      <c r="Q82" s="288">
        <f t="shared" si="196"/>
        <v>0.25944082872013707</v>
      </c>
      <c r="R82" s="288">
        <f t="shared" si="196"/>
        <v>-0.40072634052552858</v>
      </c>
      <c r="S82" s="288">
        <f t="shared" ca="1" si="196"/>
        <v>0.18374693704376188</v>
      </c>
      <c r="T82" s="288">
        <f t="shared" ca="1" si="196"/>
        <v>2.8569512271879427E-2</v>
      </c>
      <c r="U82" s="288">
        <f t="shared" ca="1" si="196"/>
        <v>5.3479522431600923E-2</v>
      </c>
      <c r="V82" s="288">
        <f t="shared" ca="1" si="196"/>
        <v>2.8558088991638142E-2</v>
      </c>
      <c r="W82" s="288">
        <f t="shared" ca="1" si="196"/>
        <v>5.3370526659547224E-2</v>
      </c>
      <c r="X82" s="288">
        <f t="shared" ca="1" si="196"/>
        <v>2.7443371999732236E-2</v>
      </c>
      <c r="Y82" s="288">
        <f t="shared" ca="1" si="196"/>
        <v>6.0133591494671901E-2</v>
      </c>
      <c r="Z82" s="288">
        <f t="shared" ca="1" si="196"/>
        <v>3.8134521110094299E-2</v>
      </c>
      <c r="AA82" s="288">
        <f t="shared" ca="1" si="196"/>
        <v>3.837586128697601E-2</v>
      </c>
      <c r="AB82" s="288">
        <f t="shared" ca="1" si="196"/>
        <v>3.0592242328267405E-2</v>
      </c>
      <c r="AC82" s="288">
        <f t="shared" ca="1" si="196"/>
        <v>6.294521183875057E-2</v>
      </c>
      <c r="AD82" s="288">
        <f t="shared" ca="1" si="196"/>
        <v>5.1409438784407513E-2</v>
      </c>
      <c r="AE82" s="288">
        <f t="shared" ca="1" si="196"/>
        <v>2.6455128671819539E-2</v>
      </c>
      <c r="AF82" s="288">
        <f t="shared" ca="1" si="196"/>
        <v>2.933633737379937E-2</v>
      </c>
      <c r="AG82" s="288">
        <f t="shared" ca="1" si="196"/>
        <v>6.3847197088965579E-2</v>
      </c>
      <c r="AH82" s="288">
        <f ca="1">AH80/AG80-1</f>
        <v>5.6864853283762784E-2</v>
      </c>
      <c r="AI82" s="288">
        <f t="shared" ref="AI82:AL82" ca="1" si="197">AI80/AH80-1</f>
        <v>1.6096363465652574E-2</v>
      </c>
      <c r="AJ82" s="288">
        <f t="shared" ca="1" si="197"/>
        <v>2.6718349425509214E-2</v>
      </c>
      <c r="AK82" s="288">
        <f t="shared" ca="1" si="197"/>
        <v>6.3530136479707622E-2</v>
      </c>
      <c r="AL82" s="288">
        <f t="shared" ca="1" si="197"/>
        <v>6.3935775228085134E-2</v>
      </c>
    </row>
    <row r="83" spans="1:38">
      <c r="B83" s="287" t="s">
        <v>466</v>
      </c>
      <c r="C83" s="288">
        <f t="shared" ref="C83:AH83" si="198">C80/C3</f>
        <v>0.30938881200053592</v>
      </c>
      <c r="D83" s="288">
        <f t="shared" si="198"/>
        <v>0.31567715224721488</v>
      </c>
      <c r="E83" s="288">
        <f t="shared" si="198"/>
        <v>0.28517710761825976</v>
      </c>
      <c r="F83" s="288">
        <f t="shared" si="198"/>
        <v>0.23645740941493376</v>
      </c>
      <c r="G83" s="288">
        <f t="shared" si="198"/>
        <v>0.28982094077199566</v>
      </c>
      <c r="H83" s="288">
        <f t="shared" si="198"/>
        <v>0.3048480008965847</v>
      </c>
      <c r="I83" s="288">
        <f t="shared" si="198"/>
        <v>0.2671627958799645</v>
      </c>
      <c r="J83" s="288">
        <f t="shared" si="198"/>
        <v>0.23961471821995256</v>
      </c>
      <c r="K83" s="288">
        <f t="shared" si="198"/>
        <v>0.29337988375847596</v>
      </c>
      <c r="L83" s="288">
        <f t="shared" si="198"/>
        <v>0.32239804967671271</v>
      </c>
      <c r="M83" s="288">
        <f t="shared" si="198"/>
        <v>0.27682033430455438</v>
      </c>
      <c r="N83" s="288">
        <f t="shared" si="198"/>
        <v>0.32571717978069653</v>
      </c>
      <c r="O83" s="288">
        <f t="shared" si="198"/>
        <v>0.32631728049178532</v>
      </c>
      <c r="P83" s="288">
        <f t="shared" si="198"/>
        <v>0.25223812690872077</v>
      </c>
      <c r="Q83" s="288">
        <f t="shared" si="198"/>
        <v>0.29040263043613129</v>
      </c>
      <c r="R83" s="288">
        <f t="shared" si="198"/>
        <v>0.16521390878251041</v>
      </c>
      <c r="S83" s="288">
        <f t="shared" ca="1" si="198"/>
        <v>0.19151305211457628</v>
      </c>
      <c r="T83" s="288">
        <f t="shared" ca="1" si="198"/>
        <v>0.18340607950846813</v>
      </c>
      <c r="U83" s="288">
        <f t="shared" ca="1" si="198"/>
        <v>0.17777620457949972</v>
      </c>
      <c r="V83" s="288">
        <f t="shared" ca="1" si="198"/>
        <v>0.17296432792375976</v>
      </c>
      <c r="W83" s="288">
        <f t="shared" ca="1" si="198"/>
        <v>0.18223539349070247</v>
      </c>
      <c r="X83" s="288">
        <f t="shared" ca="1" si="198"/>
        <v>0.17563959666875364</v>
      </c>
      <c r="Y83" s="288">
        <f t="shared" ca="1" si="198"/>
        <v>0.1727229752073457</v>
      </c>
      <c r="Z83" s="288">
        <f t="shared" ca="1" si="198"/>
        <v>0.17078397082444829</v>
      </c>
      <c r="AA83" s="288">
        <f t="shared" ca="1" si="198"/>
        <v>0.17966348790801617</v>
      </c>
      <c r="AB83" s="288">
        <f t="shared" ca="1" si="198"/>
        <v>0.17423763507939929</v>
      </c>
      <c r="AC83" s="288">
        <f t="shared" ca="1" si="198"/>
        <v>0.17156735015610111</v>
      </c>
      <c r="AD83" s="288">
        <f t="shared" ca="1" si="198"/>
        <v>0.17157977121118689</v>
      </c>
      <c r="AE83" s="288">
        <f t="shared" ca="1" si="198"/>
        <v>0.1801491206933471</v>
      </c>
      <c r="AF83" s="288">
        <f t="shared" ca="1" si="198"/>
        <v>0.17478203235889239</v>
      </c>
      <c r="AG83" s="288">
        <f t="shared" ca="1" si="198"/>
        <v>0.17217999325141034</v>
      </c>
      <c r="AH83" s="288">
        <f t="shared" ca="1" si="198"/>
        <v>0.17279008541407187</v>
      </c>
      <c r="AI83" s="288">
        <f t="shared" ref="AI83:AL83" ca="1" si="199">AI80/AI3</f>
        <v>0.18110911700750379</v>
      </c>
      <c r="AJ83" s="288">
        <f t="shared" ca="1" si="199"/>
        <v>0.17540344022845161</v>
      </c>
      <c r="AK83" s="288">
        <f t="shared" ca="1" si="199"/>
        <v>0.1726636879409503</v>
      </c>
      <c r="AL83" s="288">
        <f t="shared" ca="1" si="199"/>
        <v>0.17375600841021036</v>
      </c>
    </row>
    <row r="84" spans="1:38">
      <c r="A84" s="285"/>
      <c r="B84" s="285" t="s">
        <v>467</v>
      </c>
      <c r="C84" s="285">
        <v>68.83</v>
      </c>
      <c r="D84" s="285">
        <v>73.14</v>
      </c>
      <c r="E84" s="285">
        <v>74.45</v>
      </c>
      <c r="F84" s="285">
        <v>71.64</v>
      </c>
      <c r="G84" s="285">
        <v>91.83</v>
      </c>
      <c r="H84" s="285">
        <v>107.37</v>
      </c>
      <c r="I84" s="285">
        <v>106.46</v>
      </c>
      <c r="J84" s="285">
        <v>105.29</v>
      </c>
      <c r="K84" s="285">
        <v>144.76</v>
      </c>
      <c r="L84" s="285">
        <v>182.31</v>
      </c>
      <c r="M84" s="285">
        <v>180.06</v>
      </c>
      <c r="N84" s="285">
        <v>207.97</v>
      </c>
      <c r="O84" s="299">
        <v>232.9</v>
      </c>
      <c r="P84" s="285">
        <v>178.67</v>
      </c>
      <c r="Q84" s="286">
        <v>233.33</v>
      </c>
      <c r="R84" s="286">
        <v>142.29</v>
      </c>
      <c r="S84" s="286">
        <f t="shared" ref="S84:AL84" ca="1" si="200">S80-S85</f>
        <v>161.6975926521111</v>
      </c>
      <c r="T84" s="286">
        <f t="shared" ca="1" si="200"/>
        <v>166.12013382761953</v>
      </c>
      <c r="U84" s="286">
        <f t="shared" ca="1" si="200"/>
        <v>174.84883694059141</v>
      </c>
      <c r="V84" s="286">
        <f t="shared" ca="1" si="200"/>
        <v>179.69739657911117</v>
      </c>
      <c r="W84" s="286">
        <f t="shared" ca="1" si="200"/>
        <v>189.5746050512339</v>
      </c>
      <c r="X84" s="286">
        <f t="shared" ca="1" si="200"/>
        <v>194.57082242387014</v>
      </c>
      <c r="Y84" s="286">
        <f t="shared" ca="1" si="200"/>
        <v>206.16900409672337</v>
      </c>
      <c r="Z84" s="286">
        <f t="shared" ca="1" si="200"/>
        <v>213.95871905219946</v>
      </c>
      <c r="AA84" s="286">
        <f t="shared" ca="1" si="200"/>
        <v>222.50073198652143</v>
      </c>
      <c r="AB84" s="286">
        <f t="shared" ca="1" si="200"/>
        <v>229.10311354727347</v>
      </c>
      <c r="AC84" s="286">
        <f t="shared" ca="1" si="200"/>
        <v>243.41207822646942</v>
      </c>
      <c r="AD84" s="286">
        <f t="shared" ca="1" si="200"/>
        <v>255.92631270450451</v>
      </c>
      <c r="AE84" s="286">
        <f t="shared" ca="1" si="200"/>
        <v>263.07195144657368</v>
      </c>
      <c r="AF84" s="286">
        <f t="shared" ca="1" si="200"/>
        <v>270.55214348997373</v>
      </c>
      <c r="AG84" s="286">
        <f t="shared" ca="1" si="200"/>
        <v>287.69804231665319</v>
      </c>
      <c r="AH84" s="286">
        <f t="shared" ca="1" si="200"/>
        <v>304.09005768486821</v>
      </c>
      <c r="AI84" s="286">
        <f t="shared" ca="1" si="200"/>
        <v>309.40773644953617</v>
      </c>
      <c r="AJ84" s="286">
        <f t="shared" ca="1" si="200"/>
        <v>317.38121424418807</v>
      </c>
      <c r="AK84" s="286">
        <f t="shared" ca="1" si="200"/>
        <v>337.38732938364922</v>
      </c>
      <c r="AL84" s="286">
        <f t="shared" ca="1" si="200"/>
        <v>359.02574524498004</v>
      </c>
    </row>
    <row r="85" spans="1:38">
      <c r="B85" s="283" t="s">
        <v>468</v>
      </c>
      <c r="C85" s="298">
        <f t="shared" ref="C85:G85" si="201">C80-C84</f>
        <v>0.4700000000000415</v>
      </c>
      <c r="D85" s="298">
        <f t="shared" si="201"/>
        <v>0.81999999999996476</v>
      </c>
      <c r="E85" s="298">
        <f t="shared" si="201"/>
        <v>1.3900000000000006</v>
      </c>
      <c r="F85" s="298">
        <f t="shared" si="201"/>
        <v>0.33999999999997499</v>
      </c>
      <c r="G85" s="289">
        <f t="shared" si="201"/>
        <v>0.89821000000000595</v>
      </c>
      <c r="H85" s="289">
        <f>H80-H84</f>
        <v>1.4333000000000453</v>
      </c>
      <c r="I85" s="289">
        <f>I80-I84</f>
        <v>1.4417100000000573</v>
      </c>
      <c r="J85" s="289">
        <f t="shared" ref="J85:O85" si="202">J80-J84</f>
        <v>-0.18540000000001555</v>
      </c>
      <c r="K85" s="289">
        <f t="shared" si="202"/>
        <v>0.61560000000002901</v>
      </c>
      <c r="L85" s="289">
        <f t="shared" si="202"/>
        <v>0.18664000000001124</v>
      </c>
      <c r="M85" s="289">
        <f t="shared" si="202"/>
        <v>0.45453999999989492</v>
      </c>
      <c r="N85" s="289">
        <f t="shared" si="202"/>
        <v>8.2801500000000772</v>
      </c>
      <c r="O85" s="289">
        <f t="shared" si="202"/>
        <v>7.0345699999999169</v>
      </c>
      <c r="P85" s="289">
        <v>7.13</v>
      </c>
      <c r="Q85" s="289">
        <v>0.72</v>
      </c>
      <c r="R85" s="289">
        <v>-2.0299999999999998</v>
      </c>
      <c r="S85" s="289">
        <f t="shared" ref="S85:AL85" ca="1" si="203">S91*S3</f>
        <v>4.3347527376469914</v>
      </c>
      <c r="T85" s="289">
        <f t="shared" ca="1" si="203"/>
        <v>4.6556746912801961</v>
      </c>
      <c r="U85" s="289">
        <f t="shared" ca="1" si="203"/>
        <v>5.0599802607695903</v>
      </c>
      <c r="V85" s="289">
        <f t="shared" ca="1" si="203"/>
        <v>5.3492726342666383</v>
      </c>
      <c r="W85" s="289">
        <f t="shared" ca="1" si="203"/>
        <v>5.3481023546569082</v>
      </c>
      <c r="X85" s="289">
        <f t="shared" ca="1" si="203"/>
        <v>5.701221352555466</v>
      </c>
      <c r="Y85" s="289">
        <f t="shared" ca="1" si="203"/>
        <v>6.1461169479568678</v>
      </c>
      <c r="Z85" s="289">
        <f t="shared" ca="1" si="203"/>
        <v>6.4529374579513572</v>
      </c>
      <c r="AA85" s="289">
        <f t="shared" ca="1" si="203"/>
        <v>6.3694116798955145</v>
      </c>
      <c r="AB85" s="289">
        <f t="shared" ca="1" si="203"/>
        <v>6.768681015891878</v>
      </c>
      <c r="AC85" s="289">
        <f t="shared" ca="1" si="203"/>
        <v>7.3067164122606298</v>
      </c>
      <c r="AD85" s="289">
        <f t="shared" ca="1" si="203"/>
        <v>7.6817944593057952</v>
      </c>
      <c r="AE85" s="289">
        <f t="shared" ca="1" si="203"/>
        <v>7.5099421111900071</v>
      </c>
      <c r="AF85" s="289">
        <f t="shared" ca="1" si="203"/>
        <v>7.9676317844419859</v>
      </c>
      <c r="AG85" s="289">
        <f t="shared" ca="1" si="203"/>
        <v>8.6044399428825251</v>
      </c>
      <c r="AH85" s="289">
        <f t="shared" ca="1" si="203"/>
        <v>9.0616217559707319</v>
      </c>
      <c r="AI85" s="289">
        <f t="shared" ca="1" si="203"/>
        <v>8.7845462434620227</v>
      </c>
      <c r="AJ85" s="289">
        <f t="shared" ca="1" si="203"/>
        <v>9.3126410423020367</v>
      </c>
      <c r="AK85" s="289">
        <f t="shared" ca="1" si="203"/>
        <v>10.061431116273493</v>
      </c>
      <c r="AL85" s="289">
        <f t="shared" ca="1" si="203"/>
        <v>10.637421109542482</v>
      </c>
    </row>
    <row r="86" spans="1:38">
      <c r="B86" s="295" t="s">
        <v>469</v>
      </c>
      <c r="C86" s="289">
        <v>92.87</v>
      </c>
      <c r="D86" s="289">
        <v>92.92</v>
      </c>
      <c r="E86" s="289">
        <v>93.07</v>
      </c>
      <c r="F86" s="283">
        <v>93.14</v>
      </c>
      <c r="G86" s="289">
        <v>93.57</v>
      </c>
      <c r="H86" s="289">
        <v>93.69</v>
      </c>
      <c r="I86" s="289">
        <v>93.84</v>
      </c>
      <c r="J86" s="283">
        <v>93.94</v>
      </c>
      <c r="K86" s="289">
        <v>93.98</v>
      </c>
      <c r="L86" s="289">
        <v>94.03</v>
      </c>
      <c r="M86" s="289">
        <v>94.18</v>
      </c>
      <c r="N86" s="283">
        <v>94.27</v>
      </c>
      <c r="O86" s="289">
        <v>94.29</v>
      </c>
      <c r="P86" s="289">
        <v>94.38</v>
      </c>
      <c r="Q86" s="289">
        <v>94.38</v>
      </c>
      <c r="R86" s="289">
        <v>94.38</v>
      </c>
      <c r="S86" s="289">
        <v>94.38</v>
      </c>
      <c r="T86" s="289">
        <v>94.38</v>
      </c>
      <c r="U86" s="289">
        <v>94.38</v>
      </c>
      <c r="V86" s="289">
        <v>94.38</v>
      </c>
      <c r="W86" s="289">
        <v>94.38</v>
      </c>
      <c r="X86" s="289">
        <v>94.38</v>
      </c>
      <c r="Y86" s="289">
        <v>94.38</v>
      </c>
      <c r="Z86" s="289">
        <v>94.38</v>
      </c>
      <c r="AA86" s="289">
        <v>94.38</v>
      </c>
      <c r="AB86" s="289">
        <v>94.38</v>
      </c>
      <c r="AC86" s="289">
        <v>94.38</v>
      </c>
      <c r="AD86" s="289">
        <v>94.38</v>
      </c>
      <c r="AE86" s="289">
        <v>94.38</v>
      </c>
      <c r="AF86" s="289">
        <v>94.38</v>
      </c>
      <c r="AG86" s="289">
        <v>94.38</v>
      </c>
      <c r="AH86" s="289">
        <v>94.38</v>
      </c>
      <c r="AI86" s="289">
        <v>94.38</v>
      </c>
      <c r="AJ86" s="289">
        <v>94.38</v>
      </c>
      <c r="AK86" s="289">
        <v>94.38</v>
      </c>
      <c r="AL86" s="289">
        <v>94.38</v>
      </c>
    </row>
    <row r="87" spans="1:38">
      <c r="B87" s="295" t="s">
        <v>470</v>
      </c>
      <c r="C87" s="283">
        <v>93.85</v>
      </c>
      <c r="D87" s="283">
        <v>93.95</v>
      </c>
      <c r="E87" s="283">
        <v>93.97</v>
      </c>
      <c r="F87" s="283">
        <v>94.39</v>
      </c>
      <c r="G87" s="283">
        <v>94.69</v>
      </c>
      <c r="H87" s="289">
        <v>94.8</v>
      </c>
      <c r="I87" s="283">
        <v>94.94</v>
      </c>
      <c r="J87" s="283">
        <v>95.03</v>
      </c>
      <c r="K87" s="283">
        <v>95.12</v>
      </c>
      <c r="L87" s="283">
        <v>95.24</v>
      </c>
      <c r="M87" s="283">
        <v>95.39</v>
      </c>
      <c r="N87" s="283">
        <v>95.53</v>
      </c>
      <c r="O87" s="283">
        <v>95.64</v>
      </c>
      <c r="P87" s="283">
        <v>95.63</v>
      </c>
      <c r="Q87" s="283">
        <v>95.63</v>
      </c>
      <c r="R87" s="283">
        <v>95.63</v>
      </c>
      <c r="S87" s="283">
        <v>95.63</v>
      </c>
      <c r="T87" s="283">
        <v>95.63</v>
      </c>
      <c r="U87" s="283">
        <v>95.63</v>
      </c>
      <c r="V87" s="283">
        <v>95.63</v>
      </c>
      <c r="W87" s="283">
        <v>95.63</v>
      </c>
      <c r="X87" s="283">
        <v>95.63</v>
      </c>
      <c r="Y87" s="283">
        <v>95.63</v>
      </c>
      <c r="Z87" s="283">
        <v>95.63</v>
      </c>
      <c r="AA87" s="283">
        <v>95.63</v>
      </c>
      <c r="AB87" s="283">
        <v>95.63</v>
      </c>
      <c r="AC87" s="283">
        <v>95.63</v>
      </c>
      <c r="AD87" s="283">
        <v>95.63</v>
      </c>
      <c r="AE87" s="283">
        <v>95.63</v>
      </c>
      <c r="AF87" s="283">
        <v>95.63</v>
      </c>
      <c r="AG87" s="283">
        <v>95.63</v>
      </c>
      <c r="AH87" s="283">
        <v>95.63</v>
      </c>
      <c r="AI87" s="283">
        <v>95.63</v>
      </c>
      <c r="AJ87" s="283">
        <v>95.63</v>
      </c>
      <c r="AK87" s="283">
        <v>95.63</v>
      </c>
      <c r="AL87" s="283">
        <v>95.63</v>
      </c>
    </row>
    <row r="88" spans="1:38">
      <c r="B88" s="283" t="s">
        <v>471</v>
      </c>
      <c r="C88" s="300">
        <f t="shared" ref="C88" si="204">C84/C86</f>
        <v>0.74114353397221922</v>
      </c>
      <c r="D88" s="300">
        <f>D84/D86</f>
        <v>0.78712871287128716</v>
      </c>
      <c r="E88" s="300">
        <f t="shared" ref="E88:G88" si="205">E84/E86</f>
        <v>0.79993553239497162</v>
      </c>
      <c r="F88" s="300">
        <f t="shared" si="205"/>
        <v>0.76916469830362899</v>
      </c>
      <c r="G88" s="300">
        <f t="shared" si="205"/>
        <v>0.98140429624879777</v>
      </c>
      <c r="H88" s="300">
        <f>H84/H86</f>
        <v>1.1460134486071085</v>
      </c>
      <c r="I88" s="300">
        <f>I84/I86</f>
        <v>1.1344842284739982</v>
      </c>
      <c r="J88" s="300">
        <f t="shared" ref="J88:AH88" si="206">J84/J86</f>
        <v>1.12082180114967</v>
      </c>
      <c r="K88" s="300">
        <f t="shared" si="206"/>
        <v>1.5403277293041071</v>
      </c>
      <c r="L88" s="300">
        <f t="shared" si="206"/>
        <v>1.9388493034138041</v>
      </c>
      <c r="M88" s="300">
        <f t="shared" si="206"/>
        <v>1.9118708855383308</v>
      </c>
      <c r="N88" s="300">
        <f t="shared" si="206"/>
        <v>2.2061101092606346</v>
      </c>
      <c r="O88" s="300">
        <f t="shared" si="206"/>
        <v>2.4700392406405767</v>
      </c>
      <c r="P88" s="300">
        <f t="shared" si="206"/>
        <v>1.8930917567281202</v>
      </c>
      <c r="Q88" s="300">
        <f t="shared" si="206"/>
        <v>2.4722398813307906</v>
      </c>
      <c r="R88" s="300">
        <f t="shared" si="206"/>
        <v>1.5076287349014621</v>
      </c>
      <c r="S88" s="300">
        <f t="shared" ca="1" si="206"/>
        <v>1.7132612063160744</v>
      </c>
      <c r="T88" s="300">
        <f t="shared" ca="1" si="206"/>
        <v>1.7601200871754559</v>
      </c>
      <c r="U88" s="300">
        <f t="shared" ca="1" si="206"/>
        <v>1.8526047567343866</v>
      </c>
      <c r="V88" s="300">
        <f t="shared" ca="1" si="206"/>
        <v>1.9039775013679929</v>
      </c>
      <c r="W88" s="300">
        <f t="shared" ca="1" si="206"/>
        <v>2.0086311194239661</v>
      </c>
      <c r="X88" s="300">
        <f t="shared" ca="1" si="206"/>
        <v>2.0615683664321907</v>
      </c>
      <c r="Y88" s="300">
        <f t="shared" ca="1" si="206"/>
        <v>2.1844564960449606</v>
      </c>
      <c r="Z88" s="300">
        <f t="shared" ca="1" si="206"/>
        <v>2.2669921493134084</v>
      </c>
      <c r="AA88" s="300">
        <f t="shared" ca="1" si="206"/>
        <v>2.3574987495923017</v>
      </c>
      <c r="AB88" s="300">
        <f t="shared" ca="1" si="206"/>
        <v>2.4274540532663007</v>
      </c>
      <c r="AC88" s="300">
        <f t="shared" ca="1" si="206"/>
        <v>2.5790641897273727</v>
      </c>
      <c r="AD88" s="300">
        <f t="shared" ca="1" si="206"/>
        <v>2.7116583249046888</v>
      </c>
      <c r="AE88" s="300">
        <f t="shared" ca="1" si="206"/>
        <v>2.7873696911058876</v>
      </c>
      <c r="AF88" s="300">
        <f t="shared" ca="1" si="206"/>
        <v>2.866625805149118</v>
      </c>
      <c r="AG88" s="300">
        <f t="shared" ca="1" si="206"/>
        <v>3.048294578476936</v>
      </c>
      <c r="AH88" s="300">
        <f t="shared" ca="1" si="206"/>
        <v>3.221975605900278</v>
      </c>
      <c r="AI88" s="300">
        <f t="shared" ref="AI88:AL88" ca="1" si="207">AI84/AI86</f>
        <v>3.2783188858819261</v>
      </c>
      <c r="AJ88" s="300">
        <f t="shared" ca="1" si="207"/>
        <v>3.3628015919070573</v>
      </c>
      <c r="AK88" s="300">
        <f t="shared" ca="1" si="207"/>
        <v>3.5747756874724437</v>
      </c>
      <c r="AL88" s="300">
        <f t="shared" ca="1" si="207"/>
        <v>3.8040447684358982</v>
      </c>
    </row>
    <row r="89" spans="1:38">
      <c r="A89" s="285"/>
      <c r="B89" s="285" t="s">
        <v>472</v>
      </c>
      <c r="C89" s="301">
        <f t="shared" ref="C89" si="208">C84/C87</f>
        <v>0.73340436867341507</v>
      </c>
      <c r="D89" s="301">
        <f>D84/D87</f>
        <v>0.77849920170303355</v>
      </c>
      <c r="E89" s="301">
        <f t="shared" ref="E89:G89" si="209">E84/E87</f>
        <v>0.7922741300415026</v>
      </c>
      <c r="F89" s="301">
        <f t="shared" si="209"/>
        <v>0.75897870537133172</v>
      </c>
      <c r="G89" s="301">
        <f t="shared" si="209"/>
        <v>0.96979617699862708</v>
      </c>
      <c r="H89" s="301">
        <f>H84/H87</f>
        <v>1.1325949367088608</v>
      </c>
      <c r="I89" s="301">
        <f>I84/I87</f>
        <v>1.1213397935538234</v>
      </c>
      <c r="J89" s="301">
        <f t="shared" ref="J89:AH89" si="210">J84/J87</f>
        <v>1.1079659055035254</v>
      </c>
      <c r="K89" s="301">
        <f t="shared" si="210"/>
        <v>1.5218671152228762</v>
      </c>
      <c r="L89" s="301">
        <f t="shared" si="210"/>
        <v>1.9142167156656869</v>
      </c>
      <c r="M89" s="301">
        <f t="shared" si="210"/>
        <v>1.8876192473005555</v>
      </c>
      <c r="N89" s="301">
        <f t="shared" si="210"/>
        <v>2.1770124568198472</v>
      </c>
      <c r="O89" s="301">
        <f t="shared" si="210"/>
        <v>2.4351735675449602</v>
      </c>
      <c r="P89" s="301">
        <f t="shared" si="210"/>
        <v>1.8683467531109483</v>
      </c>
      <c r="Q89" s="301">
        <f t="shared" si="210"/>
        <v>2.4399247098190946</v>
      </c>
      <c r="R89" s="301">
        <f t="shared" si="210"/>
        <v>1.4879222001463976</v>
      </c>
      <c r="S89" s="301">
        <f t="shared" ca="1" si="210"/>
        <v>1.6908668059407206</v>
      </c>
      <c r="T89" s="301">
        <f t="shared" ca="1" si="210"/>
        <v>1.7371131844360508</v>
      </c>
      <c r="U89" s="301">
        <f t="shared" ca="1" si="210"/>
        <v>1.8283889672758697</v>
      </c>
      <c r="V89" s="301">
        <f t="shared" ca="1" si="210"/>
        <v>1.8790902078752607</v>
      </c>
      <c r="W89" s="301">
        <f t="shared" ca="1" si="210"/>
        <v>1.982375876306953</v>
      </c>
      <c r="X89" s="301">
        <f t="shared" ca="1" si="210"/>
        <v>2.0346211693388074</v>
      </c>
      <c r="Y89" s="301">
        <f t="shared" ca="1" si="210"/>
        <v>2.1559030021617001</v>
      </c>
      <c r="Z89" s="301">
        <f t="shared" ca="1" si="210"/>
        <v>2.2373598144117897</v>
      </c>
      <c r="AA89" s="301">
        <f t="shared" ca="1" si="210"/>
        <v>2.3266833837344079</v>
      </c>
      <c r="AB89" s="301">
        <f t="shared" ca="1" si="210"/>
        <v>2.3957242868061641</v>
      </c>
      <c r="AC89" s="301">
        <f t="shared" ca="1" si="210"/>
        <v>2.5453526950378484</v>
      </c>
      <c r="AD89" s="301">
        <f t="shared" ca="1" si="210"/>
        <v>2.6762136641692411</v>
      </c>
      <c r="AE89" s="301">
        <f t="shared" ca="1" si="210"/>
        <v>2.7509353910548331</v>
      </c>
      <c r="AF89" s="301">
        <f t="shared" ca="1" si="210"/>
        <v>2.8291555316320585</v>
      </c>
      <c r="AG89" s="301">
        <f t="shared" ca="1" si="210"/>
        <v>3.0084496739166915</v>
      </c>
      <c r="AH89" s="301">
        <f t="shared" ca="1" si="210"/>
        <v>3.179860479816671</v>
      </c>
      <c r="AI89" s="301">
        <f t="shared" ref="AI89:AL89" ca="1" si="211">AI84/AI87</f>
        <v>3.2354672848430011</v>
      </c>
      <c r="AJ89" s="301">
        <f t="shared" ca="1" si="211"/>
        <v>3.3188456995104891</v>
      </c>
      <c r="AK89" s="301">
        <f t="shared" ca="1" si="211"/>
        <v>3.5280490367421229</v>
      </c>
      <c r="AL89" s="301">
        <f t="shared" ca="1" si="211"/>
        <v>3.754321292951794</v>
      </c>
    </row>
    <row r="90" spans="1:38">
      <c r="F90" s="289"/>
    </row>
    <row r="91" spans="1:38">
      <c r="B91" s="294" t="s">
        <v>473</v>
      </c>
      <c r="C91" s="302">
        <f t="shared" ref="C91:R91" si="212">C85/C3</f>
        <v>2.0983079601769789E-3</v>
      </c>
      <c r="D91" s="302">
        <f t="shared" si="212"/>
        <v>3.4999359767807626E-3</v>
      </c>
      <c r="E91" s="302">
        <f t="shared" si="212"/>
        <v>5.2267428743325581E-3</v>
      </c>
      <c r="F91" s="302">
        <f t="shared" si="212"/>
        <v>1.1169146874280577E-3</v>
      </c>
      <c r="G91" s="302">
        <f t="shared" si="212"/>
        <v>2.8073448976402749E-3</v>
      </c>
      <c r="H91" s="302">
        <f t="shared" si="212"/>
        <v>4.0158583396375704E-3</v>
      </c>
      <c r="I91" s="302">
        <f t="shared" si="212"/>
        <v>3.5696494008122643E-3</v>
      </c>
      <c r="J91" s="302">
        <f t="shared" si="212"/>
        <v>-4.2267007112897949E-4</v>
      </c>
      <c r="K91" s="302">
        <f t="shared" si="212"/>
        <v>1.2423312883436167E-3</v>
      </c>
      <c r="L91" s="302">
        <f t="shared" si="212"/>
        <v>3.2971769777057416E-4</v>
      </c>
      <c r="M91" s="302">
        <f t="shared" si="212"/>
        <v>6.9704033123737922E-4</v>
      </c>
      <c r="N91" s="302">
        <f t="shared" si="212"/>
        <v>1.2471608025063375E-2</v>
      </c>
      <c r="O91" s="302">
        <f t="shared" si="212"/>
        <v>9.5671988902185801E-3</v>
      </c>
      <c r="P91" s="302">
        <f t="shared" si="212"/>
        <v>9.6776382762130981E-3</v>
      </c>
      <c r="Q91" s="302">
        <f t="shared" si="212"/>
        <v>8.9335566722501393E-4</v>
      </c>
      <c r="R91" s="302">
        <f t="shared" si="212"/>
        <v>-2.3911609498680733E-3</v>
      </c>
      <c r="S91" s="274">
        <v>5.0000000000000001E-3</v>
      </c>
      <c r="T91" s="274">
        <v>5.0000000000000001E-3</v>
      </c>
      <c r="U91" s="274">
        <v>5.0000000000000001E-3</v>
      </c>
      <c r="V91" s="274">
        <v>5.0000000000000001E-3</v>
      </c>
      <c r="W91" s="274">
        <v>5.0000000000000001E-3</v>
      </c>
      <c r="X91" s="274">
        <v>5.0000000000000001E-3</v>
      </c>
      <c r="Y91" s="274">
        <v>5.0000000000000001E-3</v>
      </c>
      <c r="Z91" s="274">
        <v>5.0000000000000001E-3</v>
      </c>
      <c r="AA91" s="274">
        <v>5.0000000000000001E-3</v>
      </c>
      <c r="AB91" s="274">
        <v>5.0000000000000001E-3</v>
      </c>
      <c r="AC91" s="274">
        <v>5.0000000000000001E-3</v>
      </c>
      <c r="AD91" s="274">
        <v>5.0000000000000001E-3</v>
      </c>
      <c r="AE91" s="274">
        <v>5.0000000000000001E-3</v>
      </c>
      <c r="AF91" s="274">
        <v>5.0000000000000001E-3</v>
      </c>
      <c r="AG91" s="274">
        <v>5.0000000000000001E-3</v>
      </c>
      <c r="AH91" s="274">
        <v>5.0000000000000001E-3</v>
      </c>
      <c r="AI91" s="274">
        <v>5.0000000000000001E-3</v>
      </c>
      <c r="AJ91" s="274">
        <v>5.0000000000000001E-3</v>
      </c>
      <c r="AK91" s="274">
        <v>5.0000000000000001E-3</v>
      </c>
      <c r="AL91" s="274">
        <v>5.0000000000000001E-3</v>
      </c>
    </row>
    <row r="93" spans="1:38">
      <c r="B93" s="283" t="s">
        <v>474</v>
      </c>
      <c r="C93" s="289">
        <v>7.82</v>
      </c>
      <c r="D93" s="289">
        <v>7.7</v>
      </c>
      <c r="E93" s="289">
        <v>7.81</v>
      </c>
      <c r="F93" s="289">
        <v>8.26</v>
      </c>
      <c r="G93" s="289">
        <v>8.69</v>
      </c>
      <c r="H93" s="289">
        <v>9.07</v>
      </c>
      <c r="I93" s="289">
        <v>9.33</v>
      </c>
      <c r="J93" s="289">
        <v>10.07</v>
      </c>
      <c r="K93" s="289">
        <v>10.83</v>
      </c>
      <c r="L93" s="289">
        <v>11.58</v>
      </c>
      <c r="M93" s="289">
        <v>12.63</v>
      </c>
      <c r="N93" s="289">
        <v>13.76</v>
      </c>
      <c r="O93" s="289">
        <v>16.64</v>
      </c>
      <c r="P93" s="289">
        <v>19.18</v>
      </c>
      <c r="Q93" s="289">
        <v>23.21</v>
      </c>
      <c r="R93" s="289">
        <f>'业务表-年度'!F93-'业务表-季度'!Q93-'业务表-季度'!P93-'业务表-季度'!O93</f>
        <v>22.282849179845215</v>
      </c>
      <c r="S93" s="289"/>
      <c r="T93" s="289"/>
      <c r="U93" s="289"/>
      <c r="V93" s="289"/>
      <c r="W93" s="289"/>
      <c r="X93" s="289"/>
      <c r="Y93" s="289"/>
      <c r="Z93" s="289"/>
      <c r="AA93" s="289"/>
      <c r="AB93" s="289"/>
      <c r="AC93" s="289"/>
      <c r="AD93" s="289"/>
      <c r="AE93" s="289"/>
      <c r="AF93" s="289"/>
      <c r="AG93" s="289"/>
    </row>
    <row r="94" spans="1:38">
      <c r="B94" s="283" t="s">
        <v>475</v>
      </c>
      <c r="C94" s="289">
        <v>7.23</v>
      </c>
      <c r="D94" s="289">
        <v>6.62</v>
      </c>
      <c r="E94" s="289">
        <v>8.67</v>
      </c>
      <c r="F94" s="289">
        <v>12.24</v>
      </c>
      <c r="G94" s="289">
        <v>12.71</v>
      </c>
      <c r="H94" s="289">
        <v>18.82</v>
      </c>
      <c r="I94" s="289">
        <v>22.64</v>
      </c>
      <c r="J94" s="289">
        <v>35.130000000000003</v>
      </c>
      <c r="K94" s="289">
        <v>36.39</v>
      </c>
      <c r="L94" s="289">
        <v>47.93</v>
      </c>
      <c r="M94" s="289">
        <v>49.5</v>
      </c>
      <c r="N94" s="289">
        <v>52.4</v>
      </c>
      <c r="O94" s="289">
        <v>55.41</v>
      </c>
      <c r="P94" s="289">
        <v>62.62</v>
      </c>
      <c r="Q94" s="289">
        <v>72.3</v>
      </c>
      <c r="R94" s="289">
        <f>'业务表-年度'!F94-'业务表-季度'!Q94-'业务表-季度'!P94-'业务表-季度'!O94</f>
        <v>49.635111696817347</v>
      </c>
      <c r="S94" s="289"/>
      <c r="T94" s="289"/>
      <c r="U94" s="289"/>
      <c r="V94" s="289"/>
      <c r="W94" s="289"/>
      <c r="X94" s="289"/>
      <c r="Y94" s="289"/>
      <c r="Z94" s="289"/>
      <c r="AA94" s="289"/>
      <c r="AB94" s="289"/>
      <c r="AC94" s="289"/>
      <c r="AD94" s="289"/>
      <c r="AE94" s="289"/>
      <c r="AF94" s="289"/>
      <c r="AG94" s="289"/>
    </row>
    <row r="95" spans="1:38">
      <c r="B95" s="283" t="s">
        <v>476</v>
      </c>
      <c r="C95" s="289">
        <f t="shared" ref="C95:P95" si="213">C62-C38-C42+C93+C94</f>
        <v>99.450000000000031</v>
      </c>
      <c r="D95" s="289">
        <f t="shared" si="213"/>
        <v>102.57999999999996</v>
      </c>
      <c r="E95" s="289">
        <f t="shared" si="213"/>
        <v>108.06</v>
      </c>
      <c r="F95" s="289">
        <f t="shared" si="213"/>
        <v>120.39999999999998</v>
      </c>
      <c r="G95" s="289">
        <f t="shared" si="213"/>
        <v>143.33821</v>
      </c>
      <c r="H95" s="289">
        <f t="shared" si="213"/>
        <v>155.81330000000005</v>
      </c>
      <c r="I95" s="289">
        <f t="shared" si="213"/>
        <v>158.79171000000002</v>
      </c>
      <c r="J95" s="289">
        <f t="shared" si="213"/>
        <v>167.62459999999999</v>
      </c>
      <c r="K95" s="289">
        <f t="shared" si="213"/>
        <v>199.84560000000005</v>
      </c>
      <c r="L95" s="289">
        <f t="shared" si="213"/>
        <v>224.22664000000003</v>
      </c>
      <c r="M95" s="289">
        <f t="shared" si="213"/>
        <v>240.28453999999991</v>
      </c>
      <c r="N95" s="289">
        <f t="shared" si="213"/>
        <v>232.81015000000005</v>
      </c>
      <c r="O95" s="289">
        <f t="shared" si="213"/>
        <v>292.67457000000002</v>
      </c>
      <c r="P95" s="289">
        <f t="shared" si="213"/>
        <v>264.12644</v>
      </c>
      <c r="Q95" s="289">
        <f>Q62-Q38-Q42+Q93+Q94</f>
        <v>275.68000000000006</v>
      </c>
      <c r="R95" s="289">
        <f>R62-R38-R42+R93+R94</f>
        <v>252.6879608766626</v>
      </c>
      <c r="S95" s="289"/>
      <c r="T95" s="289"/>
      <c r="U95" s="289"/>
      <c r="V95" s="289"/>
      <c r="W95" s="289"/>
      <c r="X95" s="289"/>
      <c r="Y95" s="289"/>
      <c r="Z95" s="289"/>
      <c r="AA95" s="289"/>
      <c r="AB95" s="289"/>
      <c r="AC95" s="289"/>
      <c r="AD95" s="289"/>
      <c r="AE95" s="289"/>
      <c r="AF95" s="289"/>
      <c r="AG95" s="289"/>
    </row>
    <row r="96" spans="1:38">
      <c r="B96" s="295" t="s">
        <v>477</v>
      </c>
      <c r="C96" s="289">
        <v>5.61</v>
      </c>
      <c r="D96" s="289">
        <v>6.41</v>
      </c>
      <c r="E96" s="289">
        <v>7.63</v>
      </c>
      <c r="F96" s="289">
        <v>7.91</v>
      </c>
      <c r="G96" s="289">
        <v>6.75</v>
      </c>
      <c r="H96" s="289">
        <v>8.1999999999999993</v>
      </c>
      <c r="I96" s="289">
        <v>10.98</v>
      </c>
      <c r="J96" s="289">
        <v>17.2</v>
      </c>
      <c r="K96" s="289">
        <v>13.05</v>
      </c>
      <c r="L96" s="289">
        <v>13.75</v>
      </c>
      <c r="M96" s="289">
        <v>16.079999999999998</v>
      </c>
      <c r="N96" s="289">
        <v>18.489999999999998</v>
      </c>
      <c r="O96" s="289">
        <v>16.09</v>
      </c>
      <c r="P96" s="289">
        <v>17.3</v>
      </c>
      <c r="Q96" s="289">
        <v>20.09</v>
      </c>
      <c r="R96" s="289">
        <f>R106</f>
        <v>24.59</v>
      </c>
      <c r="S96" s="289"/>
      <c r="T96" s="289"/>
      <c r="U96" s="289"/>
      <c r="V96" s="289"/>
      <c r="W96" s="289"/>
      <c r="X96" s="289"/>
      <c r="Y96" s="289"/>
      <c r="Z96" s="289"/>
      <c r="AA96" s="289"/>
      <c r="AB96" s="289"/>
      <c r="AC96" s="289"/>
      <c r="AD96" s="289"/>
      <c r="AE96" s="289"/>
      <c r="AF96" s="289"/>
      <c r="AG96" s="289"/>
    </row>
    <row r="97" spans="1:33">
      <c r="B97" s="283" t="s">
        <v>478</v>
      </c>
      <c r="C97" s="289">
        <f t="shared" ref="C97:N97" si="214">C95+C96</f>
        <v>105.06000000000003</v>
      </c>
      <c r="D97" s="289">
        <f t="shared" si="214"/>
        <v>108.98999999999995</v>
      </c>
      <c r="E97" s="289">
        <f t="shared" si="214"/>
        <v>115.69</v>
      </c>
      <c r="F97" s="289">
        <f t="shared" si="214"/>
        <v>128.30999999999997</v>
      </c>
      <c r="G97" s="289">
        <f t="shared" si="214"/>
        <v>150.08821</v>
      </c>
      <c r="H97" s="289">
        <f t="shared" si="214"/>
        <v>164.01330000000004</v>
      </c>
      <c r="I97" s="289">
        <f t="shared" si="214"/>
        <v>169.77171000000001</v>
      </c>
      <c r="J97" s="289">
        <f t="shared" si="214"/>
        <v>184.82459999999998</v>
      </c>
      <c r="K97" s="289">
        <f t="shared" si="214"/>
        <v>212.89560000000006</v>
      </c>
      <c r="L97" s="289">
        <f t="shared" si="214"/>
        <v>237.97664000000003</v>
      </c>
      <c r="M97" s="289">
        <f t="shared" si="214"/>
        <v>256.36453999999992</v>
      </c>
      <c r="N97" s="289">
        <f t="shared" si="214"/>
        <v>251.30015000000006</v>
      </c>
      <c r="O97" s="289">
        <f>O95+O96</f>
        <v>308.76456999999999</v>
      </c>
      <c r="P97" s="289">
        <f>P95+P96</f>
        <v>281.42644000000001</v>
      </c>
      <c r="Q97" s="289">
        <f>Q95+Q96</f>
        <v>295.77000000000004</v>
      </c>
      <c r="R97" s="289">
        <f>R95+R96</f>
        <v>277.27796087666258</v>
      </c>
      <c r="S97" s="289"/>
      <c r="T97" s="289"/>
      <c r="U97" s="289"/>
      <c r="V97" s="289"/>
      <c r="W97" s="289"/>
      <c r="X97" s="289"/>
      <c r="Y97" s="289"/>
      <c r="Z97" s="289"/>
      <c r="AA97" s="289"/>
      <c r="AB97" s="289"/>
      <c r="AC97" s="289"/>
      <c r="AD97" s="289"/>
      <c r="AE97" s="289"/>
      <c r="AF97" s="289"/>
      <c r="AG97" s="289"/>
    </row>
    <row r="99" spans="1:33">
      <c r="O99" s="642">
        <f t="shared" ref="O99:R100" si="215">O106/K106-1</f>
        <v>0.21882001493651981</v>
      </c>
      <c r="P99" s="642">
        <f t="shared" si="215"/>
        <v>0.27698863636363646</v>
      </c>
      <c r="Q99" s="642">
        <f t="shared" si="215"/>
        <v>0.2322303921568627</v>
      </c>
      <c r="R99" s="642">
        <f t="shared" si="215"/>
        <v>0.31216648879402364</v>
      </c>
    </row>
    <row r="100" spans="1:33">
      <c r="L100" s="642"/>
      <c r="M100" s="642"/>
      <c r="N100" s="642"/>
      <c r="O100" s="642">
        <f t="shared" si="215"/>
        <v>-0.34640522875816993</v>
      </c>
      <c r="P100" s="642">
        <f t="shared" si="215"/>
        <v>-0.13913043478260867</v>
      </c>
      <c r="Q100" s="642">
        <f t="shared" si="215"/>
        <v>0.15454545454545454</v>
      </c>
      <c r="R100" s="642">
        <f t="shared" si="215"/>
        <v>0.76785714285714257</v>
      </c>
    </row>
    <row r="101" spans="1:33">
      <c r="B101" s="549" t="s">
        <v>479</v>
      </c>
      <c r="C101" s="549"/>
      <c r="D101" s="549"/>
      <c r="E101" s="549"/>
      <c r="F101" s="549"/>
      <c r="G101" s="549"/>
      <c r="H101" s="549"/>
      <c r="I101" s="549"/>
      <c r="J101" s="549"/>
      <c r="K101" s="549"/>
      <c r="L101" s="549"/>
      <c r="M101" s="549"/>
      <c r="N101" s="549"/>
      <c r="O101" s="549"/>
      <c r="P101" s="549"/>
      <c r="Q101" s="549"/>
      <c r="R101" s="549"/>
      <c r="S101" s="549"/>
    </row>
    <row r="102" spans="1:33">
      <c r="B102" s="283" t="s">
        <v>992</v>
      </c>
      <c r="C102" s="283">
        <f>-核心数据模型!M198-核心数据模型!M199-核心数据模型!M200</f>
        <v>-8.39</v>
      </c>
      <c r="D102" s="283">
        <f>-核心数据模型!N198-核心数据模型!N199-核心数据模型!N200</f>
        <v>-14.87</v>
      </c>
      <c r="E102" s="283">
        <f>-核心数据模型!O198-核心数据模型!O199-核心数据模型!O200</f>
        <v>-10.199999999999999</v>
      </c>
      <c r="F102" s="283">
        <f>-核心数据模型!P198-核心数据模型!P199-核心数据模型!P200</f>
        <v>-9.2900000000000027</v>
      </c>
      <c r="G102" s="283">
        <f>-核心数据模型!Q198-核心数据模型!Q199-核心数据模型!Q200</f>
        <v>-7.33</v>
      </c>
      <c r="H102" s="283">
        <f>-核心数据模型!R198-核心数据模型!R199-核心数据模型!R200</f>
        <v>-29.9</v>
      </c>
      <c r="I102" s="283">
        <f>-核心数据模型!S198-核心数据模型!S199-核心数据模型!S200</f>
        <v>-24.04</v>
      </c>
      <c r="J102" s="283">
        <f>-核心数据模型!T198-核心数据模型!T199-核心数据模型!T200</f>
        <v>-14.969999999999999</v>
      </c>
      <c r="K102" s="283">
        <v>-27.47</v>
      </c>
      <c r="L102" s="283">
        <f>-核心数据模型!V198-核心数据模型!V199-核心数据模型!V200</f>
        <v>-56.19</v>
      </c>
      <c r="M102" s="283">
        <f>-核心数据模型!W198-核心数据模型!W199-核心数据模型!W200</f>
        <v>-31.689999999999998</v>
      </c>
      <c r="N102" s="289">
        <v>-62.81</v>
      </c>
      <c r="O102" s="283">
        <v>-77.88</v>
      </c>
      <c r="P102" s="283">
        <f>-核心数据模型!Z198-核心数据模型!Z199-核心数据模型!Z200</f>
        <v>-40.1</v>
      </c>
      <c r="Q102" s="283">
        <f>-核心数据模型!AA198-核心数据模型!AA199-核心数据模型!AA200</f>
        <v>-209.49</v>
      </c>
      <c r="R102" s="283">
        <v>15.79</v>
      </c>
    </row>
    <row r="103" spans="1:33">
      <c r="B103" s="283" t="s">
        <v>991</v>
      </c>
      <c r="C103" s="283">
        <f>-核心数据模型!M201</f>
        <v>2.23</v>
      </c>
      <c r="D103" s="283">
        <f>-核心数据模型!N201</f>
        <v>10.52</v>
      </c>
      <c r="E103" s="283">
        <f>-核心数据模型!O201</f>
        <v>3.79</v>
      </c>
      <c r="F103" s="283">
        <f>-核心数据模型!P201</f>
        <v>7.1900000000000013</v>
      </c>
      <c r="G103" s="283">
        <f>-核心数据模型!Q201</f>
        <v>0.6</v>
      </c>
      <c r="H103" s="283">
        <f>-核心数据模型!R201</f>
        <v>24.37</v>
      </c>
      <c r="I103" s="283">
        <f>-核心数据模型!S201</f>
        <v>17.100000000000001</v>
      </c>
      <c r="J103" s="283">
        <f>-核心数据模型!T201</f>
        <v>6.0200000000000014</v>
      </c>
      <c r="K103" s="283">
        <f>-核心数据模型!U201</f>
        <v>5.03</v>
      </c>
      <c r="L103" s="283">
        <f>-核心数据模型!V201</f>
        <v>15.72</v>
      </c>
      <c r="M103" s="283">
        <f>-核心数据模型!W201</f>
        <v>2.95</v>
      </c>
      <c r="N103" s="283">
        <f>-核心数据模型!X201</f>
        <v>4.2400000000000011</v>
      </c>
      <c r="O103" s="283">
        <f>-核心数据模型!Y201</f>
        <v>6.36</v>
      </c>
      <c r="P103" s="283">
        <f>-核心数据模型!Z201</f>
        <v>25.64</v>
      </c>
      <c r="Q103" s="283">
        <f>-核心数据模型!AA201</f>
        <v>135.13</v>
      </c>
      <c r="R103" s="283">
        <v>8.64</v>
      </c>
    </row>
    <row r="104" spans="1:33">
      <c r="B104" s="295" t="s">
        <v>993</v>
      </c>
      <c r="C104" s="283">
        <f>C102+C103</f>
        <v>-6.16</v>
      </c>
      <c r="D104" s="283">
        <f t="shared" ref="D104:P104" si="216">D102+D103</f>
        <v>-4.3499999999999996</v>
      </c>
      <c r="E104" s="283">
        <f t="shared" si="216"/>
        <v>-6.4099999999999993</v>
      </c>
      <c r="F104" s="283">
        <f t="shared" si="216"/>
        <v>-2.1000000000000014</v>
      </c>
      <c r="G104" s="283">
        <f t="shared" si="216"/>
        <v>-6.73</v>
      </c>
      <c r="H104" s="283">
        <f t="shared" si="216"/>
        <v>-5.5299999999999976</v>
      </c>
      <c r="I104" s="283">
        <f t="shared" si="216"/>
        <v>-6.9399999999999977</v>
      </c>
      <c r="J104" s="283">
        <f t="shared" si="216"/>
        <v>-8.9499999999999975</v>
      </c>
      <c r="K104" s="283">
        <f t="shared" si="216"/>
        <v>-22.439999999999998</v>
      </c>
      <c r="L104" s="283">
        <f t="shared" si="216"/>
        <v>-40.47</v>
      </c>
      <c r="M104" s="283">
        <f t="shared" si="216"/>
        <v>-28.74</v>
      </c>
      <c r="N104" s="283">
        <f t="shared" si="216"/>
        <v>-58.57</v>
      </c>
      <c r="O104" s="283">
        <f t="shared" si="216"/>
        <v>-71.52</v>
      </c>
      <c r="P104" s="283">
        <f t="shared" si="216"/>
        <v>-14.46</v>
      </c>
      <c r="Q104" s="283">
        <f>Q102+Q103</f>
        <v>-74.360000000000014</v>
      </c>
      <c r="R104" s="283">
        <f>R102+R103</f>
        <v>24.43</v>
      </c>
      <c r="S104" s="289">
        <f ca="1">S105*S42</f>
        <v>14.738159307999771</v>
      </c>
    </row>
    <row r="105" spans="1:33">
      <c r="B105" s="287" t="s">
        <v>994</v>
      </c>
      <c r="C105" s="288">
        <f t="shared" ref="C105:R105" si="217">C104/C42*-1</f>
        <v>1.4987834549878345</v>
      </c>
      <c r="D105" s="288">
        <f t="shared" si="217"/>
        <v>0.71078431372549011</v>
      </c>
      <c r="E105" s="288">
        <f t="shared" si="217"/>
        <v>1.0439739413680782</v>
      </c>
      <c r="F105" s="288">
        <f t="shared" si="217"/>
        <v>0.84337349397590411</v>
      </c>
      <c r="G105" s="288">
        <f t="shared" si="217"/>
        <v>1.3300395256916997</v>
      </c>
      <c r="H105" s="288">
        <f t="shared" si="217"/>
        <v>0.60702524698133897</v>
      </c>
      <c r="I105" s="288">
        <f t="shared" si="217"/>
        <v>0.60086580086580066</v>
      </c>
      <c r="J105" s="288">
        <f t="shared" si="217"/>
        <v>0.87573385518590974</v>
      </c>
      <c r="K105" s="288">
        <f t="shared" si="217"/>
        <v>0.70322782826700092</v>
      </c>
      <c r="L105" s="288">
        <f t="shared" si="217"/>
        <v>0.78965853658536578</v>
      </c>
      <c r="M105" s="288">
        <f t="shared" si="217"/>
        <v>0.7335375191424196</v>
      </c>
      <c r="N105" s="288">
        <f t="shared" si="217"/>
        <v>0.74082974955729819</v>
      </c>
      <c r="O105" s="288">
        <f t="shared" si="217"/>
        <v>0.94291364535266975</v>
      </c>
      <c r="P105" s="288">
        <f t="shared" si="217"/>
        <v>0.5770151636073424</v>
      </c>
      <c r="Q105" s="288">
        <f t="shared" si="217"/>
        <v>0.84866468842729981</v>
      </c>
      <c r="R105" s="288">
        <f t="shared" si="217"/>
        <v>1.1421224871435249</v>
      </c>
      <c r="S105" s="274">
        <v>0.85</v>
      </c>
    </row>
    <row r="106" spans="1:33" s="285" customFormat="1">
      <c r="A106" s="283"/>
      <c r="B106" s="283" t="s">
        <v>990</v>
      </c>
      <c r="C106" s="283"/>
      <c r="D106" s="283"/>
      <c r="E106" s="283"/>
      <c r="F106" s="283"/>
      <c r="G106" s="283"/>
      <c r="H106" s="283"/>
      <c r="I106" s="283"/>
      <c r="J106" s="283"/>
      <c r="K106" s="283">
        <v>13.39</v>
      </c>
      <c r="L106" s="283">
        <v>14.08</v>
      </c>
      <c r="M106" s="283">
        <v>16.32</v>
      </c>
      <c r="N106" s="283">
        <v>18.739999999999998</v>
      </c>
      <c r="O106" s="283">
        <v>16.32</v>
      </c>
      <c r="P106" s="283">
        <v>17.98</v>
      </c>
      <c r="Q106" s="283">
        <v>20.11</v>
      </c>
      <c r="R106" s="283">
        <v>24.59</v>
      </c>
      <c r="S106" s="283"/>
    </row>
    <row r="107" spans="1:33">
      <c r="B107" s="283" t="s">
        <v>475</v>
      </c>
      <c r="K107" s="283">
        <v>1.53</v>
      </c>
      <c r="L107" s="283">
        <v>1.1499999999999999</v>
      </c>
      <c r="M107" s="289">
        <v>1.1000000000000001</v>
      </c>
      <c r="N107" s="283">
        <v>1.1200000000000001</v>
      </c>
      <c r="O107" s="289">
        <v>1</v>
      </c>
      <c r="P107" s="283">
        <v>0.99</v>
      </c>
      <c r="Q107" s="283">
        <v>1.27</v>
      </c>
      <c r="R107" s="283">
        <v>1.98</v>
      </c>
    </row>
    <row r="108" spans="1:33">
      <c r="A108" s="285"/>
      <c r="B108" s="285" t="s">
        <v>456</v>
      </c>
      <c r="C108" s="305">
        <v>93.99</v>
      </c>
      <c r="D108" s="305">
        <v>103.16</v>
      </c>
      <c r="E108" s="305">
        <v>105.16</v>
      </c>
      <c r="F108" s="305">
        <v>115.33</v>
      </c>
      <c r="G108" s="305">
        <v>134.84</v>
      </c>
      <c r="H108" s="305">
        <v>149.87</v>
      </c>
      <c r="I108" s="305">
        <v>150.37</v>
      </c>
      <c r="J108" s="305">
        <v>149.46</v>
      </c>
      <c r="K108" s="305">
        <f t="shared" ref="K108:R108" si="218">K62+K104+K106+K107</f>
        <v>185.09560000000002</v>
      </c>
      <c r="L108" s="305">
        <f t="shared" si="218"/>
        <v>200.31664000000004</v>
      </c>
      <c r="M108" s="305">
        <f t="shared" si="218"/>
        <v>216.18453999999988</v>
      </c>
      <c r="N108" s="305">
        <f t="shared" si="218"/>
        <v>218.56015000000008</v>
      </c>
      <c r="O108" s="305">
        <f t="shared" si="218"/>
        <v>252.92456999999996</v>
      </c>
      <c r="P108" s="305">
        <f t="shared" si="218"/>
        <v>222.61644000000001</v>
      </c>
      <c r="Q108" s="305">
        <f t="shared" si="218"/>
        <v>225.63000000000008</v>
      </c>
      <c r="R108" s="305">
        <f t="shared" si="218"/>
        <v>223.88000000000005</v>
      </c>
      <c r="S108" s="285"/>
    </row>
    <row r="109" spans="1:33">
      <c r="B109" s="287" t="s">
        <v>392</v>
      </c>
      <c r="C109" s="289"/>
      <c r="D109" s="289"/>
      <c r="E109" s="288"/>
      <c r="F109" s="288"/>
      <c r="G109" s="288">
        <f>G108/C108-1</f>
        <v>0.43462070433024791</v>
      </c>
      <c r="H109" s="288">
        <f t="shared" ref="H109:R109" si="219">H108/D108-1</f>
        <v>0.45279177975959684</v>
      </c>
      <c r="I109" s="288">
        <f t="shared" si="219"/>
        <v>0.42991631799163188</v>
      </c>
      <c r="J109" s="288">
        <f t="shared" si="219"/>
        <v>0.29593340848001404</v>
      </c>
      <c r="K109" s="288">
        <f t="shared" si="219"/>
        <v>0.37270542865618528</v>
      </c>
      <c r="L109" s="288">
        <f t="shared" si="219"/>
        <v>0.33660265563488379</v>
      </c>
      <c r="M109" s="288">
        <f t="shared" si="219"/>
        <v>0.43768397951719007</v>
      </c>
      <c r="N109" s="288">
        <f t="shared" si="219"/>
        <v>0.46233206209019184</v>
      </c>
      <c r="O109" s="288">
        <f t="shared" si="219"/>
        <v>0.3664537136485142</v>
      </c>
      <c r="P109" s="288">
        <f t="shared" si="219"/>
        <v>0.11132275381615808</v>
      </c>
      <c r="Q109" s="288">
        <f t="shared" si="219"/>
        <v>4.3691653436458422E-2</v>
      </c>
      <c r="R109" s="288">
        <f t="shared" si="219"/>
        <v>2.4340439005006154E-2</v>
      </c>
    </row>
    <row r="110" spans="1:33">
      <c r="B110" s="287" t="s">
        <v>347</v>
      </c>
      <c r="C110" s="289"/>
      <c r="D110" s="288">
        <f t="shared" ref="D110:E110" si="220">D108/C108-1</f>
        <v>9.7563570592616333E-2</v>
      </c>
      <c r="E110" s="288">
        <f t="shared" si="220"/>
        <v>1.9387359441644048E-2</v>
      </c>
      <c r="F110" s="288">
        <f>F108/E108-1</f>
        <v>9.6709775580068547E-2</v>
      </c>
      <c r="G110" s="288">
        <f t="shared" ref="G110:R110" si="221">G108/F108-1</f>
        <v>0.16916673892309042</v>
      </c>
      <c r="H110" s="288">
        <f t="shared" si="221"/>
        <v>0.11146544052210028</v>
      </c>
      <c r="I110" s="288">
        <f t="shared" si="221"/>
        <v>3.336224728097692E-3</v>
      </c>
      <c r="J110" s="288">
        <f t="shared" si="221"/>
        <v>-6.0517390436921614E-3</v>
      </c>
      <c r="K110" s="288">
        <f t="shared" si="221"/>
        <v>0.23842901110665071</v>
      </c>
      <c r="L110" s="288">
        <f t="shared" si="221"/>
        <v>8.2233397228243188E-2</v>
      </c>
      <c r="M110" s="288">
        <f t="shared" si="221"/>
        <v>7.9214088255473269E-2</v>
      </c>
      <c r="N110" s="288">
        <f t="shared" si="221"/>
        <v>1.0988806137572027E-2</v>
      </c>
      <c r="O110" s="288">
        <f t="shared" si="221"/>
        <v>0.15723094992385334</v>
      </c>
      <c r="P110" s="288">
        <f t="shared" si="221"/>
        <v>-0.11983070683880159</v>
      </c>
      <c r="Q110" s="288">
        <f t="shared" si="221"/>
        <v>1.3537005622765719E-2</v>
      </c>
      <c r="R110" s="288">
        <f t="shared" si="221"/>
        <v>-7.7560608075168957E-3</v>
      </c>
    </row>
    <row r="111" spans="1:33">
      <c r="B111" s="287" t="s">
        <v>480</v>
      </c>
      <c r="C111" s="288">
        <f t="shared" ref="C111:R111" si="222">C108/C3</f>
        <v>0.41961694718514214</v>
      </c>
      <c r="D111" s="288">
        <f t="shared" si="222"/>
        <v>0.4403090187374622</v>
      </c>
      <c r="E111" s="288">
        <f t="shared" si="222"/>
        <v>0.39542754004662706</v>
      </c>
      <c r="F111" s="288">
        <f t="shared" si="222"/>
        <v>0.37886403206202163</v>
      </c>
      <c r="G111" s="288">
        <f t="shared" si="222"/>
        <v>0.42144085013283328</v>
      </c>
      <c r="H111" s="288">
        <f t="shared" si="222"/>
        <v>0.41990978117732758</v>
      </c>
      <c r="I111" s="288">
        <f t="shared" si="222"/>
        <v>0.37231355848271763</v>
      </c>
      <c r="J111" s="288">
        <f t="shared" si="222"/>
        <v>0.34073499908809052</v>
      </c>
      <c r="K111" s="288">
        <f t="shared" si="222"/>
        <v>0.37353810138844046</v>
      </c>
      <c r="L111" s="288">
        <f t="shared" si="222"/>
        <v>0.35387881143341698</v>
      </c>
      <c r="M111" s="288">
        <f t="shared" si="222"/>
        <v>0.3315205336604814</v>
      </c>
      <c r="N111" s="288">
        <f t="shared" si="222"/>
        <v>0.32919651464031818</v>
      </c>
      <c r="O111" s="288">
        <f t="shared" si="222"/>
        <v>0.34398401969317804</v>
      </c>
      <c r="P111" s="288">
        <f t="shared" si="222"/>
        <v>0.30216008143875128</v>
      </c>
      <c r="Q111" s="288">
        <f t="shared" si="222"/>
        <v>0.27995533221663882</v>
      </c>
      <c r="R111" s="288">
        <f t="shared" si="222"/>
        <v>0.26371089332830761</v>
      </c>
    </row>
    <row r="112" spans="1:33" s="285" customFormat="1">
      <c r="A112" s="283"/>
      <c r="B112" s="283" t="s">
        <v>990</v>
      </c>
      <c r="C112" s="283"/>
      <c r="D112" s="283"/>
      <c r="E112" s="283"/>
      <c r="F112" s="283"/>
      <c r="G112" s="283"/>
      <c r="H112" s="283"/>
      <c r="I112" s="283"/>
      <c r="J112" s="283"/>
      <c r="K112" s="289">
        <v>15.3</v>
      </c>
      <c r="L112" s="283">
        <v>15.53</v>
      </c>
      <c r="M112" s="283">
        <v>18.510000000000002</v>
      </c>
      <c r="N112" s="283">
        <v>21.46</v>
      </c>
      <c r="O112" s="283">
        <v>16.82</v>
      </c>
      <c r="P112" s="283">
        <v>25.62</v>
      </c>
      <c r="Q112" s="283">
        <v>35.31</v>
      </c>
      <c r="R112" s="283">
        <v>28.79</v>
      </c>
      <c r="S112" s="283"/>
    </row>
    <row r="113" spans="2:19">
      <c r="B113" s="283" t="s">
        <v>475</v>
      </c>
      <c r="K113" s="289">
        <v>5</v>
      </c>
      <c r="L113" s="283">
        <v>4.72</v>
      </c>
      <c r="M113" s="283">
        <v>3.95</v>
      </c>
      <c r="N113" s="283">
        <v>4.74</v>
      </c>
      <c r="O113" s="283">
        <v>5.31</v>
      </c>
      <c r="P113" s="283">
        <v>8.1300000000000008</v>
      </c>
      <c r="Q113" s="283">
        <v>9.16</v>
      </c>
      <c r="R113" s="283">
        <v>18.82</v>
      </c>
    </row>
    <row r="114" spans="2:19">
      <c r="B114" s="283" t="s">
        <v>1039</v>
      </c>
      <c r="C114" s="289">
        <v>72.930000000000007</v>
      </c>
      <c r="D114" s="289">
        <v>80.92</v>
      </c>
      <c r="E114" s="289">
        <v>84.5</v>
      </c>
      <c r="F114" s="289">
        <v>90.17</v>
      </c>
      <c r="G114" s="289">
        <v>101.34</v>
      </c>
      <c r="H114" s="289">
        <v>114.96</v>
      </c>
      <c r="I114" s="289">
        <v>119.29</v>
      </c>
      <c r="J114" s="289">
        <v>124.32</v>
      </c>
      <c r="K114" s="289">
        <v>143.72</v>
      </c>
      <c r="L114" s="289">
        <v>164.87</v>
      </c>
      <c r="M114" s="289">
        <v>171.74</v>
      </c>
      <c r="N114" s="289">
        <v>183.71</v>
      </c>
      <c r="O114" s="289">
        <v>191.3</v>
      </c>
      <c r="P114" s="289">
        <v>204.99</v>
      </c>
      <c r="Q114" s="289">
        <v>204.23</v>
      </c>
      <c r="R114" s="289">
        <v>202.4</v>
      </c>
      <c r="S114" s="298"/>
    </row>
    <row r="115" spans="2:19">
      <c r="B115" s="287" t="s">
        <v>392</v>
      </c>
      <c r="C115" s="289"/>
      <c r="D115" s="289"/>
      <c r="E115" s="288"/>
      <c r="F115" s="288"/>
      <c r="G115" s="288">
        <f>G114/C114-1</f>
        <v>0.38955162484574246</v>
      </c>
      <c r="H115" s="288">
        <f t="shared" ref="H115:R115" si="223">H114/D114-1</f>
        <v>0.42066238260009881</v>
      </c>
      <c r="I115" s="288">
        <f t="shared" si="223"/>
        <v>0.41171597633136092</v>
      </c>
      <c r="J115" s="288">
        <f t="shared" si="223"/>
        <v>0.37872906731728939</v>
      </c>
      <c r="K115" s="288">
        <f t="shared" si="223"/>
        <v>0.41819617130451947</v>
      </c>
      <c r="L115" s="288">
        <f t="shared" si="223"/>
        <v>0.43415100904662496</v>
      </c>
      <c r="M115" s="288">
        <f t="shared" si="223"/>
        <v>0.43968480174364988</v>
      </c>
      <c r="N115" s="288">
        <f t="shared" si="223"/>
        <v>0.47771879021879027</v>
      </c>
      <c r="O115" s="288">
        <f t="shared" si="223"/>
        <v>0.33106039521291408</v>
      </c>
      <c r="P115" s="288">
        <f t="shared" si="223"/>
        <v>0.24334324012858621</v>
      </c>
      <c r="Q115" s="288">
        <f t="shared" si="223"/>
        <v>0.18918132060090831</v>
      </c>
      <c r="R115" s="288">
        <f t="shared" si="223"/>
        <v>0.10173643242066288</v>
      </c>
    </row>
    <row r="116" spans="2:19">
      <c r="B116" s="287" t="s">
        <v>347</v>
      </c>
      <c r="C116" s="289"/>
      <c r="D116" s="288">
        <f t="shared" ref="D116:E116" si="224">D114/C114-1</f>
        <v>0.10955710955710951</v>
      </c>
      <c r="E116" s="288">
        <f t="shared" si="224"/>
        <v>4.4241225902125425E-2</v>
      </c>
      <c r="F116" s="288">
        <f>F114/E114-1</f>
        <v>6.7100591715976377E-2</v>
      </c>
      <c r="G116" s="288">
        <f t="shared" ref="G116:R116" si="225">G114/F114-1</f>
        <v>0.12387712099367865</v>
      </c>
      <c r="H116" s="288">
        <f t="shared" si="225"/>
        <v>0.13439905269390162</v>
      </c>
      <c r="I116" s="288">
        <f t="shared" si="225"/>
        <v>3.7665274878218691E-2</v>
      </c>
      <c r="J116" s="288">
        <f t="shared" si="225"/>
        <v>4.2166149719171653E-2</v>
      </c>
      <c r="K116" s="288">
        <f t="shared" si="225"/>
        <v>0.15604890604890609</v>
      </c>
      <c r="L116" s="288">
        <f t="shared" si="225"/>
        <v>0.14716114667408853</v>
      </c>
      <c r="M116" s="288">
        <f t="shared" si="225"/>
        <v>4.166919391035373E-2</v>
      </c>
      <c r="N116" s="288">
        <f t="shared" si="225"/>
        <v>6.9698381274018839E-2</v>
      </c>
      <c r="O116" s="288">
        <f t="shared" si="225"/>
        <v>4.1315116215774772E-2</v>
      </c>
      <c r="P116" s="288">
        <f t="shared" si="225"/>
        <v>7.1562990067955967E-2</v>
      </c>
      <c r="Q116" s="288">
        <f t="shared" si="225"/>
        <v>-3.7074979267281982E-3</v>
      </c>
      <c r="R116" s="288">
        <f t="shared" si="225"/>
        <v>-8.9604857268764659E-3</v>
      </c>
    </row>
    <row r="117" spans="2:19">
      <c r="B117" s="287" t="s">
        <v>481</v>
      </c>
      <c r="C117" s="288">
        <f t="shared" ref="C117:R117" si="226">C114/C3</f>
        <v>0.32559489262913527</v>
      </c>
      <c r="D117" s="288">
        <f t="shared" si="226"/>
        <v>0.34538392590379452</v>
      </c>
      <c r="E117" s="288">
        <f t="shared" si="226"/>
        <v>0.31774084379935325</v>
      </c>
      <c r="F117" s="288">
        <f t="shared" si="226"/>
        <v>0.2962123451923393</v>
      </c>
      <c r="G117" s="288">
        <f t="shared" si="226"/>
        <v>0.31673699015471168</v>
      </c>
      <c r="H117" s="288">
        <f t="shared" si="226"/>
        <v>0.32209800790115151</v>
      </c>
      <c r="I117" s="288">
        <f t="shared" si="226"/>
        <v>0.29536000792314548</v>
      </c>
      <c r="J117" s="288">
        <f t="shared" si="226"/>
        <v>0.28342148458872879</v>
      </c>
      <c r="K117" s="288">
        <f t="shared" si="226"/>
        <v>0.29003874717468514</v>
      </c>
      <c r="L117" s="288">
        <f t="shared" si="226"/>
        <v>0.29125887715083204</v>
      </c>
      <c r="M117" s="288">
        <f t="shared" si="226"/>
        <v>0.26336451464499316</v>
      </c>
      <c r="N117" s="288">
        <f t="shared" si="226"/>
        <v>0.27670502470177127</v>
      </c>
      <c r="O117" s="288">
        <f t="shared" si="226"/>
        <v>0.26017299532151023</v>
      </c>
      <c r="P117" s="288">
        <f t="shared" si="226"/>
        <v>0.27823549372242962</v>
      </c>
      <c r="Q117" s="288">
        <f t="shared" si="226"/>
        <v>0.25340281655189523</v>
      </c>
      <c r="R117" s="288">
        <f t="shared" si="226"/>
        <v>0.23840934790802865</v>
      </c>
    </row>
    <row r="118" spans="2:19" s="285" customFormat="1">
      <c r="B118" s="291" t="s">
        <v>1038</v>
      </c>
      <c r="C118" s="299">
        <v>72.02</v>
      </c>
      <c r="D118" s="299">
        <v>79.75</v>
      </c>
      <c r="E118" s="299">
        <v>82.8</v>
      </c>
      <c r="F118" s="299">
        <v>89.53</v>
      </c>
      <c r="G118" s="299">
        <v>100.32</v>
      </c>
      <c r="H118" s="299">
        <v>113.19</v>
      </c>
      <c r="I118" s="299">
        <v>117.37</v>
      </c>
      <c r="J118" s="299">
        <v>123.32</v>
      </c>
      <c r="K118" s="299">
        <v>142.11000000000001</v>
      </c>
      <c r="L118" s="299">
        <v>163.91</v>
      </c>
      <c r="M118" s="299">
        <v>170.7</v>
      </c>
      <c r="N118" s="299">
        <v>174.54</v>
      </c>
      <c r="O118" s="299">
        <v>183.13</v>
      </c>
      <c r="P118" s="299">
        <v>197.16</v>
      </c>
      <c r="Q118" s="299">
        <v>197.1</v>
      </c>
      <c r="R118" s="299">
        <v>197.3</v>
      </c>
    </row>
    <row r="119" spans="2:19">
      <c r="B119" s="287" t="s">
        <v>392</v>
      </c>
      <c r="C119" s="289"/>
      <c r="D119" s="289"/>
      <c r="E119" s="288"/>
      <c r="F119" s="288"/>
      <c r="G119" s="288">
        <f>G118/C118-1</f>
        <v>0.39294640377672874</v>
      </c>
      <c r="H119" s="288">
        <f t="shared" ref="H119:R119" si="227">H118/D118-1</f>
        <v>0.41931034482758611</v>
      </c>
      <c r="I119" s="288">
        <f t="shared" si="227"/>
        <v>0.41751207729468609</v>
      </c>
      <c r="J119" s="288">
        <f t="shared" si="227"/>
        <v>0.37741539148888625</v>
      </c>
      <c r="K119" s="288">
        <f t="shared" si="227"/>
        <v>0.41656698564593331</v>
      </c>
      <c r="L119" s="288">
        <f t="shared" si="227"/>
        <v>0.44809612156550926</v>
      </c>
      <c r="M119" s="288">
        <f t="shared" si="227"/>
        <v>0.4543750532504045</v>
      </c>
      <c r="N119" s="288">
        <f t="shared" si="227"/>
        <v>0.4153421991566657</v>
      </c>
      <c r="O119" s="288">
        <f t="shared" si="227"/>
        <v>0.28864963760467233</v>
      </c>
      <c r="P119" s="288">
        <f t="shared" si="227"/>
        <v>0.20285522542858891</v>
      </c>
      <c r="Q119" s="288">
        <f t="shared" si="227"/>
        <v>0.15465729349736379</v>
      </c>
      <c r="R119" s="288">
        <f t="shared" si="227"/>
        <v>0.13039990833046877</v>
      </c>
    </row>
    <row r="120" spans="2:19">
      <c r="B120" s="287" t="s">
        <v>347</v>
      </c>
      <c r="C120" s="289"/>
      <c r="D120" s="288">
        <f t="shared" ref="D120:E120" si="228">D118/C118-1</f>
        <v>0.10733129686198284</v>
      </c>
      <c r="E120" s="288">
        <f t="shared" si="228"/>
        <v>3.8244514106583027E-2</v>
      </c>
      <c r="F120" s="288">
        <f>F118/E118-1</f>
        <v>8.1280193236715093E-2</v>
      </c>
      <c r="G120" s="288">
        <f t="shared" ref="G120:R120" si="229">G118/F118-1</f>
        <v>0.12051826203507199</v>
      </c>
      <c r="H120" s="288">
        <f t="shared" si="229"/>
        <v>0.12828947368421062</v>
      </c>
      <c r="I120" s="288">
        <f t="shared" si="229"/>
        <v>3.6929057337220739E-2</v>
      </c>
      <c r="J120" s="288">
        <f t="shared" si="229"/>
        <v>5.0694385277328058E-2</v>
      </c>
      <c r="K120" s="288">
        <f t="shared" si="229"/>
        <v>0.15236782354849199</v>
      </c>
      <c r="L120" s="288">
        <f t="shared" si="229"/>
        <v>0.15340229399760741</v>
      </c>
      <c r="M120" s="288">
        <f t="shared" si="229"/>
        <v>4.1425172350680217E-2</v>
      </c>
      <c r="N120" s="288">
        <f t="shared" si="229"/>
        <v>2.2495606326889295E-2</v>
      </c>
      <c r="O120" s="288">
        <f t="shared" si="229"/>
        <v>4.921507963790539E-2</v>
      </c>
      <c r="P120" s="288">
        <f t="shared" si="229"/>
        <v>7.6612242669142239E-2</v>
      </c>
      <c r="Q120" s="288">
        <f t="shared" si="229"/>
        <v>-3.0432136335967197E-4</v>
      </c>
      <c r="R120" s="288">
        <f t="shared" si="229"/>
        <v>1.0147133434805777E-3</v>
      </c>
    </row>
    <row r="121" spans="2:19">
      <c r="B121" s="287" t="s">
        <v>482</v>
      </c>
      <c r="C121" s="288">
        <f t="shared" ref="C121:R121" si="230">C118/C3</f>
        <v>0.32153221125943121</v>
      </c>
      <c r="D121" s="288">
        <f t="shared" si="230"/>
        <v>0.34039011481497294</v>
      </c>
      <c r="E121" s="288">
        <f t="shared" si="230"/>
        <v>0.31134842445664435</v>
      </c>
      <c r="F121" s="288">
        <f t="shared" si="230"/>
        <v>0.29410991754541577</v>
      </c>
      <c r="G121" s="288">
        <f t="shared" si="230"/>
        <v>0.31354899203000469</v>
      </c>
      <c r="H121" s="288">
        <f t="shared" si="230"/>
        <v>0.31713877448096156</v>
      </c>
      <c r="I121" s="288">
        <f t="shared" si="230"/>
        <v>0.29060612062989011</v>
      </c>
      <c r="J121" s="288">
        <f t="shared" si="230"/>
        <v>0.28114171074229438</v>
      </c>
      <c r="K121" s="288">
        <f t="shared" si="230"/>
        <v>0.28678963513077171</v>
      </c>
      <c r="L121" s="288">
        <f t="shared" si="230"/>
        <v>0.28956294385754155</v>
      </c>
      <c r="M121" s="288">
        <f t="shared" si="230"/>
        <v>0.26176966722895262</v>
      </c>
      <c r="N121" s="288">
        <f t="shared" si="230"/>
        <v>0.26289311965297019</v>
      </c>
      <c r="O121" s="288">
        <f t="shared" si="230"/>
        <v>0.24906158198237408</v>
      </c>
      <c r="P121" s="288">
        <f t="shared" si="230"/>
        <v>0.26760773668137089</v>
      </c>
      <c r="Q121" s="288">
        <f t="shared" si="230"/>
        <v>0.24455611390284754</v>
      </c>
      <c r="R121" s="288">
        <f t="shared" si="230"/>
        <v>0.23240199773840936</v>
      </c>
    </row>
    <row r="123" spans="2:19">
      <c r="C123" s="443">
        <f t="shared" ref="C123:P123" si="231">C118/C114</f>
        <v>0.9875222816399285</v>
      </c>
      <c r="D123" s="443">
        <f t="shared" si="231"/>
        <v>0.98554127533366287</v>
      </c>
      <c r="E123" s="443">
        <f t="shared" si="231"/>
        <v>0.97988165680473371</v>
      </c>
      <c r="F123" s="443">
        <f t="shared" si="231"/>
        <v>0.99290229566374621</v>
      </c>
      <c r="G123" s="443">
        <f t="shared" si="231"/>
        <v>0.98993487270574299</v>
      </c>
      <c r="H123" s="443">
        <f t="shared" si="231"/>
        <v>0.98460334029227559</v>
      </c>
      <c r="I123" s="443">
        <f t="shared" si="231"/>
        <v>0.98390476988850695</v>
      </c>
      <c r="J123" s="443">
        <f t="shared" si="231"/>
        <v>0.99195624195624199</v>
      </c>
      <c r="K123" s="443">
        <f t="shared" si="231"/>
        <v>0.98879766212079057</v>
      </c>
      <c r="L123" s="443">
        <f t="shared" si="231"/>
        <v>0.99417723054527807</v>
      </c>
      <c r="M123" s="443">
        <f t="shared" si="231"/>
        <v>0.99394433445906594</v>
      </c>
      <c r="N123" s="443">
        <f t="shared" si="231"/>
        <v>0.95008437210821395</v>
      </c>
      <c r="O123" s="443">
        <f t="shared" si="231"/>
        <v>0.95729221118661778</v>
      </c>
      <c r="P123" s="443">
        <f t="shared" si="231"/>
        <v>0.96180301478120878</v>
      </c>
      <c r="Q123" s="443">
        <f>Q118/Q114</f>
        <v>0.96508838074719683</v>
      </c>
      <c r="R123" s="443">
        <f>R118/R114</f>
        <v>0.97480237154150196</v>
      </c>
    </row>
  </sheetData>
  <phoneticPr fontId="7" type="noConversion"/>
  <pageMargins left="0.7" right="0.7" top="0.75" bottom="0.75" header="0.3" footer="0.3"/>
  <pageSetup paperSize="9" orientation="portrait" horizontalDpi="200" verticalDpi="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Q123"/>
  <sheetViews>
    <sheetView zoomScale="80" zoomScaleNormal="80" workbookViewId="0">
      <pane xSplit="2" ySplit="3" topLeftCell="C4" activePane="bottomRight" state="frozen"/>
      <selection activeCell="E103" activeCellId="1" sqref="N81 E103"/>
      <selection pane="topRight" activeCell="E103" activeCellId="1" sqref="N81 E103"/>
      <selection pane="bottomLeft" activeCell="E103" activeCellId="1" sqref="N81 E103"/>
      <selection pane="bottomRight" activeCell="I66" sqref="I66"/>
    </sheetView>
  </sheetViews>
  <sheetFormatPr defaultColWidth="9" defaultRowHeight="16.5"/>
  <cols>
    <col min="1" max="1" width="7" style="283" customWidth="1"/>
    <col min="2" max="2" width="18.625" style="283" customWidth="1"/>
    <col min="3" max="11" width="10.75" style="283" customWidth="1"/>
    <col min="12" max="12" width="10" style="283" customWidth="1"/>
    <col min="13" max="13" width="9.75" style="283" customWidth="1"/>
    <col min="14" max="16384" width="9" style="283"/>
  </cols>
  <sheetData>
    <row r="1" spans="2:11">
      <c r="B1" s="283" t="s">
        <v>483</v>
      </c>
      <c r="E1" s="298"/>
    </row>
    <row r="2" spans="2:11" s="284" customFormat="1">
      <c r="C2" s="284">
        <v>2015</v>
      </c>
      <c r="D2" s="284">
        <v>2016</v>
      </c>
      <c r="E2" s="284">
        <v>2017</v>
      </c>
      <c r="F2" s="284">
        <v>2018</v>
      </c>
      <c r="G2" s="284" t="s">
        <v>230</v>
      </c>
      <c r="H2" s="284" t="s">
        <v>235</v>
      </c>
      <c r="I2" s="284" t="s">
        <v>151</v>
      </c>
      <c r="J2" s="284" t="s">
        <v>152</v>
      </c>
      <c r="K2" s="284" t="s">
        <v>1062</v>
      </c>
    </row>
    <row r="3" spans="2:11" s="285" customFormat="1">
      <c r="B3" s="285" t="s">
        <v>484</v>
      </c>
      <c r="C3" s="304">
        <f>C6+C10+C14</f>
        <v>1028.6300000000001</v>
      </c>
      <c r="D3" s="304">
        <f t="shared" ref="D3:J3" si="0">D6+D10+D14</f>
        <v>1519.3799999999999</v>
      </c>
      <c r="E3" s="304">
        <f t="shared" si="0"/>
        <v>2377.6000000000004</v>
      </c>
      <c r="F3" s="304">
        <f t="shared" si="0"/>
        <v>3126.94</v>
      </c>
      <c r="G3" s="304">
        <f t="shared" ca="1" si="0"/>
        <v>3879.9360647926833</v>
      </c>
      <c r="H3" s="304">
        <f t="shared" ca="1" si="0"/>
        <v>4729.6756226241196</v>
      </c>
      <c r="I3" s="304">
        <f t="shared" ca="1" si="0"/>
        <v>5625.3207134707627</v>
      </c>
      <c r="J3" s="304">
        <f t="shared" ca="1" si="0"/>
        <v>6628.7271188970499</v>
      </c>
      <c r="K3" s="304">
        <f t="shared" ref="K3" ca="1" si="1">K6+K10+K14</f>
        <v>7759.2079023160068</v>
      </c>
    </row>
    <row r="4" spans="2:11">
      <c r="B4" s="287" t="s">
        <v>315</v>
      </c>
      <c r="C4" s="288"/>
      <c r="D4" s="288">
        <f>D3/C3-1</f>
        <v>0.47709088787999554</v>
      </c>
      <c r="E4" s="288">
        <f t="shared" ref="E4:K4" si="2">E3/D3-1</f>
        <v>0.56484881991338609</v>
      </c>
      <c r="F4" s="288">
        <f t="shared" si="2"/>
        <v>0.31516655450874809</v>
      </c>
      <c r="G4" s="288">
        <f t="shared" ca="1" si="2"/>
        <v>0.2408092463535223</v>
      </c>
      <c r="H4" s="288">
        <f t="shared" ca="1" si="2"/>
        <v>0.21900864953475474</v>
      </c>
      <c r="I4" s="288">
        <f t="shared" ca="1" si="2"/>
        <v>0.18936712838452996</v>
      </c>
      <c r="J4" s="288">
        <f t="shared" ca="1" si="2"/>
        <v>0.17837319088731496</v>
      </c>
      <c r="K4" s="288">
        <f t="shared" ca="1" si="2"/>
        <v>0.17054266424638365</v>
      </c>
    </row>
    <row r="5" spans="2:11">
      <c r="B5" s="287" t="s">
        <v>347</v>
      </c>
      <c r="C5" s="288"/>
      <c r="D5" s="288"/>
      <c r="E5" s="288"/>
      <c r="F5" s="288"/>
      <c r="G5" s="288"/>
      <c r="H5" s="288"/>
    </row>
    <row r="6" spans="2:11">
      <c r="B6" s="548" t="s">
        <v>317</v>
      </c>
      <c r="C6" s="303">
        <f>'业务表-季度'!C6+'业务表-季度'!D6+'业务表-季度'!E6+'业务表-季度'!F6</f>
        <v>806.69</v>
      </c>
      <c r="D6" s="303">
        <f>'业务表-季度'!G6+'业务表-季度'!H6+'业务表-季度'!I6+'业务表-季度'!J6</f>
        <v>1078.0999999999999</v>
      </c>
      <c r="E6" s="303">
        <f>'业务表-季度'!K6+'业务表-季度'!L6+'业务表-季度'!M6+'业务表-季度'!N6</f>
        <v>1539.8300000000002</v>
      </c>
      <c r="F6" s="303">
        <f>'业务表-季度'!O6+'业务表-季度'!P6+'业务表-季度'!Q6+'业务表-季度'!R6</f>
        <v>1766.46</v>
      </c>
      <c r="G6" s="303">
        <f ca="1">'业务表-季度'!S6+'业务表-季度'!T6+'业务表-季度'!U6+'业务表-季度'!V6</f>
        <v>1958.4991844415872</v>
      </c>
      <c r="H6" s="303">
        <f ca="1">'业务表-季度'!W6+'业务表-季度'!X6+'业务表-季度'!Y6+'业务表-季度'!Z6</f>
        <v>2201.8068233234799</v>
      </c>
      <c r="I6" s="303">
        <f ca="1">'业务表-季度'!AA6+'业务表-季度'!AB6+'业务表-季度'!AC6+'业务表-季度'!AD6</f>
        <v>2484.3047791177</v>
      </c>
      <c r="J6" s="303">
        <f ca="1">'业务表-季度'!AE6+'业务表-季度'!AF6+'业务表-季度'!AG6+'业务表-季度'!AH6</f>
        <v>2787.9511011544191</v>
      </c>
      <c r="K6" s="303">
        <f ca="1">'业务表-季度'!AL6+'业务表-季度'!AK6+'业务表-季度'!AJ6+'业务表-季度'!AI6</f>
        <v>3093.9793666349997</v>
      </c>
    </row>
    <row r="7" spans="2:11">
      <c r="B7" s="287" t="s">
        <v>432</v>
      </c>
      <c r="C7" s="288"/>
      <c r="D7" s="288">
        <f>D6/C6-1</f>
        <v>0.33644894569165329</v>
      </c>
      <c r="E7" s="288">
        <f t="shared" ref="E7:K7" si="3">E6/D6-1</f>
        <v>0.42828123550691055</v>
      </c>
      <c r="F7" s="288">
        <f t="shared" si="3"/>
        <v>0.14717858464895461</v>
      </c>
      <c r="G7" s="288">
        <f t="shared" ca="1" si="3"/>
        <v>0.10871414265909629</v>
      </c>
      <c r="H7" s="288">
        <f t="shared" ca="1" si="3"/>
        <v>0.12423167740622021</v>
      </c>
      <c r="I7" s="288">
        <f t="shared" ca="1" si="3"/>
        <v>0.12830278878317247</v>
      </c>
      <c r="J7" s="288">
        <f t="shared" ca="1" si="3"/>
        <v>0.1222258736484656</v>
      </c>
      <c r="K7" s="288">
        <f t="shared" ca="1" si="3"/>
        <v>0.10976816105342091</v>
      </c>
    </row>
    <row r="8" spans="2:11">
      <c r="B8" s="287" t="s">
        <v>347</v>
      </c>
      <c r="C8" s="288"/>
      <c r="D8" s="288"/>
      <c r="E8" s="288"/>
      <c r="F8" s="288"/>
      <c r="G8" s="288"/>
      <c r="H8" s="288"/>
      <c r="I8" s="288"/>
      <c r="J8" s="288"/>
    </row>
    <row r="9" spans="2:11">
      <c r="B9" s="287" t="s">
        <v>351</v>
      </c>
      <c r="C9" s="288">
        <f>C6/C3</f>
        <v>0.78423728648785274</v>
      </c>
      <c r="D9" s="288">
        <f t="shared" ref="D9:K9" si="4">D6/D3</f>
        <v>0.70956574392186289</v>
      </c>
      <c r="E9" s="288">
        <f t="shared" si="4"/>
        <v>0.64764047779273215</v>
      </c>
      <c r="F9" s="288">
        <f t="shared" si="4"/>
        <v>0.56491649983690129</v>
      </c>
      <c r="G9" s="288">
        <f t="shared" ca="1" si="4"/>
        <v>0.50477614881683253</v>
      </c>
      <c r="H9" s="288">
        <f t="shared" ca="1" si="4"/>
        <v>0.4655301967837433</v>
      </c>
      <c r="I9" s="288">
        <f t="shared" ca="1" si="4"/>
        <v>0.44162900315507708</v>
      </c>
      <c r="J9" s="288">
        <f t="shared" ca="1" si="4"/>
        <v>0.42058619266534308</v>
      </c>
      <c r="K9" s="288">
        <f t="shared" ca="1" si="4"/>
        <v>0.39874938338892729</v>
      </c>
    </row>
    <row r="10" spans="2:11">
      <c r="B10" s="548" t="s">
        <v>356</v>
      </c>
      <c r="C10" s="303">
        <f>'业务表-季度'!C10+'业务表-季度'!D10+'业务表-季度'!E10+'业务表-季度'!F10</f>
        <v>174.68</v>
      </c>
      <c r="D10" s="303">
        <f>'业务表-季度'!G10+'业务表-季度'!H10+'业务表-季度'!I10+'业务表-季度'!J10</f>
        <v>269.7</v>
      </c>
      <c r="E10" s="303">
        <f>'业务表-季度'!K10+'业务表-季度'!L10+'业务表-季度'!M10+'业务表-季度'!N10</f>
        <v>404.39000000000004</v>
      </c>
      <c r="F10" s="303">
        <f>'业务表-季度'!O10+'业务表-季度'!P10+'业务表-季度'!Q10+'业务表-季度'!R10</f>
        <v>580.79000000000008</v>
      </c>
      <c r="G10" s="303">
        <f ca="1">'业务表-季度'!S10+'业务表-季度'!T10+'业务表-季度'!U10+'业务表-季度'!V10</f>
        <v>759.18023442322954</v>
      </c>
      <c r="H10" s="303">
        <f ca="1">'业务表-季度'!W10+'业务表-季度'!X10+'业务表-季度'!Y10+'业务表-季度'!Z10</f>
        <v>927.70629512957839</v>
      </c>
      <c r="I10" s="303">
        <f ca="1">'业务表-季度'!AA10+'业务表-季度'!AB10+'业务表-季度'!AC10+'业务表-季度'!AD10</f>
        <v>1115.0785752849458</v>
      </c>
      <c r="J10" s="303">
        <f ca="1">'业务表-季度'!AE10+'业务表-季度'!AF10+'业务表-季度'!AG10+'业务表-季度'!AH10</f>
        <v>1320.1331455097366</v>
      </c>
      <c r="K10" s="303">
        <f ca="1">'业务表-季度'!AL10+'业务表-季度'!AK10+'业务表-季度'!AJ10+'业务表-季度'!AI10</f>
        <v>1540.8371023048035</v>
      </c>
    </row>
    <row r="11" spans="2:11">
      <c r="B11" s="287" t="s">
        <v>373</v>
      </c>
      <c r="C11" s="288"/>
      <c r="D11" s="288">
        <f>D10/C10-1</f>
        <v>0.54396610945729318</v>
      </c>
      <c r="E11" s="288">
        <f t="shared" ref="E11:K11" si="5">E10/D10-1</f>
        <v>0.49940674823878406</v>
      </c>
      <c r="F11" s="288">
        <f t="shared" si="5"/>
        <v>0.43621256707633727</v>
      </c>
      <c r="G11" s="288">
        <f t="shared" ca="1" si="5"/>
        <v>0.30715100883835711</v>
      </c>
      <c r="H11" s="288">
        <f t="shared" ca="1" si="5"/>
        <v>0.22198425757802132</v>
      </c>
      <c r="I11" s="288">
        <f t="shared" ca="1" si="5"/>
        <v>0.2019737077769812</v>
      </c>
      <c r="J11" s="288">
        <f t="shared" ca="1" si="5"/>
        <v>0.18389248504069888</v>
      </c>
      <c r="K11" s="288">
        <f t="shared" ca="1" si="5"/>
        <v>0.16718310387536528</v>
      </c>
    </row>
    <row r="12" spans="2:11">
      <c r="B12" s="287" t="s">
        <v>347</v>
      </c>
      <c r="C12" s="288"/>
      <c r="D12" s="288"/>
      <c r="E12" s="288"/>
      <c r="F12" s="288"/>
      <c r="G12" s="288"/>
      <c r="H12" s="288"/>
      <c r="I12" s="288"/>
      <c r="J12" s="288"/>
    </row>
    <row r="13" spans="2:11">
      <c r="B13" s="287" t="s">
        <v>351</v>
      </c>
      <c r="C13" s="288">
        <f>C10/C3</f>
        <v>0.16981810757998503</v>
      </c>
      <c r="D13" s="288">
        <f t="shared" ref="D13:K13" si="6">D10/D3</f>
        <v>0.17750661454014138</v>
      </c>
      <c r="E13" s="288">
        <f t="shared" si="6"/>
        <v>0.17008327725437414</v>
      </c>
      <c r="F13" s="288">
        <f t="shared" si="6"/>
        <v>0.18573749416362326</v>
      </c>
      <c r="G13" s="288">
        <f t="shared" ca="1" si="6"/>
        <v>0.19566823312172152</v>
      </c>
      <c r="H13" s="288">
        <f t="shared" ca="1" si="6"/>
        <v>0.19614586055160971</v>
      </c>
      <c r="I13" s="288">
        <f t="shared" ca="1" si="6"/>
        <v>0.19822488922537437</v>
      </c>
      <c r="J13" s="288">
        <f t="shared" ca="1" si="6"/>
        <v>0.19915333997477827</v>
      </c>
      <c r="K13" s="288">
        <f t="shared" ca="1" si="6"/>
        <v>0.19858175237769912</v>
      </c>
    </row>
    <row r="14" spans="2:11">
      <c r="B14" s="548" t="s">
        <v>435</v>
      </c>
      <c r="C14" s="303">
        <f>'业务表-季度'!C14+'业务表-季度'!D14+'业务表-季度'!E14+'业务表-季度'!F14</f>
        <v>47.26</v>
      </c>
      <c r="D14" s="303">
        <f>'业务表-季度'!G14+'业务表-季度'!H14+'业务表-季度'!I14+'业务表-季度'!J14</f>
        <v>171.58</v>
      </c>
      <c r="E14" s="303">
        <f>'业务表-季度'!K14+'业务表-季度'!L14+'业务表-季度'!M14+'业务表-季度'!N14</f>
        <v>433.38</v>
      </c>
      <c r="F14" s="303">
        <f>'业务表-季度'!O14+'业务表-季度'!P14+'业务表-季度'!Q14+'业务表-季度'!R14</f>
        <v>779.69</v>
      </c>
      <c r="G14" s="303">
        <f>'业务表-季度'!S14+'业务表-季度'!T14+'业务表-季度'!U14+'业务表-季度'!V14</f>
        <v>1162.2566459278664</v>
      </c>
      <c r="H14" s="303">
        <f>'业务表-季度'!W14+'业务表-季度'!X14+'业务表-季度'!Y14+'业务表-季度'!Z14</f>
        <v>1600.1625041710611</v>
      </c>
      <c r="I14" s="303">
        <f>'业务表-季度'!AA14+'业务表-季度'!AB14+'业务表-季度'!AC14+'业务表-季度'!AD14</f>
        <v>2025.9373590681175</v>
      </c>
      <c r="J14" s="303">
        <f>'业务表-季度'!AE14+'业务表-季度'!AF14+'业务表-季度'!AG14+'业务表-季度'!AH14</f>
        <v>2520.6428722328947</v>
      </c>
      <c r="K14" s="303">
        <f>'业务表-季度'!AL14+'业务表-季度'!AK14+'业务表-季度'!AJ14+'业务表-季度'!AI14</f>
        <v>3124.3914333762032</v>
      </c>
    </row>
    <row r="15" spans="2:11">
      <c r="B15" s="287" t="s">
        <v>436</v>
      </c>
      <c r="C15" s="288"/>
      <c r="D15" s="288">
        <f>D14/C14-1</f>
        <v>2.6305543800253917</v>
      </c>
      <c r="E15" s="288">
        <f t="shared" ref="E15:K15" si="7">E14/D14-1</f>
        <v>1.5258188600069937</v>
      </c>
      <c r="F15" s="288">
        <f t="shared" si="7"/>
        <v>0.79909086713738531</v>
      </c>
      <c r="G15" s="288">
        <f t="shared" si="7"/>
        <v>0.49066506679304123</v>
      </c>
      <c r="H15" s="288">
        <f t="shared" si="7"/>
        <v>0.37677208366797554</v>
      </c>
      <c r="I15" s="288">
        <f t="shared" si="7"/>
        <v>0.26608225963751253</v>
      </c>
      <c r="J15" s="288">
        <f t="shared" si="7"/>
        <v>0.24418598677321879</v>
      </c>
      <c r="K15" s="288">
        <f t="shared" si="7"/>
        <v>0.23952165846028084</v>
      </c>
    </row>
    <row r="16" spans="2:11">
      <c r="B16" s="287" t="s">
        <v>347</v>
      </c>
      <c r="C16" s="288"/>
      <c r="D16" s="288"/>
      <c r="E16" s="288"/>
      <c r="F16" s="288"/>
      <c r="G16" s="288"/>
      <c r="H16" s="288"/>
      <c r="I16" s="288"/>
      <c r="J16" s="288"/>
    </row>
    <row r="17" spans="2:11">
      <c r="B17" s="287" t="s">
        <v>351</v>
      </c>
      <c r="C17" s="288">
        <f t="shared" ref="C17:K17" si="8">C14/C3</f>
        <v>4.5944605932162187E-2</v>
      </c>
      <c r="D17" s="288">
        <f t="shared" si="8"/>
        <v>0.11292764153799578</v>
      </c>
      <c r="E17" s="288">
        <f t="shared" si="8"/>
        <v>0.18227624495289366</v>
      </c>
      <c r="F17" s="288">
        <f t="shared" si="8"/>
        <v>0.24934600599947554</v>
      </c>
      <c r="G17" s="288">
        <f t="shared" ca="1" si="8"/>
        <v>0.29955561806144587</v>
      </c>
      <c r="H17" s="288">
        <f t="shared" ca="1" si="8"/>
        <v>0.33832394266464699</v>
      </c>
      <c r="I17" s="288">
        <f t="shared" ca="1" si="8"/>
        <v>0.36014610761954863</v>
      </c>
      <c r="J17" s="288">
        <f t="shared" ca="1" si="8"/>
        <v>0.38026046735987873</v>
      </c>
      <c r="K17" s="288">
        <f t="shared" ca="1" si="8"/>
        <v>0.40266886423337356</v>
      </c>
    </row>
    <row r="18" spans="2:11" s="285" customFormat="1">
      <c r="B18" s="291" t="s">
        <v>234</v>
      </c>
      <c r="C18" s="303">
        <f>'业务表-季度'!C18+'业务表-季度'!D18+'业务表-季度'!E18+'业务表-季度'!F18</f>
        <v>-416.31</v>
      </c>
      <c r="D18" s="303">
        <f>'业务表-季度'!G18+'业务表-季度'!H18+'业务表-季度'!I18+'业务表-季度'!J18</f>
        <v>-674.32217999999989</v>
      </c>
      <c r="E18" s="303">
        <f>'业务表-季度'!K18+'业务表-季度'!L18+'业务表-季度'!M18+'业务表-季度'!N18</f>
        <v>-1208.4230700000001</v>
      </c>
      <c r="F18" s="303">
        <f>'业务表-季度'!O18+'业务表-季度'!P18+'业务表-季度'!Q18+'业务表-季度'!R18</f>
        <v>-1705.49899</v>
      </c>
      <c r="G18" s="303">
        <f ca="1">'业务表-季度'!S18+'业务表-季度'!T18+'业务表-季度'!U18+'业务表-季度'!V18</f>
        <v>-2325.8295836452098</v>
      </c>
      <c r="H18" s="303">
        <f ca="1">'业务表-季度'!W18+'业务表-季度'!X18+'业务表-季度'!Y18+'业务表-季度'!Z18</f>
        <v>-2881.2392630920349</v>
      </c>
      <c r="I18" s="303">
        <f ca="1">'业务表-季度'!AA18+'业务表-季度'!AB18+'业务表-季度'!AC18+'业务表-季度'!AD18</f>
        <v>-3446.9399809665774</v>
      </c>
      <c r="J18" s="303">
        <f ca="1">'业务表-季度'!AE18+'业务表-季度'!AF18+'业务表-季度'!AG18+'业务表-季度'!AH18</f>
        <v>-4072.7864832070427</v>
      </c>
      <c r="K18" s="303">
        <f ca="1">'业务表-季度'!AL18+'业务表-季度'!AK18+'业务表-季度'!AJ18+'业务表-季度'!AI18</f>
        <v>-4781.8812815301708</v>
      </c>
    </row>
    <row r="19" spans="2:11">
      <c r="B19" s="287" t="s">
        <v>315</v>
      </c>
      <c r="C19" s="288"/>
      <c r="D19" s="288">
        <f>D18/C18-1</f>
        <v>0.61975974634286923</v>
      </c>
      <c r="E19" s="288">
        <f t="shared" ref="E19:K19" si="9">E18/D18-1</f>
        <v>0.79205594275424884</v>
      </c>
      <c r="F19" s="288">
        <f t="shared" si="9"/>
        <v>0.41134262688314949</v>
      </c>
      <c r="G19" s="288">
        <f t="shared" ca="1" si="9"/>
        <v>0.36372381178907043</v>
      </c>
      <c r="H19" s="288">
        <f t="shared" ca="1" si="9"/>
        <v>0.23880067712284681</v>
      </c>
      <c r="I19" s="288">
        <f t="shared" ca="1" si="9"/>
        <v>0.19633937560168269</v>
      </c>
      <c r="J19" s="288">
        <f t="shared" ca="1" si="9"/>
        <v>0.18156582525262532</v>
      </c>
      <c r="K19" s="288">
        <f t="shared" ca="1" si="9"/>
        <v>0.17410556660578091</v>
      </c>
    </row>
    <row r="20" spans="2:11">
      <c r="B20" s="287" t="s">
        <v>347</v>
      </c>
      <c r="C20" s="288"/>
      <c r="D20" s="288"/>
      <c r="E20" s="288"/>
      <c r="F20" s="288"/>
      <c r="G20" s="288"/>
      <c r="H20" s="288"/>
      <c r="I20" s="288"/>
      <c r="J20" s="288"/>
    </row>
    <row r="21" spans="2:11">
      <c r="B21" s="287" t="s">
        <v>439</v>
      </c>
      <c r="C21" s="288">
        <f t="shared" ref="C21:K21" si="10">C18/C3</f>
        <v>-0.40472278661909528</v>
      </c>
      <c r="D21" s="288">
        <f t="shared" si="10"/>
        <v>-0.44381404256999563</v>
      </c>
      <c r="E21" s="288">
        <f t="shared" si="10"/>
        <v>-0.50825331006056518</v>
      </c>
      <c r="F21" s="288">
        <f t="shared" si="10"/>
        <v>-0.54542107939391227</v>
      </c>
      <c r="G21" s="288">
        <f t="shared" ca="1" si="10"/>
        <v>-0.59945049217440805</v>
      </c>
      <c r="H21" s="288">
        <f t="shared" ca="1" si="10"/>
        <v>-0.60918327026695018</v>
      </c>
      <c r="I21" s="288">
        <f t="shared" ca="1" si="10"/>
        <v>-0.61275439331171078</v>
      </c>
      <c r="J21" s="288">
        <f t="shared" ca="1" si="10"/>
        <v>-0.61441456408673389</v>
      </c>
      <c r="K21" s="288">
        <f t="shared" ca="1" si="10"/>
        <v>-0.61628472155035974</v>
      </c>
    </row>
    <row r="22" spans="2:11" s="285" customFormat="1">
      <c r="B22" s="548" t="s">
        <v>440</v>
      </c>
      <c r="C22" s="303">
        <f>'业务表-季度'!C22+'业务表-季度'!D22+'业务表-季度'!E22+'业务表-季度'!F22</f>
        <v>-284.21395999999993</v>
      </c>
      <c r="D22" s="303">
        <f>'业务表-季度'!G22+'业务表-季度'!H22+'业务表-季度'!I22+'业务表-季度'!J22</f>
        <v>-376.16643999999997</v>
      </c>
      <c r="E22" s="303">
        <f>'业务表-季度'!K22+'业务表-季度'!L22+'业务表-季度'!M22+'业务表-季度'!N22</f>
        <v>-613.7815700000001</v>
      </c>
      <c r="F22" s="303">
        <f>'业务表-季度'!O22+'业务表-季度'!P22+'业务表-季度'!Q22+'业务表-季度'!R22</f>
        <v>-739.44858999999997</v>
      </c>
      <c r="G22" s="303">
        <f ca="1">'业务表-季度'!S22+'业务表-季度'!T22+'业务表-季度'!U22+'业务表-季度'!V22</f>
        <v>-930.28711260975388</v>
      </c>
      <c r="H22" s="303">
        <f ca="1">'业务表-季度'!W22+'业务表-季度'!X22+'业务表-季度'!Y22+'业务表-季度'!Z22</f>
        <v>-1043.0677238161363</v>
      </c>
      <c r="I22" s="303">
        <f ca="1">'业务表-季度'!AA22+'业务表-季度'!AB22+'业务表-季度'!AC22+'业务表-季度'!AD22</f>
        <v>-1171.9263697404247</v>
      </c>
      <c r="J22" s="303">
        <f ca="1">'业务表-季度'!AE22+'业务表-季度'!AF22+'业务表-季度'!AG22+'业务表-季度'!AH22</f>
        <v>-1309.588935977313</v>
      </c>
      <c r="K22" s="303">
        <f ca="1">'业务表-季度'!AL22+'业务表-季度'!AK22+'业务表-季度'!AJ22+'业务表-季度'!AI22</f>
        <v>-1447.1526568429601</v>
      </c>
    </row>
    <row r="23" spans="2:11">
      <c r="B23" s="287" t="s">
        <v>315</v>
      </c>
      <c r="C23" s="288"/>
      <c r="D23" s="288">
        <f>D22/C22-1</f>
        <v>0.32353259495064934</v>
      </c>
      <c r="E23" s="288">
        <f t="shared" ref="E23:K23" si="11">E22/D22-1</f>
        <v>0.63167551576371395</v>
      </c>
      <c r="F23" s="288">
        <f t="shared" si="11"/>
        <v>0.20474225056969342</v>
      </c>
      <c r="G23" s="288">
        <f t="shared" ca="1" si="11"/>
        <v>0.25808220502490098</v>
      </c>
      <c r="H23" s="288">
        <f t="shared" ca="1" si="11"/>
        <v>0.12123204726549064</v>
      </c>
      <c r="I23" s="288">
        <f t="shared" ca="1" si="11"/>
        <v>0.12353813945354375</v>
      </c>
      <c r="J23" s="288">
        <f t="shared" ca="1" si="11"/>
        <v>0.1174669073001402</v>
      </c>
      <c r="K23" s="288">
        <f t="shared" ca="1" si="11"/>
        <v>0.10504343545250472</v>
      </c>
    </row>
    <row r="24" spans="2:11">
      <c r="B24" s="287" t="s">
        <v>347</v>
      </c>
    </row>
    <row r="25" spans="2:11">
      <c r="B25" s="287" t="s">
        <v>442</v>
      </c>
      <c r="C25" s="288">
        <f>C22/C$3</f>
        <v>-0.27630339383451769</v>
      </c>
      <c r="D25" s="288">
        <f t="shared" ref="D25:K25" si="12">D22/D$3</f>
        <v>-0.24757890718582579</v>
      </c>
      <c r="E25" s="288">
        <f t="shared" si="12"/>
        <v>-0.25815173704576044</v>
      </c>
      <c r="F25" s="288">
        <f t="shared" si="12"/>
        <v>-0.23647674403730162</v>
      </c>
      <c r="G25" s="288">
        <f t="shared" ca="1" si="12"/>
        <v>-0.23976867068799546</v>
      </c>
      <c r="H25" s="288">
        <f t="shared" ca="1" si="12"/>
        <v>-0.22053684164442156</v>
      </c>
      <c r="I25" s="288">
        <f t="shared" ca="1" si="12"/>
        <v>-0.20833058761148546</v>
      </c>
      <c r="J25" s="288">
        <f t="shared" ca="1" si="12"/>
        <v>-0.19756265607072007</v>
      </c>
      <c r="K25" s="288">
        <f t="shared" ca="1" si="12"/>
        <v>-0.18650778211665225</v>
      </c>
    </row>
    <row r="26" spans="2:11">
      <c r="B26" s="548" t="s">
        <v>443</v>
      </c>
      <c r="C26" s="303">
        <f>'业务表-季度'!C26+'业务表-季度'!D26+'业务表-季度'!E26+'业务表-季度'!F26</f>
        <v>-89.360419999999991</v>
      </c>
      <c r="D26" s="303">
        <f>'业务表-季度'!G26+'业务表-季度'!H26+'业务表-季度'!I26+'业务表-季度'!J26</f>
        <v>-153.90472</v>
      </c>
      <c r="E26" s="303">
        <f>'业务表-季度'!K26+'业务表-季度'!L26+'业务表-季度'!M26+'业务表-季度'!N26</f>
        <v>-255.99494000000001</v>
      </c>
      <c r="F26" s="303">
        <f>'业务表-季度'!O26+'业务表-季度'!P26+'业务表-季度'!Q26+'业务表-季度'!R26</f>
        <v>-372.65892000000002</v>
      </c>
      <c r="G26" s="303">
        <f ca="1">'业务表-季度'!S26+'业务表-季度'!T26+'业务表-季度'!U26+'业务表-季度'!V26</f>
        <v>-479.3373913885988</v>
      </c>
      <c r="H26" s="303">
        <f ca="1">'业务表-季度'!W26+'业务表-季度'!X26+'业务表-季度'!Y26+'业务表-季度'!Z26</f>
        <v>-582.04397350161503</v>
      </c>
      <c r="I26" s="303">
        <f ca="1">'业务表-季度'!AA26+'业务表-季度'!AB26+'业务表-季度'!AC26+'业务表-季度'!AD26</f>
        <v>-695.14425892845202</v>
      </c>
      <c r="J26" s="303">
        <f ca="1">'业务表-季度'!AE26+'业务表-季度'!AF26+'业务表-季度'!AG26+'业务表-季度'!AH26</f>
        <v>-817.69682273702324</v>
      </c>
      <c r="K26" s="303">
        <f ca="1">'业务表-季度'!AL26+'业务表-季度'!AK26+'业务表-季度'!AJ26+'业务表-季度'!AI26</f>
        <v>-948.23522381788723</v>
      </c>
    </row>
    <row r="27" spans="2:11">
      <c r="B27" s="287" t="s">
        <v>315</v>
      </c>
      <c r="C27" s="288"/>
      <c r="D27" s="288">
        <f>D26/C26-1</f>
        <v>0.72229181554876321</v>
      </c>
      <c r="E27" s="288">
        <f t="shared" ref="E27:K27" si="13">E26/D26-1</f>
        <v>0.66333391204636238</v>
      </c>
      <c r="F27" s="288">
        <f t="shared" si="13"/>
        <v>0.45572767961741745</v>
      </c>
      <c r="G27" s="288">
        <f t="shared" ca="1" si="13"/>
        <v>0.28626302944418658</v>
      </c>
      <c r="H27" s="288">
        <f t="shared" ca="1" si="13"/>
        <v>0.21426782879483741</v>
      </c>
      <c r="I27" s="288">
        <f t="shared" ca="1" si="13"/>
        <v>0.19431570564405676</v>
      </c>
      <c r="J27" s="288">
        <f t="shared" ca="1" si="13"/>
        <v>0.17629803056632154</v>
      </c>
      <c r="K27" s="288">
        <f t="shared" ca="1" si="13"/>
        <v>0.15964156573816846</v>
      </c>
    </row>
    <row r="28" spans="2:11">
      <c r="B28" s="287" t="s">
        <v>347</v>
      </c>
    </row>
    <row r="29" spans="2:11">
      <c r="B29" s="287" t="s">
        <v>445</v>
      </c>
      <c r="C29" s="288">
        <f>C26/C$3</f>
        <v>-8.6873239162769886E-2</v>
      </c>
      <c r="D29" s="288">
        <f t="shared" ref="D29:K29" si="14">D26/D$3</f>
        <v>-0.10129442272505891</v>
      </c>
      <c r="E29" s="288">
        <f t="shared" si="14"/>
        <v>-0.10766947341857334</v>
      </c>
      <c r="F29" s="288">
        <f t="shared" si="14"/>
        <v>-0.1191768693994768</v>
      </c>
      <c r="G29" s="288">
        <f t="shared" ca="1" si="14"/>
        <v>-0.1235426005439116</v>
      </c>
      <c r="H29" s="288">
        <f t="shared" ca="1" si="14"/>
        <v>-0.12306213363078064</v>
      </c>
      <c r="I29" s="288">
        <f t="shared" ca="1" si="14"/>
        <v>-0.12357415591680201</v>
      </c>
      <c r="J29" s="288">
        <f t="shared" ca="1" si="14"/>
        <v>-0.12335653709532689</v>
      </c>
      <c r="K29" s="288">
        <f t="shared" ca="1" si="14"/>
        <v>-0.12220773508786294</v>
      </c>
    </row>
    <row r="30" spans="2:11">
      <c r="B30" s="548" t="s">
        <v>446</v>
      </c>
      <c r="C30" s="303">
        <f>'业务表-季度'!C30+'业务表-季度'!D30+'业务表-季度'!E30+'业务表-季度'!F30</f>
        <v>-42.735620000000033</v>
      </c>
      <c r="D30" s="303">
        <f>'业务表-季度'!G30+'业务表-季度'!H30+'业务表-季度'!I30+'业务表-季度'!J30</f>
        <v>-144.25101999999998</v>
      </c>
      <c r="E30" s="303">
        <f>'业务表-季度'!K30+'业务表-季度'!L30+'业务表-季度'!M30+'业务表-季度'!N30</f>
        <v>-338.64655999999997</v>
      </c>
      <c r="F30" s="303">
        <f>'业务表-季度'!O30+'业务表-季度'!P30+'业务表-季度'!Q30+'业务表-季度'!R30</f>
        <v>-593.39148</v>
      </c>
      <c r="G30" s="303">
        <f>'业务表-季度'!S30+'业务表-季度'!T30+'业务表-季度'!U30+'业务表-季度'!V30</f>
        <v>-916.20507964685703</v>
      </c>
      <c r="H30" s="303">
        <f>'业务表-季度'!W30+'业务表-季度'!X30+'业务表-季度'!Y30+'业务表-季度'!Z30</f>
        <v>-1256.1275657742831</v>
      </c>
      <c r="I30" s="303">
        <f>'业务表-季度'!AA30+'业务表-季度'!AB30+'业务表-季度'!AC30+'业务表-季度'!AD30</f>
        <v>-1579.8693522977007</v>
      </c>
      <c r="J30" s="303">
        <f>'业务表-季度'!AE30+'业务表-季度'!AF30+'业务表-季度'!AG30+'业务表-季度'!AH30</f>
        <v>-1945.5007244927065</v>
      </c>
      <c r="K30" s="303">
        <f>'业务表-季度'!AL30+'业务表-季度'!AK30+'业务表-季度'!AJ30+'业务表-季度'!AI30</f>
        <v>-2386.493400869324</v>
      </c>
    </row>
    <row r="31" spans="2:11">
      <c r="B31" s="287" t="s">
        <v>315</v>
      </c>
      <c r="C31" s="288"/>
      <c r="D31" s="288">
        <f>D30/C30-1</f>
        <v>2.3754282727148892</v>
      </c>
      <c r="E31" s="288">
        <f t="shared" ref="E31:K31" si="15">E30/D30-1</f>
        <v>1.3476198643170774</v>
      </c>
      <c r="F31" s="288">
        <f t="shared" si="15"/>
        <v>0.75224422772816602</v>
      </c>
      <c r="G31" s="288">
        <f t="shared" si="15"/>
        <v>0.54401455114734221</v>
      </c>
      <c r="H31" s="288">
        <f t="shared" si="15"/>
        <v>0.37101135289322573</v>
      </c>
      <c r="I31" s="288">
        <f t="shared" si="15"/>
        <v>0.25773002308397053</v>
      </c>
      <c r="J31" s="288">
        <f t="shared" si="15"/>
        <v>0.23143139757932873</v>
      </c>
      <c r="K31" s="288">
        <f t="shared" si="15"/>
        <v>0.22667309799723023</v>
      </c>
    </row>
    <row r="32" spans="2:11">
      <c r="B32" s="287" t="s">
        <v>347</v>
      </c>
    </row>
    <row r="33" spans="1:16">
      <c r="B33" s="287" t="s">
        <v>448</v>
      </c>
      <c r="C33" s="288">
        <f>C30/C$3</f>
        <v>-4.1546153621807677E-2</v>
      </c>
      <c r="D33" s="288">
        <f t="shared" ref="D33:K33" si="16">D30/D$3</f>
        <v>-9.4940712659110943E-2</v>
      </c>
      <c r="E33" s="288">
        <f t="shared" si="16"/>
        <v>-0.14243209959623146</v>
      </c>
      <c r="F33" s="288">
        <f t="shared" si="16"/>
        <v>-0.18976746595713381</v>
      </c>
      <c r="G33" s="288">
        <f t="shared" ca="1" si="16"/>
        <v>-0.23613922094250092</v>
      </c>
      <c r="H33" s="288">
        <f t="shared" ca="1" si="16"/>
        <v>-0.2655842949917479</v>
      </c>
      <c r="I33" s="288">
        <f t="shared" ca="1" si="16"/>
        <v>-0.28084964978342331</v>
      </c>
      <c r="J33" s="288">
        <f t="shared" ca="1" si="16"/>
        <v>-0.293495370920687</v>
      </c>
      <c r="K33" s="288">
        <f t="shared" ca="1" si="16"/>
        <v>-0.30756920434584456</v>
      </c>
    </row>
    <row r="34" spans="1:16" s="285" customFormat="1">
      <c r="B34" s="291" t="s">
        <v>449</v>
      </c>
      <c r="C34" s="304">
        <f t="shared" ref="C34:J34" si="17">C3+C18</f>
        <v>612.32000000000016</v>
      </c>
      <c r="D34" s="304">
        <f t="shared" si="17"/>
        <v>845.05781999999999</v>
      </c>
      <c r="E34" s="304">
        <f t="shared" si="17"/>
        <v>1169.1769300000003</v>
      </c>
      <c r="F34" s="304">
        <f t="shared" si="17"/>
        <v>1421.44101</v>
      </c>
      <c r="G34" s="304">
        <f t="shared" ca="1" si="17"/>
        <v>1554.1064811474735</v>
      </c>
      <c r="H34" s="304">
        <f t="shared" ca="1" si="17"/>
        <v>1848.4363595320847</v>
      </c>
      <c r="I34" s="304">
        <f t="shared" ca="1" si="17"/>
        <v>2178.3807325041853</v>
      </c>
      <c r="J34" s="304">
        <f t="shared" ca="1" si="17"/>
        <v>2555.9406356900072</v>
      </c>
      <c r="K34" s="304">
        <f t="shared" ref="K34" ca="1" si="18">K3+K18</f>
        <v>2977.326620785836</v>
      </c>
    </row>
    <row r="35" spans="1:16">
      <c r="A35" s="285"/>
      <c r="B35" s="287" t="s">
        <v>315</v>
      </c>
      <c r="C35" s="288"/>
      <c r="D35" s="288">
        <f>D34/C34-1</f>
        <v>0.38009181473739173</v>
      </c>
      <c r="E35" s="288">
        <f t="shared" ref="E35:K35" si="19">E34/D34-1</f>
        <v>0.38354666666477377</v>
      </c>
      <c r="F35" s="288">
        <f t="shared" si="19"/>
        <v>0.21576210881957758</v>
      </c>
      <c r="G35" s="288">
        <f t="shared" ca="1" si="19"/>
        <v>9.333167554204258E-2</v>
      </c>
      <c r="H35" s="288">
        <f t="shared" ca="1" si="19"/>
        <v>0.18938848911259476</v>
      </c>
      <c r="I35" s="288">
        <f t="shared" ca="1" si="19"/>
        <v>0.17849917919577329</v>
      </c>
      <c r="J35" s="288">
        <f t="shared" ca="1" si="19"/>
        <v>0.17332135634150281</v>
      </c>
      <c r="K35" s="288">
        <f t="shared" ca="1" si="19"/>
        <v>0.16486532559159794</v>
      </c>
    </row>
    <row r="36" spans="1:16">
      <c r="B36" s="287" t="s">
        <v>347</v>
      </c>
      <c r="C36" s="288"/>
      <c r="D36" s="288"/>
      <c r="E36" s="288"/>
      <c r="F36" s="288"/>
      <c r="G36" s="288"/>
      <c r="H36" s="288"/>
      <c r="I36" s="288"/>
      <c r="J36" s="288"/>
      <c r="K36" s="288"/>
    </row>
    <row r="37" spans="1:16">
      <c r="B37" s="287" t="s">
        <v>395</v>
      </c>
      <c r="C37" s="288">
        <f t="shared" ref="C37:J37" si="20">C34/C3</f>
        <v>0.59527721338090478</v>
      </c>
      <c r="D37" s="288">
        <f t="shared" si="20"/>
        <v>0.55618595743000443</v>
      </c>
      <c r="E37" s="288">
        <f t="shared" si="20"/>
        <v>0.49174668993943477</v>
      </c>
      <c r="F37" s="288">
        <f t="shared" si="20"/>
        <v>0.45457892060608773</v>
      </c>
      <c r="G37" s="288">
        <f t="shared" ca="1" si="20"/>
        <v>0.40054950782559201</v>
      </c>
      <c r="H37" s="288">
        <f t="shared" ca="1" si="20"/>
        <v>0.39081672973304982</v>
      </c>
      <c r="I37" s="288">
        <f t="shared" ca="1" si="20"/>
        <v>0.38724560668828917</v>
      </c>
      <c r="J37" s="288">
        <f t="shared" ca="1" si="20"/>
        <v>0.38558543591326605</v>
      </c>
      <c r="K37" s="288">
        <f t="shared" ref="K37" ca="1" si="21">K34/K3</f>
        <v>0.38371527844964032</v>
      </c>
    </row>
    <row r="38" spans="1:16">
      <c r="B38" s="548" t="s">
        <v>236</v>
      </c>
      <c r="C38" s="303">
        <f>'业务表-季度'!C38+'业务表-季度'!D38+'业务表-季度'!E38+'业务表-季度'!F38</f>
        <v>23.270000000000003</v>
      </c>
      <c r="D38" s="303">
        <f>'业务表-季度'!G38+'业务表-季度'!H38+'业务表-季度'!I38+'业务表-季度'!J38</f>
        <v>26.19</v>
      </c>
      <c r="E38" s="303">
        <f>'业务表-季度'!K38+'业务表-季度'!L38+'业务表-季度'!M38+'业务表-季度'!N38</f>
        <v>39.400000000000006</v>
      </c>
      <c r="F38" s="303">
        <f>(BS!H7*资产负债假设!$I$44+BS!H8*资产负债假设!$I$45)/100</f>
        <v>46.474799999999995</v>
      </c>
      <c r="G38" s="303">
        <f ca="1">(BS!I7*资产负债假设!$I$44+BS!I8*资产负债假设!$I$45)/100</f>
        <v>69.155701692311069</v>
      </c>
      <c r="H38" s="303">
        <f ca="1">(BS!J7*资产负债假设!$I$44+BS!J8*资产负债假设!$I$45)/100</f>
        <v>83.46476522339286</v>
      </c>
      <c r="I38" s="303">
        <f ca="1">(BS!K7*资产负债假设!$I$44+BS!K8*资产负债假设!$I$45)/100</f>
        <v>97.867111774590114</v>
      </c>
      <c r="J38" s="303">
        <f ca="1">(BS!L7*资产负债假设!$I$44+BS!L8*资产负债假设!$I$45)/100</f>
        <v>112.54526871526373</v>
      </c>
      <c r="K38" s="303">
        <f ca="1">(BS!M7*资产负债假设!$I$44+BS!M8*资产负债假设!$I$45)/100</f>
        <v>126.26484250870479</v>
      </c>
      <c r="L38" s="303"/>
      <c r="M38" s="289"/>
      <c r="N38" s="289"/>
      <c r="O38" s="289"/>
      <c r="P38" s="289"/>
    </row>
    <row r="39" spans="1:16">
      <c r="B39" s="287" t="s">
        <v>315</v>
      </c>
      <c r="C39" s="288"/>
      <c r="D39" s="288">
        <f>D38/C38-1</f>
        <v>0.12548345509239356</v>
      </c>
      <c r="E39" s="288">
        <f t="shared" ref="E39:K39" si="22">E38/D38-1</f>
        <v>0.50439098892707146</v>
      </c>
      <c r="F39" s="288">
        <f t="shared" si="22"/>
        <v>0.17956345177664934</v>
      </c>
      <c r="G39" s="288">
        <f t="shared" ca="1" si="22"/>
        <v>0.48802580521725925</v>
      </c>
      <c r="H39" s="288">
        <f t="shared" ca="1" si="22"/>
        <v>0.20691082847725206</v>
      </c>
      <c r="I39" s="288">
        <f t="shared" ca="1" si="22"/>
        <v>0.17255600626982504</v>
      </c>
      <c r="J39" s="288">
        <f t="shared" ca="1" si="22"/>
        <v>0.14998048552286591</v>
      </c>
      <c r="K39" s="288">
        <f t="shared" ca="1" si="22"/>
        <v>0.12190271479249093</v>
      </c>
      <c r="M39" s="289"/>
      <c r="N39" s="289"/>
      <c r="O39" s="289"/>
      <c r="P39" s="289"/>
    </row>
    <row r="40" spans="1:16">
      <c r="B40" s="287" t="s">
        <v>347</v>
      </c>
      <c r="C40" s="288"/>
      <c r="D40" s="288"/>
      <c r="E40" s="288"/>
      <c r="F40" s="288"/>
      <c r="G40" s="288"/>
      <c r="H40" s="288"/>
      <c r="I40" s="288"/>
      <c r="J40" s="288"/>
      <c r="K40" s="288"/>
    </row>
    <row r="41" spans="1:16">
      <c r="B41" s="287" t="s">
        <v>351</v>
      </c>
      <c r="C41" s="288">
        <f t="shared" ref="C41:J41" si="23">C38/C3</f>
        <v>2.2622322895501784E-2</v>
      </c>
      <c r="D41" s="288">
        <f t="shared" si="23"/>
        <v>1.7237294159459782E-2</v>
      </c>
      <c r="E41" s="288">
        <f t="shared" si="23"/>
        <v>1.6571332436069987E-2</v>
      </c>
      <c r="F41" s="288">
        <f t="shared" si="23"/>
        <v>1.4862709230109945E-2</v>
      </c>
      <c r="G41" s="288">
        <f t="shared" ca="1" si="23"/>
        <v>1.7823928162075595E-2</v>
      </c>
      <c r="H41" s="288">
        <f t="shared" ca="1" si="23"/>
        <v>1.7647037954176849E-2</v>
      </c>
      <c r="I41" s="288">
        <f t="shared" ca="1" si="23"/>
        <v>1.7397605711658555E-2</v>
      </c>
      <c r="J41" s="288">
        <f t="shared" ca="1" si="23"/>
        <v>1.6978413305689083E-2</v>
      </c>
      <c r="K41" s="288">
        <f t="shared" ref="K41" ca="1" si="24">K38/K3</f>
        <v>1.6272903638916109E-2</v>
      </c>
    </row>
    <row r="42" spans="1:16">
      <c r="B42" s="548" t="s">
        <v>1040</v>
      </c>
      <c r="C42" s="303">
        <f>'业务表-季度'!C42+'业务表-季度'!D42+'业务表-季度'!E42+'业务表-季度'!F42</f>
        <v>18.86</v>
      </c>
      <c r="D42" s="303">
        <f>'业务表-季度'!G42+'业务表-季度'!H42+'业务表-季度'!I42+'业务表-季度'!J42</f>
        <v>35.94</v>
      </c>
      <c r="E42" s="303">
        <f>'业务表-季度'!K42+'业务表-季度'!L42+'业务表-季度'!M42+'业务表-季度'!N42</f>
        <v>201.4</v>
      </c>
      <c r="F42" s="303">
        <f>'业务表-季度'!O42+'业务表-季度'!P42+'业务表-季度'!Q42+'业务表-季度'!R42</f>
        <v>167.14</v>
      </c>
      <c r="G42" s="303">
        <f ca="1">'业务表-季度'!S42+'业务表-季度'!T42+'业务表-季度'!U42+'业务表-季度'!V42</f>
        <v>71.572750261327087</v>
      </c>
      <c r="H42" s="303">
        <f ca="1">'业务表-季度'!W42+'业务表-季度'!X42+'业务表-季度'!Y42+'业务表-季度'!Z42</f>
        <v>75.674809961985915</v>
      </c>
      <c r="I42" s="303">
        <f ca="1">'业务表-季度'!AA42+'业务表-季度'!AB42+'业务表-季度'!AC42+'业务表-季度'!AD42</f>
        <v>78.754489988590677</v>
      </c>
      <c r="J42" s="303">
        <f ca="1">'业务表-季度'!AE42+'业务表-季度'!AF42+'业务表-季度'!AG42+'业务表-季度'!AH42</f>
        <v>82.859088986213123</v>
      </c>
      <c r="K42" s="303">
        <f ca="1">'业务表-季度'!AL42+'业务表-季度'!AK42+'业务表-季度'!AJ42+'业务表-季度'!AI42</f>
        <v>88.454970086402483</v>
      </c>
    </row>
    <row r="43" spans="1:16">
      <c r="B43" s="287" t="s">
        <v>315</v>
      </c>
      <c r="C43" s="288"/>
      <c r="D43" s="288">
        <f>D42/C42-1</f>
        <v>0.90562036055143147</v>
      </c>
      <c r="E43" s="288">
        <f t="shared" ref="E43:K43" si="25">E42/D42-1</f>
        <v>4.6037840845854205</v>
      </c>
      <c r="F43" s="288">
        <f t="shared" si="25"/>
        <v>-0.17010923535253242</v>
      </c>
      <c r="G43" s="288">
        <f t="shared" ca="1" si="25"/>
        <v>-0.57177964424238903</v>
      </c>
      <c r="H43" s="288">
        <f t="shared" ca="1" si="25"/>
        <v>5.7313149008265674E-2</v>
      </c>
      <c r="I43" s="288">
        <f t="shared" ca="1" si="25"/>
        <v>4.0696237336463659E-2</v>
      </c>
      <c r="J43" s="288">
        <f t="shared" ca="1" si="25"/>
        <v>5.2118920435102689E-2</v>
      </c>
      <c r="K43" s="288">
        <f t="shared" ca="1" si="25"/>
        <v>6.7534909792701825E-2</v>
      </c>
    </row>
    <row r="44" spans="1:16">
      <c r="B44" s="287" t="s">
        <v>347</v>
      </c>
      <c r="C44" s="288"/>
      <c r="D44" s="288"/>
      <c r="E44" s="288"/>
      <c r="F44" s="288"/>
      <c r="G44" s="288"/>
      <c r="H44" s="288"/>
      <c r="I44" s="288"/>
      <c r="J44" s="288"/>
      <c r="K44" s="288"/>
    </row>
    <row r="45" spans="1:16">
      <c r="B45" s="287" t="s">
        <v>451</v>
      </c>
      <c r="C45" s="288">
        <f t="shared" ref="C45:J45" si="26">C42/C3</f>
        <v>1.8335067030905181E-2</v>
      </c>
      <c r="D45" s="288">
        <f t="shared" si="26"/>
        <v>2.365438534138925E-2</v>
      </c>
      <c r="E45" s="288">
        <f t="shared" si="26"/>
        <v>8.4707267833109001E-2</v>
      </c>
      <c r="F45" s="288">
        <f t="shared" si="26"/>
        <v>5.345161723601987E-2</v>
      </c>
      <c r="G45" s="288">
        <f t="shared" ca="1" si="26"/>
        <v>1.8446889089434374E-2</v>
      </c>
      <c r="H45" s="288">
        <f t="shared" ca="1" si="26"/>
        <v>1.6E-2</v>
      </c>
      <c r="I45" s="288">
        <f t="shared" ca="1" si="26"/>
        <v>1.4E-2</v>
      </c>
      <c r="J45" s="288">
        <f t="shared" ca="1" si="26"/>
        <v>1.2500000000000001E-2</v>
      </c>
      <c r="K45" s="288">
        <f t="shared" ref="K45" ca="1" si="27">K42/K3</f>
        <v>1.14E-2</v>
      </c>
    </row>
    <row r="46" spans="1:16">
      <c r="B46" s="285" t="s">
        <v>452</v>
      </c>
      <c r="C46" s="304">
        <f>C50+C54+C58</f>
        <v>-248.17999999999998</v>
      </c>
      <c r="D46" s="304">
        <f t="shared" ref="D46:J46" si="28">D50+D54+D58</f>
        <v>-345.95000000000005</v>
      </c>
      <c r="E46" s="304">
        <f t="shared" si="28"/>
        <v>-507.03000000000009</v>
      </c>
      <c r="F46" s="304">
        <f t="shared" si="28"/>
        <v>-657.55000000000007</v>
      </c>
      <c r="G46" s="304">
        <f t="shared" ca="1" si="28"/>
        <v>-789.75372236927433</v>
      </c>
      <c r="H46" s="304">
        <f t="shared" ca="1" si="28"/>
        <v>-932.25779218879416</v>
      </c>
      <c r="I46" s="304">
        <f t="shared" ca="1" si="28"/>
        <v>-1076.2029682828822</v>
      </c>
      <c r="J46" s="304">
        <f t="shared" ca="1" si="28"/>
        <v>-1229.1070674956432</v>
      </c>
      <c r="K46" s="304">
        <f t="shared" ref="K46" ca="1" si="29">K50+K54+K58</f>
        <v>-1392.8143840884236</v>
      </c>
    </row>
    <row r="47" spans="1:16">
      <c r="A47" s="285"/>
      <c r="B47" s="287" t="s">
        <v>315</v>
      </c>
      <c r="D47" s="288">
        <f>D46/C46-1</f>
        <v>0.39394794101055708</v>
      </c>
      <c r="E47" s="288">
        <f t="shared" ref="E47:K47" si="30">E46/D46-1</f>
        <v>0.46561641855759506</v>
      </c>
      <c r="F47" s="288">
        <f t="shared" si="30"/>
        <v>0.29686606315208164</v>
      </c>
      <c r="G47" s="288">
        <f t="shared" ca="1" si="30"/>
        <v>0.20105501082697019</v>
      </c>
      <c r="H47" s="288">
        <f t="shared" ca="1" si="30"/>
        <v>0.18044114992203553</v>
      </c>
      <c r="I47" s="288">
        <f t="shared" ca="1" si="30"/>
        <v>0.15440490527424555</v>
      </c>
      <c r="J47" s="288">
        <f t="shared" ca="1" si="30"/>
        <v>0.14207738105082957</v>
      </c>
      <c r="K47" s="288">
        <f t="shared" ca="1" si="30"/>
        <v>0.13319207164461355</v>
      </c>
    </row>
    <row r="48" spans="1:16">
      <c r="B48" s="287" t="s">
        <v>347</v>
      </c>
      <c r="D48" s="288"/>
      <c r="E48" s="288"/>
      <c r="F48" s="288"/>
      <c r="G48" s="288"/>
      <c r="H48" s="288"/>
      <c r="I48" s="288"/>
      <c r="J48" s="288"/>
      <c r="K48" s="288"/>
    </row>
    <row r="49" spans="1:11">
      <c r="B49" s="287" t="s">
        <v>351</v>
      </c>
      <c r="C49" s="288">
        <f t="shared" ref="C49:J49" si="31">C46/C3</f>
        <v>-0.24127237198992829</v>
      </c>
      <c r="D49" s="288">
        <f t="shared" si="31"/>
        <v>-0.22769155839882063</v>
      </c>
      <c r="E49" s="288">
        <f t="shared" si="31"/>
        <v>-0.2132528600269179</v>
      </c>
      <c r="F49" s="288">
        <f t="shared" si="31"/>
        <v>-0.21028545478966659</v>
      </c>
      <c r="G49" s="288">
        <f t="shared" ca="1" si="31"/>
        <v>-0.20354812790232749</v>
      </c>
      <c r="H49" s="288">
        <f t="shared" ca="1" si="31"/>
        <v>-0.19710818808152403</v>
      </c>
      <c r="I49" s="288">
        <f t="shared" ca="1" si="31"/>
        <v>-0.1913140642285045</v>
      </c>
      <c r="J49" s="288">
        <f t="shared" ca="1" si="31"/>
        <v>-0.18542128005114708</v>
      </c>
      <c r="K49" s="288">
        <f t="shared" ref="K49" ca="1" si="32">K46/K3</f>
        <v>-0.17950471254581146</v>
      </c>
    </row>
    <row r="50" spans="1:11" s="285" customFormat="1">
      <c r="A50" s="283"/>
      <c r="B50" s="548" t="s">
        <v>403</v>
      </c>
      <c r="C50" s="303">
        <f>'业务表-季度'!C50+'业务表-季度'!D50+'业务表-季度'!E50+'业务表-季度'!F50</f>
        <v>-79.930000000000007</v>
      </c>
      <c r="D50" s="303">
        <f>'业务表-季度'!G50+'业务表-季度'!H50+'业务表-季度'!I50+'业务表-季度'!J50</f>
        <v>-121.36000000000001</v>
      </c>
      <c r="E50" s="303">
        <f>'业务表-季度'!K50+'业务表-季度'!L50+'业务表-季度'!M50+'业务表-季度'!N50</f>
        <v>-176.52</v>
      </c>
      <c r="F50" s="303">
        <f>'业务表-季度'!O50+'业务表-季度'!P50+'业务表-季度'!Q50+'业务表-季度'!R50</f>
        <v>-242.33000000000004</v>
      </c>
      <c r="G50" s="303">
        <f ca="1">'业务表-季度'!S50+'业务表-季度'!T50+'业务表-季度'!U50+'业务表-季度'!V50</f>
        <v>-281.15348215085857</v>
      </c>
      <c r="H50" s="303">
        <f ca="1">'业务表-季度'!W50+'业务表-季度'!X50+'业务表-季度'!Y50+'业务表-季度'!Z50</f>
        <v>-328.55748270250672</v>
      </c>
      <c r="I50" s="303">
        <f ca="1">'业务表-季度'!AA50+'业务表-季度'!AB50+'业务表-季度'!AC50+'业务表-季度'!AD50</f>
        <v>-373.53128359229413</v>
      </c>
      <c r="J50" s="303">
        <f ca="1">'业务表-季度'!AE50+'业务表-季度'!AF50+'业务表-季度'!AG50+'业务表-季度'!AH50</f>
        <v>-419.13287101899567</v>
      </c>
      <c r="K50" s="303">
        <f ca="1">'业务表-季度'!AL50+'业务表-季度'!AK50+'业务表-季度'!AJ50+'业务表-季度'!AI50</f>
        <v>-465.81574024238762</v>
      </c>
    </row>
    <row r="51" spans="1:11">
      <c r="B51" s="287" t="s">
        <v>315</v>
      </c>
      <c r="C51" s="288"/>
      <c r="D51" s="288">
        <f>D50/C50-1</f>
        <v>0.51832853747028662</v>
      </c>
      <c r="E51" s="288">
        <f t="shared" ref="E51:K51" si="33">E50/D50-1</f>
        <v>0.45451549110085687</v>
      </c>
      <c r="F51" s="288">
        <f t="shared" si="33"/>
        <v>0.37281894402900528</v>
      </c>
      <c r="G51" s="288">
        <f t="shared" ca="1" si="33"/>
        <v>0.1602091451774792</v>
      </c>
      <c r="H51" s="288">
        <f t="shared" ca="1" si="33"/>
        <v>0.16860541860979894</v>
      </c>
      <c r="I51" s="288">
        <f t="shared" ca="1" si="33"/>
        <v>0.13688259515461731</v>
      </c>
      <c r="J51" s="288">
        <f t="shared" ca="1" si="33"/>
        <v>0.12208237818301515</v>
      </c>
      <c r="K51" s="288">
        <f t="shared" ca="1" si="33"/>
        <v>0.11137964223587749</v>
      </c>
    </row>
    <row r="52" spans="1:11">
      <c r="B52" s="287" t="s">
        <v>347</v>
      </c>
      <c r="C52" s="288"/>
      <c r="D52" s="288"/>
      <c r="E52" s="288"/>
      <c r="F52" s="288"/>
      <c r="G52" s="288"/>
      <c r="H52" s="288"/>
      <c r="I52" s="288"/>
      <c r="J52" s="288"/>
      <c r="K52" s="288"/>
    </row>
    <row r="53" spans="1:11">
      <c r="B53" s="287" t="s">
        <v>406</v>
      </c>
      <c r="C53" s="288">
        <f t="shared" ref="C53:J53" si="34">C50/C3</f>
        <v>-7.7705297337234955E-2</v>
      </c>
      <c r="D53" s="288">
        <f t="shared" si="34"/>
        <v>-7.9874685727072903E-2</v>
      </c>
      <c r="E53" s="288">
        <f t="shared" si="34"/>
        <v>-7.4242934051144002E-2</v>
      </c>
      <c r="F53" s="288">
        <f t="shared" si="34"/>
        <v>-7.7497489558482111E-2</v>
      </c>
      <c r="G53" s="288">
        <f t="shared" ca="1" si="34"/>
        <v>-7.2463431730770397E-2</v>
      </c>
      <c r="H53" s="288">
        <f t="shared" ca="1" si="34"/>
        <v>-6.9467233890390223E-2</v>
      </c>
      <c r="I53" s="288">
        <f t="shared" ca="1" si="34"/>
        <v>-6.6401775581934649E-2</v>
      </c>
      <c r="J53" s="288">
        <f t="shared" ca="1" si="34"/>
        <v>-6.3229766967498116E-2</v>
      </c>
      <c r="K53" s="288">
        <f t="shared" ref="K53" ca="1" si="35">K50/K3</f>
        <v>-6.0033929507591698E-2</v>
      </c>
    </row>
    <row r="54" spans="1:11">
      <c r="B54" s="548" t="s">
        <v>404</v>
      </c>
      <c r="C54" s="303">
        <f>'业务表-季度'!C54+'业务表-季度'!D54+'业务表-季度'!E54+'业务表-季度'!F54</f>
        <v>-90.389999999999986</v>
      </c>
      <c r="D54" s="303">
        <f>'业务表-季度'!G54+'业务表-季度'!H54+'业务表-季度'!I54+'业务表-季度'!J54</f>
        <v>-118.44973121948709</v>
      </c>
      <c r="E54" s="303">
        <f>'业务表-季度'!K54+'业务表-季度'!L54+'业务表-季度'!M54+'业务表-季度'!N54</f>
        <v>-174.56227562999999</v>
      </c>
      <c r="F54" s="303">
        <f>'业务表-季度'!O54+'业务表-季度'!P54+'业务表-季度'!Q54+'业务表-季度'!R54</f>
        <v>-229.36</v>
      </c>
      <c r="G54" s="303">
        <f ca="1">'业务表-季度'!S54+'业务表-季度'!T54+'业务表-季度'!U54+'业务表-季度'!V54</f>
        <v>-277.27354608606595</v>
      </c>
      <c r="H54" s="303">
        <f ca="1">'业务表-季度'!W54+'业务表-季度'!X54+'业务表-季度'!Y54+'业务表-季度'!Z54</f>
        <v>-328.55748270250672</v>
      </c>
      <c r="I54" s="303">
        <f ca="1">'业务表-季度'!AA54+'业务表-季度'!AB54+'业务表-季度'!AC54+'业务表-季度'!AD54</f>
        <v>-383.43140650763405</v>
      </c>
      <c r="J54" s="303">
        <f ca="1">'业务表-季度'!AE54+'业务表-季度'!AF54+'业务表-季度'!AG54+'业务表-季度'!AH54</f>
        <v>-443.29939368402864</v>
      </c>
      <c r="K54" s="303">
        <f ca="1">'业务表-季度'!AL54+'业务表-季度'!AK54+'业务表-季度'!AJ54+'业务表-季度'!AI54</f>
        <v>-508.95802922272833</v>
      </c>
    </row>
    <row r="55" spans="1:11">
      <c r="B55" s="287" t="s">
        <v>315</v>
      </c>
      <c r="C55" s="288"/>
      <c r="D55" s="288">
        <f>D54/C54-1</f>
        <v>0.31042959640985845</v>
      </c>
      <c r="E55" s="288">
        <f t="shared" ref="E55:K55" si="36">E54/D54-1</f>
        <v>0.47372453979263551</v>
      </c>
      <c r="F55" s="288">
        <f t="shared" si="36"/>
        <v>0.31391504362688649</v>
      </c>
      <c r="G55" s="288">
        <f t="shared" ca="1" si="36"/>
        <v>0.20890105548511473</v>
      </c>
      <c r="H55" s="288">
        <f t="shared" ca="1" si="36"/>
        <v>0.18495791372943371</v>
      </c>
      <c r="I55" s="288">
        <f t="shared" ca="1" si="36"/>
        <v>0.16701468295218547</v>
      </c>
      <c r="J55" s="288">
        <f t="shared" ca="1" si="36"/>
        <v>0.15613741117787816</v>
      </c>
      <c r="K55" s="288">
        <f t="shared" ca="1" si="36"/>
        <v>0.1481135243453533</v>
      </c>
    </row>
    <row r="56" spans="1:11">
      <c r="B56" s="287" t="s">
        <v>347</v>
      </c>
      <c r="C56" s="288"/>
      <c r="D56" s="288"/>
      <c r="E56" s="288"/>
      <c r="F56" s="288"/>
      <c r="G56" s="288"/>
      <c r="H56" s="288"/>
      <c r="I56" s="288"/>
      <c r="J56" s="288"/>
      <c r="K56" s="288"/>
    </row>
    <row r="57" spans="1:11">
      <c r="B57" s="287" t="s">
        <v>407</v>
      </c>
      <c r="C57" s="288">
        <f t="shared" ref="C57:J57" si="37">C54/C3</f>
        <v>-8.7874162721289464E-2</v>
      </c>
      <c r="D57" s="288">
        <f t="shared" si="37"/>
        <v>-7.7959253919024279E-2</v>
      </c>
      <c r="E57" s="288">
        <f t="shared" si="37"/>
        <v>-7.3419530463492574E-2</v>
      </c>
      <c r="F57" s="288">
        <f t="shared" si="37"/>
        <v>-7.3349664528260861E-2</v>
      </c>
      <c r="G57" s="288">
        <f t="shared" ca="1" si="37"/>
        <v>-7.1463431730770424E-2</v>
      </c>
      <c r="H57" s="288">
        <f t="shared" ca="1" si="37"/>
        <v>-6.9467233890390223E-2</v>
      </c>
      <c r="I57" s="288">
        <f t="shared" ca="1" si="37"/>
        <v>-6.8161697090344378E-2</v>
      </c>
      <c r="J57" s="288">
        <f t="shared" ca="1" si="37"/>
        <v>-6.6875492946493323E-2</v>
      </c>
      <c r="K57" s="288">
        <f t="shared" ref="K57" ca="1" si="38">K54/K3</f>
        <v>-6.5594070378087441E-2</v>
      </c>
    </row>
    <row r="58" spans="1:11">
      <c r="B58" s="548" t="s">
        <v>405</v>
      </c>
      <c r="C58" s="303">
        <f>'业务表-季度'!C58+'业务表-季度'!D58+'业务表-季度'!E58+'业务表-季度'!F58</f>
        <v>-77.859999999999985</v>
      </c>
      <c r="D58" s="303">
        <f>'业务表-季度'!G58+'业务表-季度'!H58+'业务表-季度'!I58+'业务表-季度'!J58</f>
        <v>-106.14026878051291</v>
      </c>
      <c r="E58" s="303">
        <f>'业务表-季度'!K58+'业务表-季度'!L58+'业务表-季度'!M58+'业务表-季度'!N58</f>
        <v>-155.94772437000003</v>
      </c>
      <c r="F58" s="303">
        <f>'业务表-季度'!O58+'业务表-季度'!P58+'业务表-季度'!Q58+'业务表-季度'!R58</f>
        <v>-185.85999999999999</v>
      </c>
      <c r="G58" s="303">
        <f ca="1">'业务表-季度'!S58+'业务表-季度'!T58+'业务表-季度'!U58+'业务表-季度'!V58</f>
        <v>-231.32669413234979</v>
      </c>
      <c r="H58" s="303">
        <f ca="1">'业务表-季度'!W58+'业务表-季度'!X58+'业务表-季度'!Y58+'业务表-季度'!Z58</f>
        <v>-275.14282678378072</v>
      </c>
      <c r="I58" s="303">
        <f ca="1">'业务表-季度'!AA58+'业务表-季度'!AB58+'业务表-季度'!AC58+'业务表-季度'!AD58</f>
        <v>-319.24027818295406</v>
      </c>
      <c r="J58" s="303">
        <f ca="1">'业务表-季度'!AE58+'业务表-季度'!AF58+'业务表-季度'!AG58+'业务表-季度'!AH58</f>
        <v>-366.67480279261872</v>
      </c>
      <c r="K58" s="303">
        <f ca="1">'业务表-季度'!AL58+'业务表-季度'!AK58+'业务表-季度'!AJ58+'业务表-季度'!AI58</f>
        <v>-418.04061462330776</v>
      </c>
    </row>
    <row r="59" spans="1:11">
      <c r="B59" s="287" t="s">
        <v>315</v>
      </c>
      <c r="C59" s="288"/>
      <c r="D59" s="288">
        <f>D58/C58-1</f>
        <v>0.36321948086967537</v>
      </c>
      <c r="E59" s="288">
        <f t="shared" ref="E59:K59" si="39">E58/D58-1</f>
        <v>0.46926068834896006</v>
      </c>
      <c r="F59" s="288">
        <f t="shared" si="39"/>
        <v>0.19180963204714918</v>
      </c>
      <c r="G59" s="288">
        <f t="shared" ca="1" si="39"/>
        <v>0.2446287212544378</v>
      </c>
      <c r="H59" s="288">
        <f t="shared" ca="1" si="39"/>
        <v>0.18941234955945996</v>
      </c>
      <c r="I59" s="288">
        <f t="shared" ca="1" si="39"/>
        <v>0.16027112868847215</v>
      </c>
      <c r="J59" s="288">
        <f t="shared" ca="1" si="39"/>
        <v>0.14858565115796663</v>
      </c>
      <c r="K59" s="288">
        <f t="shared" ca="1" si="39"/>
        <v>0.14008546930272758</v>
      </c>
    </row>
    <row r="60" spans="1:11">
      <c r="B60" s="287" t="s">
        <v>347</v>
      </c>
      <c r="C60" s="288"/>
      <c r="D60" s="288"/>
      <c r="E60" s="288"/>
      <c r="F60" s="288"/>
      <c r="G60" s="288"/>
      <c r="H60" s="288"/>
      <c r="I60" s="288"/>
      <c r="J60" s="288"/>
      <c r="K60" s="288"/>
    </row>
    <row r="61" spans="1:11">
      <c r="B61" s="287" t="s">
        <v>408</v>
      </c>
      <c r="C61" s="288">
        <f t="shared" ref="C61:J61" si="40">C58/C3</f>
        <v>-7.5692911931403886E-2</v>
      </c>
      <c r="D61" s="288">
        <f t="shared" si="40"/>
        <v>-6.9857618752723422E-2</v>
      </c>
      <c r="E61" s="288">
        <f t="shared" si="40"/>
        <v>-6.5590395512281296E-2</v>
      </c>
      <c r="F61" s="288">
        <f t="shared" si="40"/>
        <v>-5.9438300702923622E-2</v>
      </c>
      <c r="G61" s="288">
        <f t="shared" ca="1" si="40"/>
        <v>-5.9621264440786671E-2</v>
      </c>
      <c r="H61" s="288">
        <f t="shared" ca="1" si="40"/>
        <v>-5.8173720300743567E-2</v>
      </c>
      <c r="I61" s="288">
        <f t="shared" ca="1" si="40"/>
        <v>-5.6750591556225465E-2</v>
      </c>
      <c r="J61" s="288">
        <f t="shared" ca="1" si="40"/>
        <v>-5.5316020137155614E-2</v>
      </c>
      <c r="K61" s="288">
        <f t="shared" ref="K61" ca="1" si="41">K58/K3</f>
        <v>-5.3876712660132345E-2</v>
      </c>
    </row>
    <row r="62" spans="1:11">
      <c r="B62" s="285" t="s">
        <v>456</v>
      </c>
      <c r="C62" s="304">
        <f>C34+C38+C42+C46</f>
        <v>406.27000000000021</v>
      </c>
      <c r="D62" s="304">
        <f>D34+D38+D42+D46</f>
        <v>561.23782000000006</v>
      </c>
      <c r="E62" s="304">
        <f t="shared" ref="E62:J62" si="42">E34+E38+E42+E46</f>
        <v>902.94693000000041</v>
      </c>
      <c r="F62" s="304">
        <f t="shared" si="42"/>
        <v>977.50580999999977</v>
      </c>
      <c r="G62" s="304">
        <f t="shared" ca="1" si="42"/>
        <v>905.08121073183747</v>
      </c>
      <c r="H62" s="304">
        <f t="shared" ca="1" si="42"/>
        <v>1075.3181425286691</v>
      </c>
      <c r="I62" s="304">
        <f t="shared" ca="1" si="42"/>
        <v>1278.799365984484</v>
      </c>
      <c r="J62" s="304">
        <f t="shared" ca="1" si="42"/>
        <v>1522.2379258958408</v>
      </c>
      <c r="K62" s="304">
        <f t="shared" ref="K62" ca="1" si="43">K34+K38+K42+K46</f>
        <v>1799.2320492925201</v>
      </c>
    </row>
    <row r="63" spans="1:11">
      <c r="A63" s="285"/>
      <c r="B63" s="287" t="s">
        <v>315</v>
      </c>
      <c r="C63" s="288"/>
      <c r="D63" s="288">
        <f>D62/C62-1</f>
        <v>0.38144047062298414</v>
      </c>
      <c r="E63" s="288">
        <f t="shared" ref="E63:K63" si="44">E62/D62-1</f>
        <v>0.60884904370842352</v>
      </c>
      <c r="F63" s="288">
        <f t="shared" si="44"/>
        <v>8.2572826290022716E-2</v>
      </c>
      <c r="G63" s="288">
        <f t="shared" ca="1" si="44"/>
        <v>-7.4091221276896824E-2</v>
      </c>
      <c r="H63" s="288">
        <f t="shared" ca="1" si="44"/>
        <v>0.18809022856543467</v>
      </c>
      <c r="I63" s="288">
        <f t="shared" ca="1" si="44"/>
        <v>0.1892288574033707</v>
      </c>
      <c r="J63" s="288">
        <f t="shared" ca="1" si="44"/>
        <v>0.1903649363510167</v>
      </c>
      <c r="K63" s="288">
        <f t="shared" ca="1" si="44"/>
        <v>0.18196506517446509</v>
      </c>
    </row>
    <row r="64" spans="1:11">
      <c r="B64" s="287" t="s">
        <v>347</v>
      </c>
      <c r="C64" s="288"/>
      <c r="D64" s="288"/>
      <c r="E64" s="288"/>
      <c r="F64" s="288"/>
      <c r="G64" s="288"/>
      <c r="H64" s="288"/>
      <c r="I64" s="288"/>
      <c r="J64" s="288"/>
      <c r="K64" s="288"/>
    </row>
    <row r="65" spans="1:17">
      <c r="B65" s="287" t="s">
        <v>457</v>
      </c>
      <c r="C65" s="288">
        <f t="shared" ref="C65:J65" si="45">C62/C3</f>
        <v>0.39496223131738345</v>
      </c>
      <c r="D65" s="288">
        <f t="shared" si="45"/>
        <v>0.36938607853203287</v>
      </c>
      <c r="E65" s="288">
        <f t="shared" si="45"/>
        <v>0.37977243018169593</v>
      </c>
      <c r="F65" s="288">
        <f t="shared" si="45"/>
        <v>0.31260779228255092</v>
      </c>
      <c r="G65" s="288">
        <f t="shared" ca="1" si="45"/>
        <v>0.23327219717477451</v>
      </c>
      <c r="H65" s="288">
        <f t="shared" ca="1" si="45"/>
        <v>0.22735557960570263</v>
      </c>
      <c r="I65" s="288">
        <f t="shared" ca="1" si="45"/>
        <v>0.22732914817144326</v>
      </c>
      <c r="J65" s="288">
        <f t="shared" ca="1" si="45"/>
        <v>0.22964256916780806</v>
      </c>
      <c r="K65" s="288">
        <f t="shared" ref="K65" ca="1" si="46">K62/K3</f>
        <v>0.231883469542745</v>
      </c>
    </row>
    <row r="66" spans="1:17" s="285" customFormat="1">
      <c r="A66" s="283"/>
      <c r="B66" s="548" t="s">
        <v>458</v>
      </c>
      <c r="C66" s="303">
        <f>'业务表-季度'!C66+'业务表-季度'!D66+'业务表-季度'!E66+'业务表-季度'!F66</f>
        <v>-16.18</v>
      </c>
      <c r="D66" s="303">
        <f>'业务表-季度'!G66+'业务表-季度'!H66+'业务表-季度'!I66+'业务表-季度'!J66</f>
        <v>-19.549999999999997</v>
      </c>
      <c r="E66" s="303">
        <f>'业务表-季度'!K66+'业务表-季度'!L66+'业务表-季度'!M66+'业务表-季度'!N66</f>
        <v>-29.080000000000002</v>
      </c>
      <c r="F66" s="303">
        <f>-CS!J113/100</f>
        <v>0</v>
      </c>
      <c r="G66" s="303">
        <f ca="1">-CS!K113/100</f>
        <v>-55.752668519256716</v>
      </c>
      <c r="H66" s="303">
        <f ca="1">-CS!L113/100</f>
        <v>-67.866624174251896</v>
      </c>
      <c r="I66" s="303">
        <f ca="1">-CS!M113/100</f>
        <v>-82.064531570015347</v>
      </c>
      <c r="J66" s="303">
        <f ca="1">-CS!N113/100</f>
        <v>-99.388541479953162</v>
      </c>
      <c r="K66" s="303">
        <f>'业务表-季度'!AL66+'业务表-季度'!AK66+'业务表-季度'!AJ66+'业务表-季度'!AI66</f>
        <v>-140.889619249872</v>
      </c>
      <c r="M66" s="289"/>
      <c r="N66" s="289"/>
    </row>
    <row r="67" spans="1:17" s="285" customFormat="1">
      <c r="A67" s="283"/>
      <c r="B67" s="287" t="s">
        <v>315</v>
      </c>
      <c r="C67" s="288"/>
      <c r="D67" s="288">
        <f>D66/C66-1</f>
        <v>0.20828182941903561</v>
      </c>
      <c r="E67" s="288">
        <f t="shared" ref="E67:K67" si="47">E66/D66-1</f>
        <v>0.48746803069053746</v>
      </c>
      <c r="F67" s="288">
        <f t="shared" si="47"/>
        <v>-1</v>
      </c>
      <c r="G67" s="288" t="e">
        <f t="shared" ca="1" si="47"/>
        <v>#DIV/0!</v>
      </c>
      <c r="H67" s="288">
        <f t="shared" ca="1" si="47"/>
        <v>0.21728028409637612</v>
      </c>
      <c r="I67" s="288">
        <f t="shared" ca="1" si="47"/>
        <v>0.20920308868331827</v>
      </c>
      <c r="J67" s="288">
        <f t="shared" ca="1" si="47"/>
        <v>0.21110228229545691</v>
      </c>
      <c r="K67" s="288">
        <f t="shared" ca="1" si="47"/>
        <v>0.41756400840523122</v>
      </c>
      <c r="N67" s="289"/>
      <c r="O67" s="289"/>
      <c r="P67" s="289"/>
      <c r="Q67" s="289"/>
    </row>
    <row r="68" spans="1:17">
      <c r="B68" s="287" t="s">
        <v>347</v>
      </c>
      <c r="C68" s="288"/>
      <c r="D68" s="288"/>
      <c r="E68" s="288"/>
      <c r="F68" s="288"/>
      <c r="G68" s="288"/>
      <c r="H68" s="288"/>
      <c r="I68" s="288"/>
      <c r="J68" s="288"/>
      <c r="K68" s="288"/>
    </row>
    <row r="69" spans="1:17">
      <c r="B69" s="287" t="s">
        <v>351</v>
      </c>
      <c r="C69" s="288">
        <f t="shared" ref="C69:J69" si="48">C66/C3</f>
        <v>-1.5729659838814733E-2</v>
      </c>
      <c r="D69" s="288">
        <f t="shared" si="48"/>
        <v>-1.2867090523766273E-2</v>
      </c>
      <c r="E69" s="288">
        <f t="shared" si="48"/>
        <v>-1.2230820995962314E-2</v>
      </c>
      <c r="F69" s="288">
        <f t="shared" si="48"/>
        <v>0</v>
      </c>
      <c r="G69" s="288">
        <f t="shared" ca="1" si="48"/>
        <v>-1.4369481246138974E-2</v>
      </c>
      <c r="H69" s="288">
        <f t="shared" ca="1" si="48"/>
        <v>-1.4349107547590785E-2</v>
      </c>
      <c r="I69" s="288">
        <f t="shared" ca="1" si="48"/>
        <v>-1.4588418287600604E-2</v>
      </c>
      <c r="J69" s="288">
        <f t="shared" ca="1" si="48"/>
        <v>-1.4993608832775479E-2</v>
      </c>
      <c r="K69" s="288">
        <f t="shared" ref="K69" ca="1" si="49">K66/K3</f>
        <v>-1.8157732209729625E-2</v>
      </c>
    </row>
    <row r="70" spans="1:17">
      <c r="B70" s="548" t="s">
        <v>459</v>
      </c>
      <c r="C70" s="303">
        <f>'业务表-季度'!C70+'业务表-季度'!D70+'业务表-季度'!E70+'业务表-季度'!F70</f>
        <v>-27.93</v>
      </c>
      <c r="D70" s="303">
        <f>'业务表-季度'!G70+'业务表-季度'!H70+'业务表-季度'!I70+'业务表-季度'!J70</f>
        <v>-25.22</v>
      </c>
      <c r="E70" s="303">
        <f>'业务表-季度'!K70+'业务表-季度'!L70+'业务表-季度'!M70+'业务表-季度'!N70</f>
        <v>8.2100000000000009</v>
      </c>
      <c r="F70" s="303">
        <f>'业务表-季度'!O70+'业务表-季度'!P70+'业务表-季度'!Q70+'业务表-季度'!R70</f>
        <v>14.870000000000001</v>
      </c>
      <c r="G70" s="303">
        <f ca="1">'业务表-季度'!S70+'业务表-季度'!T70+'业务表-季度'!U70+'业务表-季度'!V70</f>
        <v>15.519744259170732</v>
      </c>
      <c r="H70" s="303">
        <f ca="1">'业务表-季度'!W70+'业务表-季度'!X70+'业务表-季度'!Y70+'业务表-季度'!Z70</f>
        <v>16.553864679184422</v>
      </c>
      <c r="I70" s="303">
        <f ca="1">'业务表-季度'!AA70+'业务表-季度'!AB70+'业务表-季度'!AC70+'业务表-季度'!AD70</f>
        <v>18.563558354453519</v>
      </c>
      <c r="J70" s="303">
        <f ca="1">'业务表-季度'!AE70+'业务表-季度'!AF70+'业务表-季度'!AG70+'业务表-季度'!AH70</f>
        <v>19.88618135669115</v>
      </c>
      <c r="K70" s="303">
        <f ca="1">'业务表-季度'!AL70+'业务表-季度'!AK70+'业务表-季度'!AJ70+'业务表-季度'!AI70</f>
        <v>20.173940546021615</v>
      </c>
    </row>
    <row r="71" spans="1:17">
      <c r="B71" s="287" t="s">
        <v>315</v>
      </c>
      <c r="C71" s="288"/>
      <c r="D71" s="288">
        <f>D70/C70-1</f>
        <v>-9.7028284998209813E-2</v>
      </c>
      <c r="E71" s="288">
        <f t="shared" ref="E71:K71" si="50">E70/D70-1</f>
        <v>-1.3255352894528154</v>
      </c>
      <c r="F71" s="288">
        <f t="shared" si="50"/>
        <v>0.8112058465286236</v>
      </c>
      <c r="G71" s="288">
        <f t="shared" ca="1" si="50"/>
        <v>4.3694973716928764E-2</v>
      </c>
      <c r="H71" s="288">
        <f t="shared" ca="1" si="50"/>
        <v>6.6632568342910758E-2</v>
      </c>
      <c r="I71" s="288">
        <f t="shared" ca="1" si="50"/>
        <v>0.12140329247684245</v>
      </c>
      <c r="J71" s="288">
        <f t="shared" ca="1" si="50"/>
        <v>7.1248355352104387E-2</v>
      </c>
      <c r="K71" s="288">
        <f t="shared" ca="1" si="50"/>
        <v>1.4470309013532301E-2</v>
      </c>
    </row>
    <row r="72" spans="1:17" s="285" customFormat="1">
      <c r="A72" s="283"/>
      <c r="B72" s="287" t="s">
        <v>347</v>
      </c>
      <c r="C72" s="288"/>
      <c r="D72" s="288"/>
      <c r="E72" s="288"/>
      <c r="F72" s="288"/>
      <c r="G72" s="288"/>
      <c r="H72" s="288"/>
      <c r="I72" s="288"/>
      <c r="J72" s="288"/>
      <c r="K72" s="288"/>
    </row>
    <row r="73" spans="1:17">
      <c r="B73" s="287" t="s">
        <v>351</v>
      </c>
      <c r="C73" s="288">
        <f t="shared" ref="C73:J73" si="51">C70/C3</f>
        <v>-2.7152620475778461E-2</v>
      </c>
      <c r="D73" s="288">
        <f t="shared" si="51"/>
        <v>-1.6598875857257566E-2</v>
      </c>
      <c r="E73" s="288">
        <f t="shared" si="51"/>
        <v>3.4530619111709285E-3</v>
      </c>
      <c r="F73" s="288">
        <f t="shared" si="51"/>
        <v>4.7554478179945891E-3</v>
      </c>
      <c r="G73" s="288">
        <f t="shared" ca="1" si="51"/>
        <v>4.0000000000000001E-3</v>
      </c>
      <c r="H73" s="288">
        <f t="shared" ca="1" si="51"/>
        <v>3.5000000000000005E-3</v>
      </c>
      <c r="I73" s="288">
        <f t="shared" ca="1" si="51"/>
        <v>3.3000000000000004E-3</v>
      </c>
      <c r="J73" s="288">
        <f t="shared" ca="1" si="51"/>
        <v>3.0000000000000001E-3</v>
      </c>
      <c r="K73" s="288">
        <f t="shared" ref="K73" ca="1" si="52">K70/K3</f>
        <v>2.5999999999999999E-3</v>
      </c>
    </row>
    <row r="74" spans="1:17">
      <c r="B74" s="295" t="s">
        <v>461</v>
      </c>
      <c r="C74" s="304">
        <f t="shared" ref="C74:J74" si="53">C62+C66+C70</f>
        <v>362.1600000000002</v>
      </c>
      <c r="D74" s="304">
        <f t="shared" si="53"/>
        <v>516.46782000000007</v>
      </c>
      <c r="E74" s="304">
        <f t="shared" si="53"/>
        <v>882.0769300000004</v>
      </c>
      <c r="F74" s="304">
        <f t="shared" si="53"/>
        <v>992.37580999999977</v>
      </c>
      <c r="G74" s="304">
        <f t="shared" ca="1" si="53"/>
        <v>864.84828647175141</v>
      </c>
      <c r="H74" s="304">
        <f t="shared" ca="1" si="53"/>
        <v>1024.0053830336017</v>
      </c>
      <c r="I74" s="304">
        <f t="shared" ca="1" si="53"/>
        <v>1215.2983927689222</v>
      </c>
      <c r="J74" s="304">
        <f t="shared" ca="1" si="53"/>
        <v>1442.7355657725789</v>
      </c>
      <c r="K74" s="304">
        <f t="shared" ref="K74" ca="1" si="54">K62+K66+K70</f>
        <v>1678.5163705886698</v>
      </c>
    </row>
    <row r="75" spans="1:17">
      <c r="B75" s="287" t="s">
        <v>315</v>
      </c>
      <c r="C75" s="288"/>
      <c r="D75" s="288">
        <f>D74/C74-1</f>
        <v>0.4260763750828358</v>
      </c>
      <c r="E75" s="288">
        <f t="shared" ref="E75:K75" si="55">E74/D74-1</f>
        <v>0.70790298222259085</v>
      </c>
      <c r="F75" s="288">
        <f t="shared" si="55"/>
        <v>0.12504451284084639</v>
      </c>
      <c r="G75" s="288">
        <f t="shared" ca="1" si="55"/>
        <v>-0.12850728750456786</v>
      </c>
      <c r="H75" s="288">
        <f t="shared" ca="1" si="55"/>
        <v>0.18402892050714481</v>
      </c>
      <c r="I75" s="288">
        <f t="shared" ca="1" si="55"/>
        <v>0.18680859779136871</v>
      </c>
      <c r="J75" s="288">
        <f t="shared" ca="1" si="55"/>
        <v>0.18714512777842685</v>
      </c>
      <c r="K75" s="288">
        <f t="shared" ca="1" si="55"/>
        <v>0.16342620949378994</v>
      </c>
    </row>
    <row r="76" spans="1:17">
      <c r="B76" s="287" t="s">
        <v>347</v>
      </c>
      <c r="C76" s="288"/>
      <c r="D76" s="288"/>
      <c r="E76" s="288"/>
      <c r="F76" s="288"/>
      <c r="G76" s="288"/>
      <c r="H76" s="288"/>
      <c r="I76" s="288"/>
      <c r="J76" s="288"/>
      <c r="K76" s="288"/>
    </row>
    <row r="77" spans="1:17" s="285" customFormat="1">
      <c r="A77" s="283"/>
      <c r="B77" s="287" t="s">
        <v>462</v>
      </c>
      <c r="C77" s="288">
        <f t="shared" ref="C77:J77" si="56">C74/C3</f>
        <v>0.35207995100279027</v>
      </c>
      <c r="D77" s="288">
        <f t="shared" si="56"/>
        <v>0.33992011215100904</v>
      </c>
      <c r="E77" s="288">
        <f t="shared" si="56"/>
        <v>0.37099467109690454</v>
      </c>
      <c r="F77" s="288">
        <f t="shared" si="56"/>
        <v>0.31736324010054551</v>
      </c>
      <c r="G77" s="288">
        <f t="shared" ca="1" si="56"/>
        <v>0.2229027159286355</v>
      </c>
      <c r="H77" s="288">
        <f t="shared" ca="1" si="56"/>
        <v>0.21650647205811185</v>
      </c>
      <c r="I77" s="288">
        <f t="shared" ca="1" si="56"/>
        <v>0.21604072988384268</v>
      </c>
      <c r="J77" s="288">
        <f t="shared" ca="1" si="56"/>
        <v>0.21764896033503259</v>
      </c>
      <c r="K77" s="288">
        <f t="shared" ref="K77" ca="1" si="57">K74/K3</f>
        <v>0.21632573733301538</v>
      </c>
    </row>
    <row r="78" spans="1:17">
      <c r="B78" s="295" t="s">
        <v>463</v>
      </c>
      <c r="C78" s="289">
        <f>'业务表-季度'!C78+'业务表-季度'!D78+'业务表-季度'!E78+'业务表-季度'!F78</f>
        <v>-71.08</v>
      </c>
      <c r="D78" s="289">
        <f>'业务表-季度'!G78+'业务表-季度'!H78+'业务表-季度'!I78+'业务表-季度'!J78</f>
        <v>-101.92999999999999</v>
      </c>
      <c r="E78" s="289">
        <f>'业务表-季度'!K78+'业务表-季度'!L78+'业务表-季度'!M78+'业务表-季度'!N78</f>
        <v>-157.44</v>
      </c>
      <c r="F78" s="289">
        <f>'业务表-季度'!O78+'业务表-季度'!P78+'业务表-季度'!Q78+'业务表-季度'!R78</f>
        <v>-144.82</v>
      </c>
      <c r="G78" s="289">
        <f ca="1">'业务表-季度'!S78+'业务表-季度'!T78+'业务表-季度'!U78+'业务表-季度'!V78</f>
        <v>-143.734721512021</v>
      </c>
      <c r="H78" s="289">
        <f ca="1">'业务表-季度'!W78+'业务表-季度'!X78+'业务表-季度'!Y78+'业务表-季度'!Z78</f>
        <v>-169.57428901845191</v>
      </c>
      <c r="I78" s="289">
        <f ca="1">'业务表-季度'!AA78+'业务表-季度'!AB78+'业务表-季度'!AC78+'业务表-季度'!AD78</f>
        <v>-200.5321720547721</v>
      </c>
      <c r="J78" s="289">
        <f ca="1">'业务表-季度'!AE78+'业务表-季度'!AF78+'业务表-季度'!AG78+'业务表-季度'!AH78</f>
        <v>-237.29456769943883</v>
      </c>
      <c r="K78" s="303">
        <f ca="1">'业务表-季度'!AL78+'业务表-季度'!AK78+'业务表-季度'!AJ78+'业务表-季度'!AI78</f>
        <v>-278.96345906237195</v>
      </c>
    </row>
    <row r="79" spans="1:17">
      <c r="A79" s="285"/>
      <c r="B79" s="283" t="s">
        <v>464</v>
      </c>
      <c r="C79" s="296">
        <f>C78/C74</f>
        <v>-0.19626684338413949</v>
      </c>
      <c r="D79" s="296">
        <f t="shared" ref="D79:K79" si="58">D78/D74</f>
        <v>-0.19735982776235697</v>
      </c>
      <c r="E79" s="296">
        <f t="shared" si="58"/>
        <v>-0.17848783325508799</v>
      </c>
      <c r="F79" s="296">
        <f t="shared" si="58"/>
        <v>-0.14593261800688193</v>
      </c>
      <c r="G79" s="296">
        <f t="shared" ca="1" si="58"/>
        <v>-0.16619645752945111</v>
      </c>
      <c r="H79" s="296">
        <f t="shared" ca="1" si="58"/>
        <v>-0.16559902108726268</v>
      </c>
      <c r="I79" s="296">
        <f t="shared" ca="1" si="58"/>
        <v>-0.16500653111034061</v>
      </c>
      <c r="J79" s="296">
        <f t="shared" ca="1" si="58"/>
        <v>-0.16447544049582544</v>
      </c>
      <c r="K79" s="296">
        <f t="shared" ca="1" si="58"/>
        <v>-0.16619644821488225</v>
      </c>
    </row>
    <row r="80" spans="1:17">
      <c r="A80" s="285"/>
      <c r="B80" s="291" t="s">
        <v>465</v>
      </c>
      <c r="C80" s="298">
        <f t="shared" ref="C80:J80" si="59">C74+C78</f>
        <v>291.08000000000021</v>
      </c>
      <c r="D80" s="298">
        <f t="shared" si="59"/>
        <v>414.53782000000007</v>
      </c>
      <c r="E80" s="298">
        <f t="shared" si="59"/>
        <v>724.63693000000035</v>
      </c>
      <c r="F80" s="298">
        <f t="shared" si="59"/>
        <v>847.55580999999984</v>
      </c>
      <c r="G80" s="298">
        <f t="shared" ca="1" si="59"/>
        <v>721.11356495973041</v>
      </c>
      <c r="H80" s="298">
        <f t="shared" ca="1" si="59"/>
        <v>854.43109401514971</v>
      </c>
      <c r="I80" s="298">
        <f t="shared" ca="1" si="59"/>
        <v>1014.7662207141501</v>
      </c>
      <c r="J80" s="298">
        <f t="shared" ca="1" si="59"/>
        <v>1205.44099807314</v>
      </c>
      <c r="K80" s="298">
        <f t="shared" ref="K80" ca="1" si="60">K74+K78</f>
        <v>1399.552911526298</v>
      </c>
    </row>
    <row r="81" spans="1:11">
      <c r="B81" s="287" t="s">
        <v>315</v>
      </c>
      <c r="C81" s="288"/>
      <c r="D81" s="288">
        <f>D80/C80-1</f>
        <v>0.42413707571801496</v>
      </c>
      <c r="E81" s="288">
        <f t="shared" ref="E81:K81" si="61">E80/D80-1</f>
        <v>0.7480598754535841</v>
      </c>
      <c r="F81" s="288">
        <f t="shared" si="61"/>
        <v>0.16962823023662277</v>
      </c>
      <c r="G81" s="288">
        <f t="shared" ca="1" si="61"/>
        <v>-0.14918456525036317</v>
      </c>
      <c r="H81" s="288">
        <f t="shared" ca="1" si="61"/>
        <v>0.18487730023892168</v>
      </c>
      <c r="I81" s="288">
        <f t="shared" ca="1" si="61"/>
        <v>0.18765132474937474</v>
      </c>
      <c r="J81" s="288">
        <f t="shared" ca="1" si="61"/>
        <v>0.18790020151124165</v>
      </c>
      <c r="K81" s="288">
        <f t="shared" ca="1" si="61"/>
        <v>0.16102979221997571</v>
      </c>
    </row>
    <row r="82" spans="1:11">
      <c r="B82" s="287" t="s">
        <v>347</v>
      </c>
      <c r="C82" s="288"/>
      <c r="D82" s="288"/>
      <c r="E82" s="288"/>
      <c r="F82" s="288"/>
      <c r="G82" s="288"/>
      <c r="H82" s="288"/>
      <c r="I82" s="288"/>
      <c r="J82" s="288"/>
      <c r="K82" s="288"/>
    </row>
    <row r="83" spans="1:11">
      <c r="B83" s="287" t="s">
        <v>466</v>
      </c>
      <c r="C83" s="288">
        <f t="shared" ref="C83:J83" si="62">C80/C3</f>
        <v>0.28297833040063014</v>
      </c>
      <c r="D83" s="288">
        <f t="shared" si="62"/>
        <v>0.27283353736392485</v>
      </c>
      <c r="E83" s="288">
        <f t="shared" si="62"/>
        <v>0.30477663610363404</v>
      </c>
      <c r="F83" s="288">
        <f t="shared" si="62"/>
        <v>0.27104959161352626</v>
      </c>
      <c r="G83" s="288">
        <f t="shared" ca="1" si="62"/>
        <v>0.18585707416760272</v>
      </c>
      <c r="H83" s="288">
        <f t="shared" ca="1" si="62"/>
        <v>0.18065321222623171</v>
      </c>
      <c r="I83" s="288">
        <f t="shared" ca="1" si="62"/>
        <v>0.18039259846716368</v>
      </c>
      <c r="J83" s="288">
        <f t="shared" ca="1" si="62"/>
        <v>0.18185105171046967</v>
      </c>
      <c r="K83" s="288">
        <f t="shared" ref="K83" ca="1" si="63">K80/K3</f>
        <v>0.1803731681308027</v>
      </c>
    </row>
    <row r="84" spans="1:11">
      <c r="B84" s="285" t="s">
        <v>467</v>
      </c>
      <c r="C84" s="305">
        <f>'业务表-季度'!C84+'业务表-季度'!D84+'业务表-季度'!E84+'业务表-季度'!F84</f>
        <v>288.06</v>
      </c>
      <c r="D84" s="305">
        <f>'业务表-季度'!G84+'业务表-季度'!H84+'业务表-季度'!I84+'业务表-季度'!J84</f>
        <v>410.95</v>
      </c>
      <c r="E84" s="305">
        <f>'业务表-季度'!K84+'业务表-季度'!L84+'业务表-季度'!M84+'业务表-季度'!N84</f>
        <v>715.1</v>
      </c>
      <c r="F84" s="305">
        <f>'业务表-季度'!O84+'业务表-季度'!P84+'业务表-季度'!Q84+'业务表-季度'!R84</f>
        <v>787.18999999999994</v>
      </c>
      <c r="G84" s="305">
        <f ca="1">'业务表-季度'!S84+'业务表-季度'!T84+'业务表-季度'!U84+'业务表-季度'!V84</f>
        <v>682.36395999943318</v>
      </c>
      <c r="H84" s="305">
        <f ca="1">'业务表-季度'!W84+'业务表-季度'!X84+'业务表-季度'!Y84+'业务表-季度'!Z84</f>
        <v>804.27315062402681</v>
      </c>
      <c r="I84" s="305">
        <f ca="1">'业务表-季度'!AA84+'业务表-季度'!AB84+'业务表-季度'!AC84+'业务表-季度'!AD84</f>
        <v>950.94223646476883</v>
      </c>
      <c r="J84" s="305">
        <f ca="1">'业务表-季度'!AE84+'业务表-季度'!AF84+'业务表-季度'!AG84+'业务表-季度'!AH84</f>
        <v>1125.4121949380688</v>
      </c>
      <c r="K84" s="305">
        <f ca="1">'业务表-季度'!AL84+'业务表-季度'!AK84+'业务表-季度'!AJ84+'业务表-季度'!AI84</f>
        <v>1323.2020253223536</v>
      </c>
    </row>
    <row r="85" spans="1:11">
      <c r="A85" s="285"/>
      <c r="B85" s="283" t="s">
        <v>468</v>
      </c>
      <c r="C85" s="289">
        <f>C80-C84</f>
        <v>3.0200000000002092</v>
      </c>
      <c r="D85" s="289">
        <f t="shared" ref="D85:K85" si="64">D80-D84</f>
        <v>3.5878200000000788</v>
      </c>
      <c r="E85" s="289">
        <f t="shared" si="64"/>
        <v>9.536930000000325</v>
      </c>
      <c r="F85" s="289">
        <f t="shared" si="64"/>
        <v>60.365809999999897</v>
      </c>
      <c r="G85" s="289">
        <f t="shared" ca="1" si="64"/>
        <v>38.749604960297233</v>
      </c>
      <c r="H85" s="289">
        <f t="shared" ca="1" si="64"/>
        <v>50.157943391122899</v>
      </c>
      <c r="I85" s="289">
        <f t="shared" ca="1" si="64"/>
        <v>63.823984249381283</v>
      </c>
      <c r="J85" s="289">
        <f t="shared" ca="1" si="64"/>
        <v>80.028803135071257</v>
      </c>
      <c r="K85" s="289">
        <f t="shared" ca="1" si="64"/>
        <v>76.350886203944356</v>
      </c>
    </row>
    <row r="86" spans="1:11">
      <c r="B86" s="295" t="s">
        <v>469</v>
      </c>
      <c r="C86" s="289">
        <v>93</v>
      </c>
      <c r="D86" s="283">
        <v>93.76</v>
      </c>
      <c r="E86" s="283">
        <v>94.11</v>
      </c>
      <c r="F86" s="289">
        <f>AVERAGE('业务表-季度'!O86:R86)</f>
        <v>94.357500000000002</v>
      </c>
      <c r="G86" s="289">
        <v>94.357500000000002</v>
      </c>
      <c r="H86" s="289">
        <v>94.357500000000002</v>
      </c>
      <c r="I86" s="289">
        <v>94.357500000000002</v>
      </c>
      <c r="J86" s="289">
        <v>94.357500000000002</v>
      </c>
      <c r="K86" s="289">
        <v>94.357500000000002</v>
      </c>
    </row>
    <row r="87" spans="1:11">
      <c r="B87" s="295" t="s">
        <v>470</v>
      </c>
      <c r="C87" s="289">
        <v>94.3</v>
      </c>
      <c r="D87" s="283">
        <v>94.94</v>
      </c>
      <c r="E87" s="283">
        <v>95.36</v>
      </c>
      <c r="F87" s="283">
        <v>95.63</v>
      </c>
      <c r="G87" s="283">
        <v>95.63</v>
      </c>
      <c r="H87" s="283">
        <v>95.63</v>
      </c>
      <c r="I87" s="283">
        <v>95.63</v>
      </c>
      <c r="J87" s="283">
        <v>95.63</v>
      </c>
      <c r="K87" s="283">
        <v>95.63</v>
      </c>
    </row>
    <row r="88" spans="1:11">
      <c r="B88" s="283" t="s">
        <v>471</v>
      </c>
      <c r="C88" s="300">
        <f>C84/C86</f>
        <v>3.0974193548387099</v>
      </c>
      <c r="D88" s="300">
        <f t="shared" ref="D88:J88" si="65">D84/D86</f>
        <v>4.3829991467576788</v>
      </c>
      <c r="E88" s="300">
        <f t="shared" si="65"/>
        <v>7.5985548825842102</v>
      </c>
      <c r="F88" s="300">
        <f t="shared" si="65"/>
        <v>8.3426330710330383</v>
      </c>
      <c r="G88" s="300">
        <f t="shared" ca="1" si="65"/>
        <v>7.2316875711992497</v>
      </c>
      <c r="H88" s="300">
        <f t="shared" ca="1" si="65"/>
        <v>8.5236801592245115</v>
      </c>
      <c r="I88" s="300">
        <f t="shared" ca="1" si="65"/>
        <v>10.07807791076246</v>
      </c>
      <c r="J88" s="300">
        <f t="shared" ca="1" si="65"/>
        <v>11.927109079173025</v>
      </c>
      <c r="K88" s="300">
        <f t="shared" ref="K88" ca="1" si="66">K84/K86</f>
        <v>14.02328405608832</v>
      </c>
    </row>
    <row r="89" spans="1:11">
      <c r="B89" s="285" t="s">
        <v>472</v>
      </c>
      <c r="C89" s="301">
        <f>C84/C87</f>
        <v>3.0547189819724285</v>
      </c>
      <c r="D89" s="301">
        <f t="shared" ref="D89:J89" si="67">D84/D87</f>
        <v>4.3285232778597011</v>
      </c>
      <c r="E89" s="301">
        <f t="shared" si="67"/>
        <v>7.4989513422818792</v>
      </c>
      <c r="F89" s="301">
        <f t="shared" si="67"/>
        <v>8.2316218759803412</v>
      </c>
      <c r="G89" s="301">
        <f t="shared" ca="1" si="67"/>
        <v>7.1354591655279016</v>
      </c>
      <c r="H89" s="301">
        <f t="shared" ca="1" si="67"/>
        <v>8.4102598622192506</v>
      </c>
      <c r="I89" s="301">
        <f t="shared" ca="1" si="67"/>
        <v>9.9439740297476611</v>
      </c>
      <c r="J89" s="301">
        <f t="shared" ca="1" si="67"/>
        <v>11.768401076420252</v>
      </c>
      <c r="K89" s="301">
        <f t="shared" ref="K89" ca="1" si="68">K84/K87</f>
        <v>13.836683314047409</v>
      </c>
    </row>
    <row r="90" spans="1:11">
      <c r="A90" s="285"/>
    </row>
    <row r="91" spans="1:11">
      <c r="B91" s="295" t="s">
        <v>488</v>
      </c>
      <c r="C91" s="302">
        <f t="shared" ref="C91:K91" si="69">C85/C3</f>
        <v>2.9359439254155613E-3</v>
      </c>
      <c r="D91" s="302">
        <f t="shared" si="69"/>
        <v>2.3613710855744309E-3</v>
      </c>
      <c r="E91" s="302">
        <f t="shared" si="69"/>
        <v>4.0111583109018857E-3</v>
      </c>
      <c r="F91" s="302">
        <f t="shared" si="69"/>
        <v>1.9305074609682275E-2</v>
      </c>
      <c r="G91" s="302">
        <f t="shared" ca="1" si="69"/>
        <v>9.9871761578544833E-3</v>
      </c>
      <c r="H91" s="302">
        <f t="shared" ca="1" si="69"/>
        <v>1.0604943635287668E-2</v>
      </c>
      <c r="I91" s="302">
        <f t="shared" ca="1" si="69"/>
        <v>1.134583919749574E-2</v>
      </c>
      <c r="J91" s="302">
        <f t="shared" ca="1" si="69"/>
        <v>1.2073027249368384E-2</v>
      </c>
      <c r="K91" s="302">
        <f t="shared" ca="1" si="69"/>
        <v>9.8400361435288727E-3</v>
      </c>
    </row>
    <row r="93" spans="1:11">
      <c r="B93" s="295" t="s">
        <v>489</v>
      </c>
      <c r="C93" s="289">
        <f>'业务表-季度'!C93+'业务表-季度'!D93+'业务表-季度'!E93+'业务表-季度'!F93</f>
        <v>31.589999999999996</v>
      </c>
      <c r="D93" s="289">
        <f>'业务表-季度'!G93+'业务表-季度'!H93+'业务表-季度'!I93+'业务表-季度'!J93</f>
        <v>37.159999999999997</v>
      </c>
      <c r="E93" s="289">
        <f>'业务表-季度'!K93+'业务表-季度'!L93+'业务表-季度'!M93+'业务表-季度'!N93</f>
        <v>48.8</v>
      </c>
      <c r="F93" s="290">
        <f>资本开支假设!G19/100</f>
        <v>81.312849179845216</v>
      </c>
      <c r="G93" s="290">
        <f ca="1">资本开支假设!H19/100</f>
        <v>114.18890302032679</v>
      </c>
      <c r="H93" s="290">
        <f ca="1">资本开支假设!I19/100</f>
        <v>151.05424865744064</v>
      </c>
      <c r="I93" s="290">
        <f ca="1">资本开支假设!J19/100</f>
        <v>192.02845519474874</v>
      </c>
      <c r="J93" s="290">
        <f ca="1">资本开支假设!K19/100</f>
        <v>237.22800477797617</v>
      </c>
      <c r="K93" s="290">
        <f ca="1">资本开支假设!L19/100</f>
        <v>287.38272469396469</v>
      </c>
    </row>
    <row r="94" spans="1:11">
      <c r="B94" s="295" t="s">
        <v>475</v>
      </c>
      <c r="C94" s="289">
        <f>'业务表-季度'!C94+'业务表-季度'!D94+'业务表-季度'!E94+'业务表-季度'!F94</f>
        <v>34.760000000000005</v>
      </c>
      <c r="D94" s="289">
        <f>'业务表-季度'!G94+'业务表-季度'!H94+'业务表-季度'!I94+'业务表-季度'!J94</f>
        <v>89.300000000000011</v>
      </c>
      <c r="E94" s="289">
        <f>'业务表-季度'!K94+'业务表-季度'!L94+'业务表-季度'!M94+'业务表-季度'!N94</f>
        <v>186.22</v>
      </c>
      <c r="F94" s="290">
        <f>资本开支假设!G32/100</f>
        <v>239.96511169681736</v>
      </c>
      <c r="G94" s="290">
        <f ca="1">资本开支假设!H32/100</f>
        <v>255.32263220091838</v>
      </c>
      <c r="H94" s="290">
        <f ca="1">资本开支假设!I32/100</f>
        <v>316.90550175882913</v>
      </c>
      <c r="I94" s="290">
        <f ca="1">资本开支假设!J32/100</f>
        <v>374.58330176114754</v>
      </c>
      <c r="J94" s="290">
        <f ca="1">资本开支假设!K32/100</f>
        <v>433.36085411925467</v>
      </c>
      <c r="K94" s="290">
        <f ca="1">资本开支假设!L32/100</f>
        <v>496.34468090158816</v>
      </c>
    </row>
    <row r="95" spans="1:11">
      <c r="B95" s="295" t="s">
        <v>490</v>
      </c>
      <c r="C95" s="289">
        <f>'业务表-季度'!C95+'业务表-季度'!D95+'业务表-季度'!E95+'业务表-季度'!F95</f>
        <v>430.48999999999995</v>
      </c>
      <c r="D95" s="289">
        <f>'业务表-季度'!G95+'业务表-季度'!H95+'业务表-季度'!I95+'业务表-季度'!J95</f>
        <v>625.56781999999998</v>
      </c>
      <c r="E95" s="289">
        <f>'业务表-季度'!K95+'业务表-季度'!L95+'业务表-季度'!M95+'业务表-季度'!N95</f>
        <v>897.16692999999998</v>
      </c>
      <c r="F95" s="289">
        <f>F62-F42-F38+F93+F94</f>
        <v>1085.1689708766623</v>
      </c>
      <c r="G95" s="289">
        <f t="shared" ref="G95:K95" ca="1" si="70">G62-G42-G38+G93+G94</f>
        <v>1133.8642939994445</v>
      </c>
      <c r="H95" s="289">
        <f t="shared" ca="1" si="70"/>
        <v>1384.1383177595601</v>
      </c>
      <c r="I95" s="289">
        <f t="shared" ca="1" si="70"/>
        <v>1668.7895211771997</v>
      </c>
      <c r="J95" s="289">
        <f t="shared" ca="1" si="70"/>
        <v>1997.4224270915947</v>
      </c>
      <c r="K95" s="289">
        <f t="shared" ca="1" si="70"/>
        <v>2368.239642292966</v>
      </c>
    </row>
    <row r="96" spans="1:11">
      <c r="B96" s="295" t="s">
        <v>477</v>
      </c>
      <c r="C96" s="289">
        <f>'业务表-季度'!C96+'业务表-季度'!D96+'业务表-季度'!E96+'业务表-季度'!F96</f>
        <v>27.56</v>
      </c>
      <c r="D96" s="289">
        <f>'业务表-季度'!G96+'业务表-季度'!H96+'业务表-季度'!I96+'业务表-季度'!J96</f>
        <v>43.129999999999995</v>
      </c>
      <c r="E96" s="289">
        <f>'业务表-季度'!K96+'业务表-季度'!L96+'业务表-季度'!M96+'业务表-季度'!N96</f>
        <v>61.36999999999999</v>
      </c>
      <c r="F96" s="289">
        <f>F106</f>
        <v>79</v>
      </c>
      <c r="G96" s="289">
        <f t="shared" ref="G96:K96" ca="1" si="71">G106</f>
        <v>104.75827374940243</v>
      </c>
      <c r="H96" s="289">
        <f t="shared" ca="1" si="71"/>
        <v>127.70124181085123</v>
      </c>
      <c r="I96" s="289">
        <f t="shared" ca="1" si="71"/>
        <v>151.88365926371063</v>
      </c>
      <c r="J96" s="289">
        <f t="shared" ca="1" si="71"/>
        <v>178.97563221022037</v>
      </c>
      <c r="K96" s="289">
        <f t="shared" ca="1" si="71"/>
        <v>209.49861336253215</v>
      </c>
    </row>
    <row r="97" spans="2:11">
      <c r="B97" s="295" t="s">
        <v>491</v>
      </c>
      <c r="C97" s="289">
        <f>'业务表-季度'!C97+'业务表-季度'!D97+'业务表-季度'!E97+'业务表-季度'!F97</f>
        <v>458.04999999999995</v>
      </c>
      <c r="D97" s="289">
        <f>'业务表-季度'!G97+'业务表-季度'!H97+'业务表-季度'!I97+'业务表-季度'!J97</f>
        <v>668.69782000000009</v>
      </c>
      <c r="E97" s="289">
        <f>'业务表-季度'!K97+'业务表-季度'!L97+'业务表-季度'!M97+'业务表-季度'!N97</f>
        <v>958.53692999999998</v>
      </c>
      <c r="F97" s="289">
        <f>F95+F96</f>
        <v>1164.1689708766623</v>
      </c>
      <c r="G97" s="289">
        <f t="shared" ref="G97:J97" ca="1" si="72">G95+G96</f>
        <v>1238.6225677488469</v>
      </c>
      <c r="H97" s="289">
        <f t="shared" ca="1" si="72"/>
        <v>1511.8395595704114</v>
      </c>
      <c r="I97" s="289">
        <f t="shared" ca="1" si="72"/>
        <v>1820.6731804409103</v>
      </c>
      <c r="J97" s="289">
        <f t="shared" ca="1" si="72"/>
        <v>2176.398059301815</v>
      </c>
      <c r="K97" s="289">
        <f t="shared" ref="K97" ca="1" si="73">K95+K96</f>
        <v>2577.7382556554981</v>
      </c>
    </row>
    <row r="98" spans="2:11">
      <c r="D98" s="288">
        <f>D97/C97-1</f>
        <v>0.45987953280209615</v>
      </c>
      <c r="E98" s="288">
        <f t="shared" ref="E98:K98" si="74">E97/D97-1</f>
        <v>0.43343809614931872</v>
      </c>
      <c r="F98" s="288">
        <f t="shared" si="74"/>
        <v>0.21452698841416828</v>
      </c>
      <c r="G98" s="288">
        <f t="shared" ca="1" si="74"/>
        <v>6.3954287336930316E-2</v>
      </c>
      <c r="H98" s="288">
        <f t="shared" ca="1" si="74"/>
        <v>0.2205813126093179</v>
      </c>
      <c r="I98" s="288">
        <f t="shared" ca="1" si="74"/>
        <v>0.20427671634565092</v>
      </c>
      <c r="J98" s="288">
        <f t="shared" ca="1" si="74"/>
        <v>0.19538096275728045</v>
      </c>
      <c r="K98" s="288">
        <f t="shared" ca="1" si="74"/>
        <v>0.1844056948306747</v>
      </c>
    </row>
    <row r="99" spans="2:11">
      <c r="C99" s="288"/>
      <c r="D99" s="288"/>
      <c r="E99" s="288"/>
      <c r="F99" s="288"/>
      <c r="G99" s="288"/>
      <c r="H99" s="288"/>
      <c r="I99" s="288"/>
      <c r="J99" s="288"/>
      <c r="K99" s="306"/>
    </row>
    <row r="101" spans="2:11">
      <c r="B101" s="549" t="s">
        <v>479</v>
      </c>
      <c r="C101" s="549"/>
      <c r="D101" s="549"/>
      <c r="E101" s="549"/>
      <c r="F101" s="549"/>
      <c r="G101" s="549"/>
      <c r="H101" s="549"/>
      <c r="I101" s="549"/>
      <c r="J101" s="549"/>
      <c r="K101" s="549"/>
    </row>
    <row r="102" spans="2:11">
      <c r="B102" s="283" t="s">
        <v>992</v>
      </c>
      <c r="C102" s="283">
        <v>-42.75</v>
      </c>
      <c r="D102" s="283">
        <v>-76.239999999999995</v>
      </c>
      <c r="E102" s="283">
        <v>-178.16</v>
      </c>
    </row>
    <row r="103" spans="2:11">
      <c r="B103" s="283" t="s">
        <v>991</v>
      </c>
      <c r="C103" s="283">
        <v>23.73</v>
      </c>
      <c r="D103" s="283">
        <v>48.09</v>
      </c>
      <c r="E103" s="283">
        <v>27.94</v>
      </c>
    </row>
    <row r="104" spans="2:11">
      <c r="B104" s="295" t="s">
        <v>993</v>
      </c>
      <c r="C104" s="283">
        <f>C102+C103</f>
        <v>-19.02</v>
      </c>
      <c r="D104" s="283">
        <f t="shared" ref="D104:E104" si="75">D102+D103</f>
        <v>-28.149999999999991</v>
      </c>
      <c r="E104" s="283">
        <f t="shared" si="75"/>
        <v>-150.22</v>
      </c>
      <c r="F104" s="289">
        <f>'业务表-季度'!R104+'业务表-季度'!Q104+'业务表-季度'!P104+'业务表-季度'!O104</f>
        <v>-135.91000000000003</v>
      </c>
      <c r="G104" s="289">
        <f ca="1">G42*G105*-1</f>
        <v>-57.25820020906167</v>
      </c>
      <c r="H104" s="289">
        <f t="shared" ref="H104:K104" ca="1" si="76">H42*H105*-1</f>
        <v>-60.539847969588735</v>
      </c>
      <c r="I104" s="289">
        <f t="shared" ca="1" si="76"/>
        <v>-63.003591990872543</v>
      </c>
      <c r="J104" s="289">
        <f t="shared" ca="1" si="76"/>
        <v>-66.287271188970507</v>
      </c>
      <c r="K104" s="289">
        <f t="shared" ca="1" si="76"/>
        <v>-70.763976069121995</v>
      </c>
    </row>
    <row r="105" spans="2:11">
      <c r="B105" s="287" t="s">
        <v>994</v>
      </c>
      <c r="C105" s="288">
        <f>C104/C42*-1</f>
        <v>1.0084835630965006</v>
      </c>
      <c r="D105" s="288">
        <f t="shared" ref="D105:F105" si="77">D104/D42*-1</f>
        <v>0.78324986087924298</v>
      </c>
      <c r="E105" s="288">
        <f t="shared" si="77"/>
        <v>0.74587884806355509</v>
      </c>
      <c r="F105" s="288">
        <f t="shared" si="77"/>
        <v>0.81315065214790017</v>
      </c>
      <c r="G105" s="274">
        <v>0.8</v>
      </c>
      <c r="H105" s="274">
        <v>0.8</v>
      </c>
      <c r="I105" s="274">
        <v>0.8</v>
      </c>
      <c r="J105" s="274">
        <v>0.8</v>
      </c>
      <c r="K105" s="274">
        <v>0.8</v>
      </c>
    </row>
    <row r="106" spans="2:11">
      <c r="B106" s="283" t="s">
        <v>990</v>
      </c>
      <c r="C106" s="283">
        <f>27.56+0.85</f>
        <v>28.41</v>
      </c>
      <c r="D106" s="283">
        <v>44.55</v>
      </c>
      <c r="E106" s="283">
        <v>62.53</v>
      </c>
      <c r="F106" s="289">
        <f>'业务表-季度'!R106+'业务表-季度'!Q106+'业务表-季度'!P106+'业务表-季度'!O106</f>
        <v>79</v>
      </c>
      <c r="G106" s="289">
        <f ca="1">资产负债假设!J25/100</f>
        <v>104.75827374940243</v>
      </c>
      <c r="H106" s="289">
        <f ca="1">资产负债假设!K25/100</f>
        <v>127.70124181085123</v>
      </c>
      <c r="I106" s="289">
        <f ca="1">资产负债假设!L25/100</f>
        <v>151.88365926371063</v>
      </c>
      <c r="J106" s="289">
        <f ca="1">资产负债假设!M25/100</f>
        <v>178.97563221022037</v>
      </c>
      <c r="K106" s="289">
        <f ca="1">资产负债假设!N25/100</f>
        <v>209.49861336253215</v>
      </c>
    </row>
    <row r="107" spans="2:11">
      <c r="B107" s="283" t="s">
        <v>475</v>
      </c>
      <c r="C107" s="283">
        <v>1.98</v>
      </c>
      <c r="D107" s="283">
        <v>3.97</v>
      </c>
      <c r="E107" s="289">
        <v>4.9000000000000004</v>
      </c>
      <c r="F107" s="289">
        <f>'业务表-季度'!R107+'业务表-季度'!Q107+'业务表-季度'!P107+'业务表-季度'!O107</f>
        <v>5.24</v>
      </c>
      <c r="G107" s="289">
        <f>F107*1.2</f>
        <v>6.2880000000000003</v>
      </c>
      <c r="H107" s="289">
        <f t="shared" ref="H107:K107" si="78">G107*1.2</f>
        <v>7.5456000000000003</v>
      </c>
      <c r="I107" s="289">
        <f t="shared" si="78"/>
        <v>9.0547199999999997</v>
      </c>
      <c r="J107" s="289">
        <f t="shared" si="78"/>
        <v>10.865663999999999</v>
      </c>
      <c r="K107" s="289">
        <f t="shared" si="78"/>
        <v>13.038796799999998</v>
      </c>
    </row>
    <row r="108" spans="2:11" s="285" customFormat="1">
      <c r="B108" s="285" t="s">
        <v>456</v>
      </c>
      <c r="C108" s="299">
        <f>C62+C106+C102+C107+C103</f>
        <v>417.64000000000027</v>
      </c>
      <c r="D108" s="299">
        <f>D62+D106+D102+D107+D103</f>
        <v>581.60782000000006</v>
      </c>
      <c r="E108" s="299">
        <f>E62+E106+E102+E107+E103</f>
        <v>820.15693000000044</v>
      </c>
      <c r="F108" s="299">
        <f>F62+F104+F106+F107</f>
        <v>925.83580999999981</v>
      </c>
      <c r="G108" s="299">
        <f t="shared" ref="G108:J108" ca="1" si="79">G62+G104+G106+G107</f>
        <v>958.86928427217822</v>
      </c>
      <c r="H108" s="299">
        <f t="shared" ca="1" si="79"/>
        <v>1150.0251363699315</v>
      </c>
      <c r="I108" s="299">
        <f t="shared" ca="1" si="79"/>
        <v>1376.7341532573221</v>
      </c>
      <c r="J108" s="299">
        <f t="shared" ca="1" si="79"/>
        <v>1645.7919509170906</v>
      </c>
      <c r="K108" s="299">
        <f t="shared" ref="K108" ca="1" si="80">K62+K104+K106+K107</f>
        <v>1951.0054833859301</v>
      </c>
    </row>
    <row r="109" spans="2:11">
      <c r="B109" s="287" t="s">
        <v>315</v>
      </c>
      <c r="D109" s="288">
        <f>D108/C108-1</f>
        <v>0.3926056412221044</v>
      </c>
      <c r="E109" s="288">
        <f t="shared" ref="E109:K109" si="81">E108/D108-1</f>
        <v>0.41015457804539213</v>
      </c>
      <c r="F109" s="288">
        <f t="shared" si="81"/>
        <v>0.12885202347799374</v>
      </c>
      <c r="G109" s="288">
        <f t="shared" ca="1" si="81"/>
        <v>3.5679624740566407E-2</v>
      </c>
      <c r="H109" s="288">
        <f t="shared" ca="1" si="81"/>
        <v>0.19935548591782104</v>
      </c>
      <c r="I109" s="288">
        <f t="shared" ca="1" si="81"/>
        <v>0.19713396665659011</v>
      </c>
      <c r="J109" s="288">
        <f t="shared" ca="1" si="81"/>
        <v>0.19543191909867552</v>
      </c>
      <c r="K109" s="288">
        <f t="shared" ca="1" si="81"/>
        <v>0.18545085987251553</v>
      </c>
    </row>
    <row r="111" spans="2:11">
      <c r="B111" s="287" t="s">
        <v>457</v>
      </c>
      <c r="C111" s="288">
        <f>C108/C3</f>
        <v>0.40601576854651356</v>
      </c>
      <c r="D111" s="288">
        <f t="shared" ref="D111:J111" si="82">D108/D3</f>
        <v>0.38279286287827935</v>
      </c>
      <c r="E111" s="288">
        <f t="shared" si="82"/>
        <v>0.34495160245625855</v>
      </c>
      <c r="F111" s="288">
        <f t="shared" si="82"/>
        <v>0.2960836504697883</v>
      </c>
      <c r="G111" s="288">
        <f t="shared" ca="1" si="82"/>
        <v>0.24713533116515762</v>
      </c>
      <c r="H111" s="288">
        <f t="shared" ca="1" si="82"/>
        <v>0.24315095328501077</v>
      </c>
      <c r="I111" s="288">
        <f t="shared" ca="1" si="82"/>
        <v>0.24473878439686186</v>
      </c>
      <c r="J111" s="288">
        <f t="shared" ca="1" si="82"/>
        <v>0.24828174721890392</v>
      </c>
      <c r="K111" s="288">
        <f t="shared" ref="K111" ca="1" si="83">K108/K3</f>
        <v>0.2514438983911727</v>
      </c>
    </row>
    <row r="112" spans="2:11">
      <c r="B112" s="283" t="s">
        <v>990</v>
      </c>
      <c r="E112" s="289">
        <f>SUM('业务表-季度'!K112:N112)</f>
        <v>70.800000000000011</v>
      </c>
      <c r="F112" s="283">
        <f>SUM('业务表-季度'!O112:R112)</f>
        <v>106.53999999999999</v>
      </c>
      <c r="G112" s="289">
        <f>F112*1.18</f>
        <v>125.71719999999998</v>
      </c>
      <c r="H112" s="289">
        <f t="shared" ref="H112:K112" si="84">G112*1.18</f>
        <v>148.34629599999997</v>
      </c>
      <c r="I112" s="289">
        <f t="shared" si="84"/>
        <v>175.04862927999994</v>
      </c>
      <c r="J112" s="289">
        <f t="shared" si="84"/>
        <v>206.55738255039992</v>
      </c>
      <c r="K112" s="289">
        <f t="shared" si="84"/>
        <v>243.7377114094719</v>
      </c>
    </row>
    <row r="113" spans="2:11">
      <c r="B113" s="283" t="s">
        <v>475</v>
      </c>
      <c r="E113" s="289">
        <f>SUM('业务表-季度'!K113:N113)</f>
        <v>18.409999999999997</v>
      </c>
      <c r="F113" s="289">
        <f>SUM('业务表-季度'!O113:R113)</f>
        <v>41.42</v>
      </c>
      <c r="G113" s="289">
        <f>F113*1.2</f>
        <v>49.704000000000001</v>
      </c>
      <c r="H113" s="289">
        <f t="shared" ref="H113:K113" si="85">G113*1.2</f>
        <v>59.644799999999996</v>
      </c>
      <c r="I113" s="289">
        <f t="shared" si="85"/>
        <v>71.573759999999993</v>
      </c>
      <c r="J113" s="289">
        <f t="shared" si="85"/>
        <v>85.888511999999992</v>
      </c>
      <c r="K113" s="289">
        <f t="shared" si="85"/>
        <v>103.06621439999999</v>
      </c>
    </row>
    <row r="114" spans="2:11">
      <c r="B114" s="283" t="s">
        <v>1039</v>
      </c>
      <c r="C114" s="303">
        <f>'业务表-季度'!C114+'业务表-季度'!D114+'业务表-季度'!E114+'业务表-季度'!F114</f>
        <v>328.52000000000004</v>
      </c>
      <c r="D114" s="303">
        <f>'业务表-季度'!G114+'业务表-季度'!H114+'业务表-季度'!I114+'业务表-季度'!J114</f>
        <v>459.91</v>
      </c>
      <c r="E114" s="303">
        <f>'业务表-季度'!K114+'业务表-季度'!L114+'业务表-季度'!M114+'业务表-季度'!N114</f>
        <v>664.04000000000008</v>
      </c>
      <c r="F114" s="303">
        <f>'业务表-季度'!O114+'业务表-季度'!P114+'业务表-季度'!Q114+'业务表-季度'!R114</f>
        <v>802.92</v>
      </c>
      <c r="G114" s="303">
        <f ca="1">G80+G104+G112+G113</f>
        <v>839.27656475066863</v>
      </c>
      <c r="H114" s="303">
        <f t="shared" ref="H114:J114" ca="1" si="86">H80+H104+H112+H113</f>
        <v>1001.8823420455609</v>
      </c>
      <c r="I114" s="303">
        <f t="shared" ca="1" si="86"/>
        <v>1198.3850180032775</v>
      </c>
      <c r="J114" s="303">
        <f t="shared" ca="1" si="86"/>
        <v>1431.5996214345696</v>
      </c>
      <c r="K114" s="303">
        <f t="shared" ref="K114" ca="1" si="87">K80+K104+K112+K113</f>
        <v>1675.5928612666478</v>
      </c>
    </row>
    <row r="115" spans="2:11">
      <c r="B115" s="287" t="s">
        <v>315</v>
      </c>
      <c r="D115" s="288">
        <f>D114/C114-1</f>
        <v>0.39994520881529283</v>
      </c>
      <c r="E115" s="288">
        <f t="shared" ref="E115" si="88">E114/D114-1</f>
        <v>0.44384770933443507</v>
      </c>
      <c r="F115" s="288">
        <f t="shared" ref="F115" si="89">F114/E114-1</f>
        <v>0.20914402746822458</v>
      </c>
      <c r="G115" s="288">
        <f t="shared" ref="G115" ca="1" si="90">G114/F114-1</f>
        <v>4.5280432360220946E-2</v>
      </c>
      <c r="H115" s="288">
        <f t="shared" ref="H115" ca="1" si="91">H114/G114-1</f>
        <v>0.19374516592536928</v>
      </c>
      <c r="I115" s="288">
        <f t="shared" ref="I115" ca="1" si="92">I114/H114-1</f>
        <v>0.1961334856511332</v>
      </c>
      <c r="J115" s="288">
        <f t="shared" ref="J115:K115" ca="1" si="93">J114/I114-1</f>
        <v>0.19460740907781804</v>
      </c>
      <c r="K115" s="288">
        <f t="shared" ca="1" si="93"/>
        <v>0.17043399298162631</v>
      </c>
    </row>
    <row r="116" spans="2:11">
      <c r="B116" s="287" t="s">
        <v>347</v>
      </c>
    </row>
    <row r="117" spans="2:11">
      <c r="B117" s="292" t="s">
        <v>481</v>
      </c>
      <c r="C117" s="288">
        <f>C114/C3</f>
        <v>0.31937625774087863</v>
      </c>
      <c r="D117" s="288">
        <f t="shared" ref="D117:J117" si="94">D114/D3</f>
        <v>0.30269583645960857</v>
      </c>
      <c r="E117" s="288">
        <f t="shared" si="94"/>
        <v>0.27929004037685057</v>
      </c>
      <c r="F117" s="288">
        <f t="shared" si="94"/>
        <v>0.25677499408367283</v>
      </c>
      <c r="G117" s="288">
        <f t="shared" ca="1" si="94"/>
        <v>0.21631195739703862</v>
      </c>
      <c r="H117" s="288">
        <f t="shared" ca="1" si="94"/>
        <v>0.21182897559678657</v>
      </c>
      <c r="I117" s="288">
        <f t="shared" ca="1" si="94"/>
        <v>0.21303407912966563</v>
      </c>
      <c r="J117" s="288">
        <f t="shared" ca="1" si="94"/>
        <v>0.21596900819063625</v>
      </c>
      <c r="K117" s="288">
        <f t="shared" ref="K117" ca="1" si="95">K114/K3</f>
        <v>0.21594895798145949</v>
      </c>
    </row>
    <row r="118" spans="2:11" s="285" customFormat="1">
      <c r="B118" s="529" t="s">
        <v>1038</v>
      </c>
      <c r="C118" s="305">
        <f>'业务表-季度'!C118+'业务表-季度'!D118+'业务表-季度'!E118+'业务表-季度'!F118</f>
        <v>324.10000000000002</v>
      </c>
      <c r="D118" s="305">
        <f>'业务表-季度'!G118+'业务表-季度'!H118+'业务表-季度'!I118+'业务表-季度'!J118</f>
        <v>454.2</v>
      </c>
      <c r="E118" s="305">
        <f>'业务表-季度'!K118+'业务表-季度'!L118+'业务表-季度'!M118+'业务表-季度'!N118</f>
        <v>651.26</v>
      </c>
      <c r="F118" s="305">
        <f>'业务表-季度'!O118+'业务表-季度'!P118+'业务表-季度'!Q118+'业务表-季度'!R118</f>
        <v>774.69</v>
      </c>
      <c r="G118" s="305">
        <f ca="1">G114*0.97</f>
        <v>814.09826780814853</v>
      </c>
      <c r="H118" s="305">
        <f t="shared" ref="H118:K118" ca="1" si="96">H114*0.97</f>
        <v>971.82587178419408</v>
      </c>
      <c r="I118" s="305">
        <f t="shared" ca="1" si="96"/>
        <v>1162.4334674631791</v>
      </c>
      <c r="J118" s="305">
        <f t="shared" ca="1" si="96"/>
        <v>1388.6516327915324</v>
      </c>
      <c r="K118" s="305">
        <f t="shared" ca="1" si="96"/>
        <v>1625.3250754286482</v>
      </c>
    </row>
    <row r="119" spans="2:11">
      <c r="B119" s="287" t="s">
        <v>315</v>
      </c>
      <c r="D119" s="288">
        <f>D118/C118-1</f>
        <v>0.40141931502622641</v>
      </c>
      <c r="E119" s="288">
        <f t="shared" ref="E119" si="97">E118/D118-1</f>
        <v>0.43386173491853808</v>
      </c>
      <c r="F119" s="288">
        <f t="shared" ref="F119" si="98">F118/E118-1</f>
        <v>0.1895249209225196</v>
      </c>
      <c r="G119" s="288">
        <f t="shared" ref="G119" ca="1" si="99">G118/F118-1</f>
        <v>5.086972570724857E-2</v>
      </c>
      <c r="H119" s="288">
        <f t="shared" ref="H119" ca="1" si="100">H118/G118-1</f>
        <v>0.1937451659253695</v>
      </c>
      <c r="I119" s="288">
        <f t="shared" ref="I119" ca="1" si="101">I118/H118-1</f>
        <v>0.19613348565113298</v>
      </c>
      <c r="J119" s="288">
        <f t="shared" ref="J119:K119" ca="1" si="102">J118/I118-1</f>
        <v>0.19460740907781804</v>
      </c>
      <c r="K119" s="288">
        <f t="shared" ca="1" si="102"/>
        <v>0.17043399298162631</v>
      </c>
    </row>
    <row r="120" spans="2:11">
      <c r="B120" s="287" t="s">
        <v>347</v>
      </c>
    </row>
    <row r="121" spans="2:11">
      <c r="B121" s="292" t="s">
        <v>481</v>
      </c>
      <c r="C121" s="288">
        <f>C118/C3</f>
        <v>0.31507928020765485</v>
      </c>
      <c r="D121" s="288">
        <f t="shared" ref="D121:J121" si="103">D118/D3</f>
        <v>0.2989377245981914</v>
      </c>
      <c r="E121" s="288">
        <f t="shared" si="103"/>
        <v>0.27391487213997301</v>
      </c>
      <c r="F121" s="288">
        <f t="shared" si="103"/>
        <v>0.24774699866322988</v>
      </c>
      <c r="G121" s="288">
        <f t="shared" ca="1" si="103"/>
        <v>0.20982259867512745</v>
      </c>
      <c r="H121" s="288">
        <f t="shared" ca="1" si="103"/>
        <v>0.20547410632888297</v>
      </c>
      <c r="I121" s="288">
        <f t="shared" ca="1" si="103"/>
        <v>0.20664305675577563</v>
      </c>
      <c r="J121" s="288">
        <f t="shared" ca="1" si="103"/>
        <v>0.20948993794491713</v>
      </c>
      <c r="K121" s="288">
        <f t="shared" ref="K121" ca="1" si="104">K118/K3</f>
        <v>0.20947048924201569</v>
      </c>
    </row>
    <row r="123" spans="2:11">
      <c r="B123" s="283" t="s">
        <v>1091</v>
      </c>
      <c r="C123" s="300">
        <f>C118/C87</f>
        <v>3.4369034994697776</v>
      </c>
      <c r="D123" s="300">
        <f t="shared" ref="D123:K123" si="105">D118/D87</f>
        <v>4.7840741520960606</v>
      </c>
      <c r="E123" s="300">
        <f t="shared" si="105"/>
        <v>6.8294882550335574</v>
      </c>
      <c r="F123" s="300">
        <f t="shared" si="105"/>
        <v>8.1009097563526105</v>
      </c>
      <c r="G123" s="300">
        <f t="shared" ca="1" si="105"/>
        <v>8.5130008136374418</v>
      </c>
      <c r="H123" s="300">
        <f t="shared" ca="1" si="105"/>
        <v>10.162353568798432</v>
      </c>
      <c r="I123" s="300">
        <f t="shared" ca="1" si="105"/>
        <v>12.155531396666101</v>
      </c>
      <c r="J123" s="300">
        <f t="shared" ca="1" si="105"/>
        <v>14.521087867735361</v>
      </c>
      <c r="K123" s="300">
        <f t="shared" ca="1" si="105"/>
        <v>16.995974855470546</v>
      </c>
    </row>
  </sheetData>
  <phoneticPr fontId="7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AA155"/>
  <sheetViews>
    <sheetView zoomScale="85" zoomScaleNormal="85" workbookViewId="0">
      <pane xSplit="1" ySplit="2" topLeftCell="M3" activePane="bottomRight" state="frozen"/>
      <selection activeCell="E103" activeCellId="1" sqref="N81 E103"/>
      <selection pane="topRight" activeCell="E103" activeCellId="1" sqref="N81 E103"/>
      <selection pane="bottomLeft" activeCell="E103" activeCellId="1" sqref="N81 E103"/>
      <selection pane="bottomRight" activeCell="W55" sqref="W55"/>
    </sheetView>
  </sheetViews>
  <sheetFormatPr defaultColWidth="11.75" defaultRowHeight="16.5"/>
  <cols>
    <col min="1" max="1" width="33.75" style="307" customWidth="1"/>
    <col min="2" max="7" width="12.125" style="307" customWidth="1"/>
    <col min="8" max="19" width="11.75" style="307"/>
    <col min="20" max="20" width="11.75" style="307" customWidth="1"/>
    <col min="21" max="16384" width="11.75" style="307"/>
  </cols>
  <sheetData>
    <row r="1" spans="1:24">
      <c r="A1" s="307" t="s">
        <v>492</v>
      </c>
      <c r="V1" s="308"/>
      <c r="W1" s="308"/>
      <c r="X1" s="308"/>
    </row>
    <row r="2" spans="1:24">
      <c r="A2" s="309"/>
      <c r="B2" s="309" t="s">
        <v>493</v>
      </c>
      <c r="C2" s="309"/>
      <c r="D2" s="309" t="s">
        <v>494</v>
      </c>
      <c r="E2" s="309" t="s">
        <v>495</v>
      </c>
      <c r="F2" s="309" t="s">
        <v>496</v>
      </c>
      <c r="G2" s="309" t="s">
        <v>497</v>
      </c>
      <c r="H2" s="309" t="s">
        <v>498</v>
      </c>
      <c r="I2" s="309" t="s">
        <v>499</v>
      </c>
      <c r="J2" s="309" t="s">
        <v>500</v>
      </c>
      <c r="K2" s="309" t="s">
        <v>501</v>
      </c>
      <c r="L2" s="309" t="s">
        <v>502</v>
      </c>
      <c r="M2" s="309" t="s">
        <v>503</v>
      </c>
      <c r="N2" s="309" t="s">
        <v>504</v>
      </c>
      <c r="O2" s="309" t="s">
        <v>505</v>
      </c>
      <c r="P2" s="309" t="s">
        <v>506</v>
      </c>
      <c r="Q2" s="309" t="s">
        <v>507</v>
      </c>
      <c r="R2" s="309" t="s">
        <v>508</v>
      </c>
      <c r="S2" s="309" t="s">
        <v>509</v>
      </c>
      <c r="T2" s="309" t="s">
        <v>510</v>
      </c>
      <c r="U2" s="309" t="s">
        <v>511</v>
      </c>
      <c r="V2" s="309" t="s">
        <v>512</v>
      </c>
      <c r="W2" s="309" t="s">
        <v>1055</v>
      </c>
    </row>
    <row r="3" spans="1:24">
      <c r="A3" s="310" t="s">
        <v>513</v>
      </c>
      <c r="B3" s="311">
        <f t="shared" ref="B3" si="0">B29+B30+B17+B15+B12+B11+B10+B14+B13+B16+B28</f>
        <v>73.875510000000006</v>
      </c>
      <c r="C3" s="311"/>
      <c r="D3" s="311">
        <f t="shared" ref="D3:R3" si="1">D29+D30+D17+D15+D12+D11+D10+D14+D13+D16+D28</f>
        <v>287.52</v>
      </c>
      <c r="E3" s="311">
        <f t="shared" si="1"/>
        <v>298.11</v>
      </c>
      <c r="F3" s="311">
        <f t="shared" si="1"/>
        <v>300.45999999999998</v>
      </c>
      <c r="G3" s="311">
        <f t="shared" si="1"/>
        <v>362.38000000000005</v>
      </c>
      <c r="H3" s="311">
        <f t="shared" si="1"/>
        <v>396.86</v>
      </c>
      <c r="I3" s="311">
        <f t="shared" si="1"/>
        <v>434.22999999999996</v>
      </c>
      <c r="J3" s="311">
        <f t="shared" si="1"/>
        <v>525.04999999999995</v>
      </c>
      <c r="K3" s="311">
        <f t="shared" si="1"/>
        <v>551.62000000000012</v>
      </c>
      <c r="L3" s="311">
        <f t="shared" si="1"/>
        <v>611.05999999999995</v>
      </c>
      <c r="M3" s="311">
        <f t="shared" si="1"/>
        <v>672.23</v>
      </c>
      <c r="N3" s="311">
        <f t="shared" si="1"/>
        <v>1172.98</v>
      </c>
      <c r="O3" s="311">
        <f t="shared" si="1"/>
        <v>999.98</v>
      </c>
      <c r="P3" s="311">
        <f t="shared" si="1"/>
        <v>1076.3600000000001</v>
      </c>
      <c r="Q3" s="311">
        <f t="shared" si="1"/>
        <v>1152.17</v>
      </c>
      <c r="R3" s="311">
        <f t="shared" si="1"/>
        <v>1248.97</v>
      </c>
      <c r="S3" s="311">
        <f>S29+S30+S17+S15+S12+S11+S10+S14+S13+S16+S28</f>
        <v>1278.5700000000002</v>
      </c>
      <c r="T3" s="311">
        <f t="shared" ref="T3:V3" si="2">T29+T30+T17+T15+T12+T11+T10+T14+T13+T16+T28</f>
        <v>1447.09</v>
      </c>
      <c r="U3" s="311">
        <f t="shared" si="2"/>
        <v>1597.21</v>
      </c>
      <c r="V3" s="311">
        <f t="shared" si="2"/>
        <v>1774.38</v>
      </c>
      <c r="W3" s="311">
        <f t="shared" ref="W3" si="3">W29+W30+W17+W15+W12+W11+W10+W14+W13+W16+W28</f>
        <v>1889.81</v>
      </c>
    </row>
    <row r="4" spans="1:24">
      <c r="A4" s="312" t="s">
        <v>514</v>
      </c>
      <c r="B4" s="311">
        <f t="shared" ref="B4" si="4">B18++B20+B34+B19+B25+B22+B35+B24+B21+B26</f>
        <v>52.720529999999997</v>
      </c>
      <c r="C4" s="311"/>
      <c r="D4" s="311">
        <f t="shared" ref="D4:L4" si="5">D18++D20+D34+D19+D25+D22+D35+D24+D21+D26</f>
        <v>392.25</v>
      </c>
      <c r="E4" s="311">
        <f t="shared" si="5"/>
        <v>568.02</v>
      </c>
      <c r="F4" s="311">
        <f t="shared" si="5"/>
        <v>635.70000000000005</v>
      </c>
      <c r="G4" s="311">
        <f t="shared" si="5"/>
        <v>674.12</v>
      </c>
      <c r="H4" s="311">
        <f t="shared" si="5"/>
        <v>751.71</v>
      </c>
      <c r="I4" s="311">
        <f t="shared" si="5"/>
        <v>851.57999999999993</v>
      </c>
      <c r="J4" s="311">
        <f t="shared" si="5"/>
        <v>951.9799999999999</v>
      </c>
      <c r="K4" s="311">
        <f t="shared" si="5"/>
        <v>1124.82</v>
      </c>
      <c r="L4" s="311">
        <f t="shared" si="5"/>
        <v>1127.1600000000001</v>
      </c>
      <c r="M4" s="311">
        <f>M18++M20+M34+M19+M25+M22+M35+M24+M21+M26</f>
        <v>1292.32</v>
      </c>
      <c r="N4" s="311">
        <f t="shared" ref="N4:V4" si="6">N18++N20+N34+N19+N25+N22+N35+N24+N21+N26</f>
        <v>1343.19</v>
      </c>
      <c r="O4" s="311">
        <f t="shared" si="6"/>
        <v>1675.1399999999996</v>
      </c>
      <c r="P4" s="311">
        <f t="shared" si="6"/>
        <v>1864.3300000000002</v>
      </c>
      <c r="Q4" s="311">
        <f t="shared" si="6"/>
        <v>2118.2999999999997</v>
      </c>
      <c r="R4" s="311">
        <f t="shared" si="6"/>
        <v>2372.36</v>
      </c>
      <c r="S4" s="311">
        <f>S18++S34+S19+S25+S22+S35+S24+S26</f>
        <v>2774.23</v>
      </c>
      <c r="T4" s="311">
        <f t="shared" si="6"/>
        <v>3304.1499999999996</v>
      </c>
      <c r="U4" s="311">
        <f t="shared" si="6"/>
        <v>3567.75</v>
      </c>
      <c r="V4" s="311">
        <f t="shared" si="6"/>
        <v>3729.83</v>
      </c>
      <c r="W4" s="311">
        <f t="shared" ref="W4" si="7">W18++W20+W34+W19+W25+W22+W35+W24+W21+W26</f>
        <v>3712.18</v>
      </c>
    </row>
    <row r="5" spans="1:24">
      <c r="A5" s="313" t="s">
        <v>515</v>
      </c>
      <c r="B5" s="311">
        <f t="shared" ref="B5" si="8">B33+B31+B32+B23</f>
        <v>231.70456999999999</v>
      </c>
      <c r="C5" s="311"/>
      <c r="D5" s="311">
        <f t="shared" ref="D5:R5" si="9">D33+D31+D32+D23</f>
        <v>589.38</v>
      </c>
      <c r="E5" s="311">
        <f t="shared" si="9"/>
        <v>640.20000000000005</v>
      </c>
      <c r="F5" s="311">
        <f t="shared" si="9"/>
        <v>622.76</v>
      </c>
      <c r="G5" s="311">
        <f t="shared" si="9"/>
        <v>675.16000000000008</v>
      </c>
      <c r="H5" s="311">
        <f t="shared" si="9"/>
        <v>876.83</v>
      </c>
      <c r="I5" s="311">
        <f t="shared" si="9"/>
        <v>894.81</v>
      </c>
      <c r="J5" s="311">
        <f t="shared" si="9"/>
        <v>1141.74</v>
      </c>
      <c r="K5" s="311">
        <f t="shared" si="9"/>
        <v>1391.74</v>
      </c>
      <c r="L5" s="311">
        <f t="shared" si="9"/>
        <v>1851.75</v>
      </c>
      <c r="M5" s="311">
        <f t="shared" si="9"/>
        <v>2345.04</v>
      </c>
      <c r="N5" s="311">
        <f t="shared" si="9"/>
        <v>1011.4499999999999</v>
      </c>
      <c r="O5" s="311">
        <f t="shared" si="9"/>
        <v>1283.8700000000001</v>
      </c>
      <c r="P5" s="311">
        <f t="shared" si="9"/>
        <v>1416.69</v>
      </c>
      <c r="Q5" s="311">
        <f t="shared" si="9"/>
        <v>1384.66</v>
      </c>
      <c r="R5" s="311">
        <f t="shared" si="9"/>
        <v>1514.8500000000001</v>
      </c>
      <c r="S5" s="311">
        <f>S33+S31+S32+S23</f>
        <v>1493.92</v>
      </c>
      <c r="T5" s="311">
        <f t="shared" ref="T5:V5" si="10">T33+T31+T32+T23</f>
        <v>1390.58</v>
      </c>
      <c r="U5" s="311">
        <f t="shared" si="10"/>
        <v>1303.1199999999999</v>
      </c>
      <c r="V5" s="311">
        <f t="shared" si="10"/>
        <v>1405.0500000000002</v>
      </c>
      <c r="W5" s="311">
        <f t="shared" ref="W5" si="11">W33+W31+W32+W23</f>
        <v>1633.2199999999998</v>
      </c>
    </row>
    <row r="6" spans="1:24" ht="15.75" customHeight="1">
      <c r="A6" s="307" t="s">
        <v>516</v>
      </c>
      <c r="B6" s="314">
        <f>B3/B37</f>
        <v>0.20618304278075331</v>
      </c>
      <c r="C6" s="314"/>
      <c r="D6" s="314">
        <f t="shared" ref="D6:G6" si="12">D3/D37</f>
        <v>0.22654532561162979</v>
      </c>
      <c r="E6" s="314">
        <f t="shared" si="12"/>
        <v>0.1979048415685806</v>
      </c>
      <c r="F6" s="314">
        <f t="shared" si="12"/>
        <v>0.19273599671567493</v>
      </c>
      <c r="G6" s="314">
        <f t="shared" si="12"/>
        <v>0.21171260647558515</v>
      </c>
      <c r="H6" s="314">
        <f>H3/H37</f>
        <v>0.19594154241137554</v>
      </c>
      <c r="I6" s="314">
        <f t="shared" ref="I6:V6" si="13">I3/I37</f>
        <v>0.19913143968229219</v>
      </c>
      <c r="J6" s="314">
        <f t="shared" si="13"/>
        <v>0.20049488882185146</v>
      </c>
      <c r="K6" s="314">
        <f t="shared" si="13"/>
        <v>0.17978736579992052</v>
      </c>
      <c r="L6" s="314">
        <f t="shared" si="13"/>
        <v>0.17021312155811885</v>
      </c>
      <c r="M6" s="314">
        <f t="shared" si="13"/>
        <v>0.15598467603646751</v>
      </c>
      <c r="N6" s="314">
        <f t="shared" si="13"/>
        <v>0.33251313917031883</v>
      </c>
      <c r="O6" s="314">
        <f t="shared" si="13"/>
        <v>0.25258462385608454</v>
      </c>
      <c r="P6" s="314">
        <f t="shared" si="13"/>
        <v>0.24701999825583265</v>
      </c>
      <c r="Q6" s="314">
        <f t="shared" si="13"/>
        <v>0.24750544023475177</v>
      </c>
      <c r="R6" s="314">
        <f t="shared" si="13"/>
        <v>0.24317099478600826</v>
      </c>
      <c r="S6" s="314">
        <f t="shared" si="13"/>
        <v>0.23050920183459778</v>
      </c>
      <c r="T6" s="314">
        <f t="shared" si="13"/>
        <v>0.23561257086661608</v>
      </c>
      <c r="U6" s="314">
        <f t="shared" si="13"/>
        <v>0.24693726731889526</v>
      </c>
      <c r="V6" s="314">
        <f t="shared" si="13"/>
        <v>0.25681187276206141</v>
      </c>
      <c r="W6" s="314">
        <f t="shared" ref="W6" si="14">W3/W37</f>
        <v>0.26119628870481992</v>
      </c>
      <c r="X6" s="315"/>
    </row>
    <row r="7" spans="1:24" ht="15.75" customHeight="1">
      <c r="A7" s="307" t="s">
        <v>517</v>
      </c>
      <c r="B7" s="314">
        <f>B4/B37</f>
        <v>0.1471404974722203</v>
      </c>
      <c r="C7" s="314"/>
      <c r="D7" s="314">
        <f t="shared" ref="D7:G7" si="15">D4/D37</f>
        <v>0.30906512232596617</v>
      </c>
      <c r="E7" s="314">
        <f t="shared" si="15"/>
        <v>0.37708868574615123</v>
      </c>
      <c r="F7" s="314">
        <f t="shared" si="15"/>
        <v>0.40778231083057503</v>
      </c>
      <c r="G7" s="314">
        <f t="shared" si="15"/>
        <v>0.3938398981106061</v>
      </c>
      <c r="H7" s="314">
        <f>H4/H37</f>
        <v>0.37114150291300485</v>
      </c>
      <c r="I7" s="314">
        <f t="shared" ref="I7:V7" si="16">I4/I37</f>
        <v>0.3905219616439361</v>
      </c>
      <c r="J7" s="314">
        <f t="shared" si="16"/>
        <v>0.36352180603871281</v>
      </c>
      <c r="K7" s="314">
        <f t="shared" si="16"/>
        <v>0.36660821724931392</v>
      </c>
      <c r="L7" s="314">
        <f t="shared" si="16"/>
        <v>0.31397476859138101</v>
      </c>
      <c r="M7" s="314">
        <f t="shared" si="16"/>
        <v>0.29987075336632951</v>
      </c>
      <c r="N7" s="314">
        <f t="shared" si="16"/>
        <v>0.38076380108968655</v>
      </c>
      <c r="O7" s="314">
        <f t="shared" si="16"/>
        <v>0.42312306926766668</v>
      </c>
      <c r="P7" s="314">
        <f t="shared" si="16"/>
        <v>0.42785572981929509</v>
      </c>
      <c r="Q7" s="314">
        <f t="shared" si="16"/>
        <v>0.45504636820024352</v>
      </c>
      <c r="R7" s="314">
        <f t="shared" si="16"/>
        <v>0.46189191188782325</v>
      </c>
      <c r="S7" s="314">
        <f t="shared" si="16"/>
        <v>0.50015684945337058</v>
      </c>
      <c r="T7" s="314">
        <f t="shared" si="16"/>
        <v>0.537975714039161</v>
      </c>
      <c r="U7" s="314">
        <f t="shared" si="16"/>
        <v>0.55159336310002349</v>
      </c>
      <c r="V7" s="314">
        <f t="shared" si="16"/>
        <v>0.53983060414574069</v>
      </c>
      <c r="W7" s="314">
        <f t="shared" ref="W7" si="17">W4/W37</f>
        <v>0.51307149343280989</v>
      </c>
      <c r="X7" s="315"/>
    </row>
    <row r="8" spans="1:24">
      <c r="A8" s="307" t="s">
        <v>518</v>
      </c>
      <c r="B8" s="314">
        <f>B5/B37</f>
        <v>0.64667645974702637</v>
      </c>
      <c r="C8" s="314"/>
      <c r="D8" s="314">
        <f t="shared" ref="D8:G8" si="18">D5/D37</f>
        <v>0.46438955206240395</v>
      </c>
      <c r="E8" s="314">
        <f t="shared" si="18"/>
        <v>0.4250064726852682</v>
      </c>
      <c r="F8" s="314">
        <f t="shared" si="18"/>
        <v>0.39948169245374998</v>
      </c>
      <c r="G8" s="314">
        <f t="shared" si="18"/>
        <v>0.39444749541380891</v>
      </c>
      <c r="H8" s="314">
        <f>H5/H37</f>
        <v>0.43291695467561964</v>
      </c>
      <c r="I8" s="314">
        <f t="shared" ref="I8:V8" si="19">I5/I37</f>
        <v>0.41034659867377166</v>
      </c>
      <c r="J8" s="314">
        <f t="shared" si="19"/>
        <v>0.43598330513943567</v>
      </c>
      <c r="K8" s="314">
        <f t="shared" si="19"/>
        <v>0.45360441695076564</v>
      </c>
      <c r="L8" s="314">
        <f t="shared" si="19"/>
        <v>0.51581210985050019</v>
      </c>
      <c r="M8" s="314">
        <f t="shared" si="19"/>
        <v>0.544144570597203</v>
      </c>
      <c r="N8" s="314">
        <f t="shared" si="19"/>
        <v>0.28672305973999468</v>
      </c>
      <c r="O8" s="314">
        <f t="shared" si="19"/>
        <v>0.32429230687624877</v>
      </c>
      <c r="P8" s="314">
        <f t="shared" si="19"/>
        <v>0.32512427192487231</v>
      </c>
      <c r="Q8" s="314">
        <f t="shared" si="19"/>
        <v>0.29744819156500463</v>
      </c>
      <c r="R8" s="314">
        <f t="shared" si="19"/>
        <v>0.29493709332616846</v>
      </c>
      <c r="S8" s="314">
        <f t="shared" si="19"/>
        <v>0.26933394871203159</v>
      </c>
      <c r="T8" s="314">
        <f t="shared" si="19"/>
        <v>0.22641171509422289</v>
      </c>
      <c r="U8" s="314">
        <f t="shared" si="19"/>
        <v>0.20146936958108122</v>
      </c>
      <c r="V8" s="314">
        <f t="shared" si="19"/>
        <v>0.20335752309219807</v>
      </c>
      <c r="W8" s="314">
        <f t="shared" ref="W8" si="20">W5/W37</f>
        <v>0.22573221786237027</v>
      </c>
    </row>
    <row r="9" spans="1:24">
      <c r="S9" s="308"/>
    </row>
    <row r="10" spans="1:24">
      <c r="A10" s="310" t="s">
        <v>519</v>
      </c>
      <c r="B10" s="316">
        <v>32.928280000000001</v>
      </c>
      <c r="C10" s="316">
        <v>86.93</v>
      </c>
      <c r="D10" s="316">
        <v>86.28</v>
      </c>
      <c r="E10" s="316">
        <v>83.36</v>
      </c>
      <c r="F10" s="316">
        <v>82.31</v>
      </c>
      <c r="G10" s="316">
        <v>79.180000000000007</v>
      </c>
      <c r="H10" s="317">
        <v>77.739999999999995</v>
      </c>
      <c r="I10" s="317">
        <v>85.28</v>
      </c>
      <c r="J10" s="317">
        <v>88.79</v>
      </c>
      <c r="K10" s="317">
        <v>99.73</v>
      </c>
      <c r="L10" s="317">
        <v>103.01</v>
      </c>
      <c r="M10" s="317">
        <v>114.69</v>
      </c>
      <c r="N10" s="317">
        <v>125.19</v>
      </c>
      <c r="O10" s="317">
        <v>0</v>
      </c>
      <c r="P10" s="317">
        <v>0</v>
      </c>
      <c r="Q10" s="317">
        <v>0</v>
      </c>
      <c r="R10" s="317">
        <v>0</v>
      </c>
      <c r="S10" s="317">
        <v>0</v>
      </c>
      <c r="T10" s="317">
        <v>0</v>
      </c>
      <c r="U10" s="317">
        <v>0</v>
      </c>
      <c r="V10" s="317">
        <v>0</v>
      </c>
      <c r="W10" s="317">
        <v>0</v>
      </c>
    </row>
    <row r="11" spans="1:24">
      <c r="A11" s="310" t="s">
        <v>520</v>
      </c>
      <c r="B11" s="316">
        <v>0</v>
      </c>
      <c r="C11" s="316">
        <v>0</v>
      </c>
      <c r="D11" s="316">
        <v>0</v>
      </c>
      <c r="E11" s="316">
        <v>0</v>
      </c>
      <c r="F11" s="316">
        <v>0</v>
      </c>
      <c r="G11" s="316">
        <v>0</v>
      </c>
      <c r="H11" s="317">
        <v>0</v>
      </c>
      <c r="I11" s="317">
        <v>0</v>
      </c>
      <c r="J11" s="317">
        <v>0</v>
      </c>
      <c r="K11" s="317">
        <v>0</v>
      </c>
      <c r="L11" s="317">
        <v>0</v>
      </c>
      <c r="M11" s="317">
        <v>0</v>
      </c>
      <c r="N11" s="317">
        <v>0</v>
      </c>
      <c r="O11" s="317">
        <v>139</v>
      </c>
      <c r="P11" s="317">
        <v>147.08000000000001</v>
      </c>
      <c r="Q11" s="317">
        <v>158.74</v>
      </c>
      <c r="R11" s="317">
        <v>171.59</v>
      </c>
      <c r="S11" s="317">
        <v>235.97</v>
      </c>
      <c r="T11" s="317">
        <v>258.83999999999997</v>
      </c>
      <c r="U11" s="317">
        <v>308.14</v>
      </c>
      <c r="V11" s="317">
        <v>337.4</v>
      </c>
      <c r="W11" s="317">
        <v>350.91</v>
      </c>
    </row>
    <row r="12" spans="1:24">
      <c r="A12" s="310" t="s">
        <v>521</v>
      </c>
      <c r="B12" s="316">
        <v>0.37219999999999998</v>
      </c>
      <c r="C12" s="316">
        <v>0</v>
      </c>
      <c r="D12" s="316">
        <v>2.72</v>
      </c>
      <c r="E12" s="316">
        <v>2.7</v>
      </c>
      <c r="F12" s="316">
        <v>2.69</v>
      </c>
      <c r="G12" s="316">
        <v>2.68</v>
      </c>
      <c r="H12" s="317">
        <v>2.66</v>
      </c>
      <c r="I12" s="317">
        <v>2.65</v>
      </c>
      <c r="J12" s="317">
        <v>2.64</v>
      </c>
      <c r="K12" s="317">
        <v>2.92</v>
      </c>
      <c r="L12" s="317">
        <v>2.91</v>
      </c>
      <c r="M12" s="317">
        <v>7.1</v>
      </c>
      <c r="N12" s="317">
        <v>6.85</v>
      </c>
      <c r="O12" s="317">
        <v>8.5399999999999991</v>
      </c>
      <c r="P12" s="317">
        <v>8.4700000000000006</v>
      </c>
      <c r="Q12" s="317">
        <v>8.4600000000000009</v>
      </c>
      <c r="R12" s="317">
        <v>8.15</v>
      </c>
      <c r="S12" s="317">
        <v>8</v>
      </c>
      <c r="T12" s="317">
        <v>7.71</v>
      </c>
      <c r="U12" s="317">
        <v>7.56</v>
      </c>
      <c r="V12" s="317">
        <v>7.36</v>
      </c>
      <c r="W12" s="317">
        <v>7.25</v>
      </c>
    </row>
    <row r="13" spans="1:24">
      <c r="A13" s="310" t="s">
        <v>522</v>
      </c>
      <c r="B13" s="316">
        <v>5.7298</v>
      </c>
      <c r="C13" s="316">
        <v>41.03</v>
      </c>
      <c r="D13" s="316">
        <v>43.69</v>
      </c>
      <c r="E13" s="316">
        <v>41.81</v>
      </c>
      <c r="F13" s="316">
        <v>43.31</v>
      </c>
      <c r="G13" s="316">
        <v>93.04</v>
      </c>
      <c r="H13" s="317">
        <v>104.41</v>
      </c>
      <c r="I13" s="317">
        <v>102.85</v>
      </c>
      <c r="J13" s="317">
        <v>131.84</v>
      </c>
      <c r="K13" s="317">
        <v>134.38999999999999</v>
      </c>
      <c r="L13" s="317">
        <v>137.93</v>
      </c>
      <c r="M13" s="317">
        <v>141.9</v>
      </c>
      <c r="N13" s="317">
        <v>331.93</v>
      </c>
      <c r="O13" s="317">
        <v>364.67</v>
      </c>
      <c r="P13" s="317">
        <v>363.38</v>
      </c>
      <c r="Q13" s="317">
        <v>388.91</v>
      </c>
      <c r="R13" s="317">
        <v>391.94</v>
      </c>
      <c r="S13" s="317">
        <v>402.66</v>
      </c>
      <c r="T13" s="317">
        <v>412.39</v>
      </c>
      <c r="U13" s="317">
        <v>467.29</v>
      </c>
      <c r="V13" s="317">
        <v>486.63</v>
      </c>
      <c r="W13" s="317">
        <v>566.5</v>
      </c>
    </row>
    <row r="14" spans="1:24">
      <c r="A14" s="310" t="s">
        <v>523</v>
      </c>
      <c r="B14" s="316">
        <v>2.2989000000000002</v>
      </c>
      <c r="C14" s="316">
        <v>8.7100000000000009</v>
      </c>
      <c r="D14" s="316">
        <v>8.06</v>
      </c>
      <c r="E14" s="316">
        <v>8.02</v>
      </c>
      <c r="F14" s="316">
        <v>8.2200000000000006</v>
      </c>
      <c r="G14" s="316">
        <v>7.51</v>
      </c>
      <c r="H14" s="317">
        <v>7.48</v>
      </c>
      <c r="I14" s="317">
        <v>22.86</v>
      </c>
      <c r="J14" s="317">
        <v>22.74</v>
      </c>
      <c r="K14" s="317">
        <v>22.93</v>
      </c>
      <c r="L14" s="317">
        <v>40.869999999999997</v>
      </c>
      <c r="M14" s="317">
        <v>40.659999999999997</v>
      </c>
      <c r="N14" s="317">
        <v>52.01</v>
      </c>
      <c r="O14" s="317">
        <v>51.74</v>
      </c>
      <c r="P14" s="317">
        <v>51.47</v>
      </c>
      <c r="Q14" s="317">
        <v>51.65</v>
      </c>
      <c r="R14" s="317">
        <v>51.38</v>
      </c>
      <c r="S14" s="317">
        <v>51.11</v>
      </c>
      <c r="T14" s="317">
        <v>68.83</v>
      </c>
      <c r="U14" s="317">
        <v>68.459999999999994</v>
      </c>
      <c r="V14" s="317">
        <v>70.33</v>
      </c>
      <c r="W14" s="317">
        <v>71.06</v>
      </c>
    </row>
    <row r="15" spans="1:24">
      <c r="A15" s="310" t="s">
        <v>524</v>
      </c>
      <c r="B15" s="316">
        <v>3.8690000000000002</v>
      </c>
      <c r="C15" s="316">
        <v>20.41</v>
      </c>
      <c r="D15" s="316">
        <v>22.14</v>
      </c>
      <c r="E15" s="316">
        <v>25.1</v>
      </c>
      <c r="F15" s="316">
        <v>28.06</v>
      </c>
      <c r="G15" s="316">
        <v>38.299999999999997</v>
      </c>
      <c r="H15" s="317">
        <v>44.02</v>
      </c>
      <c r="I15" s="317">
        <v>40.049999999999997</v>
      </c>
      <c r="J15" s="317">
        <v>44.34</v>
      </c>
      <c r="K15" s="317">
        <v>42.48</v>
      </c>
      <c r="L15" s="317">
        <v>51.76</v>
      </c>
      <c r="M15" s="317">
        <v>40.659999999999997</v>
      </c>
      <c r="N15" s="317">
        <v>44.49</v>
      </c>
      <c r="O15" s="317">
        <v>46.74</v>
      </c>
      <c r="P15" s="317">
        <v>48.19</v>
      </c>
      <c r="Q15" s="317">
        <v>53.46</v>
      </c>
      <c r="R15" s="317">
        <v>61.75</v>
      </c>
      <c r="S15" s="317">
        <v>31.63</v>
      </c>
      <c r="T15" s="317">
        <v>33.25</v>
      </c>
      <c r="U15" s="317">
        <v>37.4</v>
      </c>
      <c r="V15" s="317">
        <v>43.86</v>
      </c>
      <c r="W15" s="317">
        <v>48.79</v>
      </c>
    </row>
    <row r="16" spans="1:24">
      <c r="A16" s="310" t="s">
        <v>525</v>
      </c>
      <c r="B16" s="316">
        <v>2.1901899999999999</v>
      </c>
      <c r="C16" s="316">
        <v>4.3099999999999996</v>
      </c>
      <c r="D16" s="316">
        <v>3.52</v>
      </c>
      <c r="E16" s="316">
        <v>3.17</v>
      </c>
      <c r="F16" s="316">
        <v>2.89</v>
      </c>
      <c r="G16" s="316">
        <v>3.22</v>
      </c>
      <c r="H16" s="317">
        <v>4.32</v>
      </c>
      <c r="I16" s="317">
        <v>6.21</v>
      </c>
      <c r="J16" s="317">
        <v>7.27</v>
      </c>
      <c r="K16" s="317">
        <v>7.57</v>
      </c>
      <c r="L16" s="317">
        <v>6.67</v>
      </c>
      <c r="M16" s="317">
        <v>47.39</v>
      </c>
      <c r="N16" s="317">
        <v>64.099999999999994</v>
      </c>
      <c r="O16" s="317">
        <v>70.33</v>
      </c>
      <c r="P16" s="317">
        <v>75.36</v>
      </c>
      <c r="Q16" s="317">
        <v>80.760000000000005</v>
      </c>
      <c r="R16" s="317">
        <v>98.71</v>
      </c>
      <c r="S16" s="317">
        <v>97.93</v>
      </c>
      <c r="T16" s="317">
        <v>103.69</v>
      </c>
      <c r="U16" s="317">
        <v>111.72</v>
      </c>
      <c r="V16" s="317">
        <v>138.5</v>
      </c>
      <c r="W16" s="317">
        <v>157.55000000000001</v>
      </c>
    </row>
    <row r="17" spans="1:24">
      <c r="A17" s="310" t="s">
        <v>526</v>
      </c>
      <c r="B17" s="316">
        <v>4.4542999999999999</v>
      </c>
      <c r="C17" s="316">
        <v>12.96</v>
      </c>
      <c r="D17" s="316">
        <v>12.91</v>
      </c>
      <c r="E17" s="316">
        <v>12.63</v>
      </c>
      <c r="F17" s="316">
        <v>11.94</v>
      </c>
      <c r="G17" s="316">
        <v>12.09</v>
      </c>
      <c r="H17" s="317">
        <v>9.9600000000000009</v>
      </c>
      <c r="I17" s="317">
        <v>21.15</v>
      </c>
      <c r="J17" s="317">
        <v>38.729999999999997</v>
      </c>
      <c r="K17" s="317">
        <v>54.8</v>
      </c>
      <c r="L17" s="317">
        <v>66.94</v>
      </c>
      <c r="M17" s="317">
        <v>70.489999999999995</v>
      </c>
      <c r="N17" s="317">
        <v>321.22000000000003</v>
      </c>
      <c r="O17" s="317">
        <v>73.63</v>
      </c>
      <c r="P17" s="317">
        <v>74.989999999999995</v>
      </c>
      <c r="Q17" s="317">
        <v>82.61</v>
      </c>
      <c r="R17" s="317">
        <v>128.09</v>
      </c>
      <c r="S17" s="317">
        <v>111.73</v>
      </c>
      <c r="T17" s="317">
        <v>129.77000000000001</v>
      </c>
      <c r="U17" s="317">
        <v>143.01</v>
      </c>
      <c r="V17" s="317">
        <v>166.3</v>
      </c>
      <c r="W17" s="317">
        <v>215.31</v>
      </c>
    </row>
    <row r="18" spans="1:24">
      <c r="A18" s="312" t="s">
        <v>527</v>
      </c>
      <c r="B18" s="318">
        <v>10.706329999999999</v>
      </c>
      <c r="C18" s="318">
        <v>121.7</v>
      </c>
      <c r="D18" s="318">
        <v>249.28</v>
      </c>
      <c r="E18" s="318">
        <v>426.04</v>
      </c>
      <c r="F18" s="318">
        <v>498.17</v>
      </c>
      <c r="G18" s="318">
        <v>511.31</v>
      </c>
      <c r="H18" s="319">
        <v>531.61</v>
      </c>
      <c r="I18" s="319">
        <v>534.46</v>
      </c>
      <c r="J18" s="319">
        <v>574.30999999999995</v>
      </c>
      <c r="K18" s="319">
        <v>601.71</v>
      </c>
      <c r="L18" s="319">
        <v>607.47</v>
      </c>
      <c r="M18" s="319">
        <v>640.91999999999996</v>
      </c>
      <c r="N18" s="319">
        <v>666.13</v>
      </c>
      <c r="O18" s="319">
        <v>700.42</v>
      </c>
      <c r="P18" s="319">
        <v>699.83</v>
      </c>
      <c r="Q18" s="319">
        <v>742.02</v>
      </c>
      <c r="R18" s="319">
        <v>814.15</v>
      </c>
      <c r="S18" s="319">
        <v>1137.79</v>
      </c>
      <c r="T18" s="319">
        <v>1351.18</v>
      </c>
      <c r="U18" s="319">
        <v>1528.02</v>
      </c>
      <c r="V18" s="319">
        <v>2141.7800000000002</v>
      </c>
      <c r="W18" s="319">
        <v>2192.15</v>
      </c>
    </row>
    <row r="19" spans="1:24">
      <c r="A19" s="312" t="s">
        <v>528</v>
      </c>
      <c r="B19" s="318">
        <v>0.74541999999999997</v>
      </c>
      <c r="C19" s="318">
        <v>0.09</v>
      </c>
      <c r="D19" s="318">
        <v>0.19</v>
      </c>
      <c r="E19" s="318">
        <v>0.18</v>
      </c>
      <c r="F19" s="318">
        <v>0.18</v>
      </c>
      <c r="G19" s="318">
        <v>0.63</v>
      </c>
      <c r="H19" s="319">
        <v>5.63</v>
      </c>
      <c r="I19" s="319">
        <v>5.66</v>
      </c>
      <c r="J19" s="319">
        <v>5.54</v>
      </c>
      <c r="K19" s="319">
        <v>5.44</v>
      </c>
      <c r="L19" s="319">
        <v>5.37</v>
      </c>
      <c r="M19" s="319">
        <v>5.73</v>
      </c>
      <c r="N19" s="319">
        <v>6.06</v>
      </c>
      <c r="O19" s="319">
        <v>6.3</v>
      </c>
      <c r="P19" s="319">
        <v>6.96</v>
      </c>
      <c r="Q19" s="319">
        <v>7.15</v>
      </c>
      <c r="R19" s="319">
        <v>9.48</v>
      </c>
      <c r="S19" s="319">
        <v>78.260000000000005</v>
      </c>
      <c r="T19" s="319">
        <v>55.98</v>
      </c>
      <c r="U19" s="319">
        <v>66.180000000000007</v>
      </c>
      <c r="V19" s="319">
        <v>86.24</v>
      </c>
      <c r="W19" s="319">
        <v>85.75</v>
      </c>
    </row>
    <row r="20" spans="1:24">
      <c r="A20" s="312" t="s">
        <v>529</v>
      </c>
      <c r="B20" s="318">
        <v>0</v>
      </c>
      <c r="C20" s="318">
        <v>0</v>
      </c>
      <c r="D20" s="318">
        <v>0</v>
      </c>
      <c r="E20" s="318">
        <v>0</v>
      </c>
      <c r="F20" s="318">
        <v>0</v>
      </c>
      <c r="G20" s="318">
        <v>0</v>
      </c>
      <c r="H20" s="319">
        <v>0</v>
      </c>
      <c r="I20" s="319">
        <v>0</v>
      </c>
      <c r="J20" s="319">
        <v>0</v>
      </c>
      <c r="K20" s="319">
        <v>0</v>
      </c>
      <c r="L20" s="319">
        <v>0</v>
      </c>
      <c r="M20" s="319">
        <v>0</v>
      </c>
      <c r="N20" s="319">
        <v>0</v>
      </c>
      <c r="O20" s="319">
        <v>0</v>
      </c>
      <c r="P20" s="319">
        <v>0</v>
      </c>
      <c r="Q20" s="319">
        <v>0</v>
      </c>
      <c r="R20" s="319">
        <v>0</v>
      </c>
      <c r="S20" s="319">
        <v>0</v>
      </c>
      <c r="T20" s="319">
        <v>706.22</v>
      </c>
      <c r="U20" s="319">
        <v>669.56</v>
      </c>
      <c r="V20" s="319">
        <v>484.77</v>
      </c>
      <c r="W20" s="319">
        <v>435.19</v>
      </c>
      <c r="X20" s="308"/>
    </row>
    <row r="21" spans="1:24">
      <c r="A21" s="312" t="s">
        <v>530</v>
      </c>
      <c r="B21" s="318">
        <v>0</v>
      </c>
      <c r="C21" s="318">
        <v>0</v>
      </c>
      <c r="D21" s="318">
        <v>0</v>
      </c>
      <c r="E21" s="318">
        <v>0</v>
      </c>
      <c r="F21" s="318">
        <v>0</v>
      </c>
      <c r="G21" s="318">
        <v>0</v>
      </c>
      <c r="H21" s="319">
        <v>0</v>
      </c>
      <c r="I21" s="319">
        <v>0</v>
      </c>
      <c r="J21" s="319">
        <v>0</v>
      </c>
      <c r="K21" s="319">
        <v>0</v>
      </c>
      <c r="L21" s="319">
        <v>0</v>
      </c>
      <c r="M21" s="319">
        <v>0</v>
      </c>
      <c r="N21" s="319">
        <v>0</v>
      </c>
      <c r="O21" s="319">
        <v>0</v>
      </c>
      <c r="P21" s="319">
        <v>0</v>
      </c>
      <c r="Q21" s="319">
        <v>0</v>
      </c>
      <c r="R21" s="319">
        <v>0</v>
      </c>
      <c r="S21" s="319">
        <v>0</v>
      </c>
      <c r="T21" s="319">
        <v>1114.71</v>
      </c>
      <c r="U21" s="319">
        <v>1216.55</v>
      </c>
      <c r="V21" s="319">
        <v>922.14</v>
      </c>
      <c r="W21" s="319">
        <v>917.02</v>
      </c>
    </row>
    <row r="22" spans="1:24">
      <c r="A22" s="312" t="s">
        <v>531</v>
      </c>
      <c r="B22" s="318">
        <v>41.26878</v>
      </c>
      <c r="C22" s="318">
        <v>125.15</v>
      </c>
      <c r="D22" s="318">
        <v>142.78</v>
      </c>
      <c r="E22" s="318">
        <v>141.80000000000001</v>
      </c>
      <c r="F22" s="318">
        <v>137.35</v>
      </c>
      <c r="G22" s="318">
        <v>132.77000000000001</v>
      </c>
      <c r="H22" s="319">
        <v>171.71</v>
      </c>
      <c r="I22" s="319">
        <v>263.7</v>
      </c>
      <c r="J22" s="319">
        <v>314.45999999999998</v>
      </c>
      <c r="K22" s="319">
        <v>443.39</v>
      </c>
      <c r="L22" s="319">
        <v>434.89</v>
      </c>
      <c r="M22" s="319">
        <v>548.27</v>
      </c>
      <c r="N22" s="319">
        <v>562.11</v>
      </c>
      <c r="O22" s="319">
        <v>838.06</v>
      </c>
      <c r="P22" s="319">
        <v>975.27</v>
      </c>
      <c r="Q22" s="319">
        <v>1071.17</v>
      </c>
      <c r="R22" s="319">
        <v>1239.6500000000001</v>
      </c>
      <c r="S22" s="319">
        <v>1272.18</v>
      </c>
      <c r="T22" s="319">
        <v>0</v>
      </c>
      <c r="U22" s="319">
        <v>0</v>
      </c>
      <c r="V22" s="319">
        <v>0</v>
      </c>
      <c r="W22" s="319">
        <v>0</v>
      </c>
    </row>
    <row r="23" spans="1:24">
      <c r="A23" s="313" t="s">
        <v>532</v>
      </c>
      <c r="B23" s="320">
        <v>0</v>
      </c>
      <c r="C23" s="320">
        <v>114.2</v>
      </c>
      <c r="D23" s="320">
        <v>84.15</v>
      </c>
      <c r="E23" s="320">
        <v>67.19</v>
      </c>
      <c r="F23" s="320">
        <v>49.31</v>
      </c>
      <c r="G23" s="320">
        <v>48.31</v>
      </c>
      <c r="H23" s="321">
        <v>41.21</v>
      </c>
      <c r="I23" s="321">
        <v>36.19</v>
      </c>
      <c r="J23" s="321">
        <v>36.74</v>
      </c>
      <c r="K23" s="321">
        <v>36.74</v>
      </c>
      <c r="L23" s="321">
        <v>90.33</v>
      </c>
      <c r="M23" s="321">
        <v>90.34</v>
      </c>
      <c r="N23" s="321">
        <v>54.14</v>
      </c>
      <c r="O23" s="321">
        <v>54.15</v>
      </c>
      <c r="P23" s="321">
        <v>54.14</v>
      </c>
      <c r="Q23" s="321">
        <v>53.64</v>
      </c>
      <c r="R23" s="321">
        <v>53.64</v>
      </c>
      <c r="S23" s="321">
        <v>53.65</v>
      </c>
      <c r="T23" s="321">
        <v>0.05</v>
      </c>
      <c r="U23" s="321">
        <v>0</v>
      </c>
      <c r="V23" s="321">
        <v>0</v>
      </c>
      <c r="W23" s="321">
        <v>0</v>
      </c>
    </row>
    <row r="24" spans="1:24">
      <c r="A24" s="312" t="s">
        <v>533</v>
      </c>
      <c r="B24" s="318">
        <v>0</v>
      </c>
      <c r="C24" s="318">
        <v>0</v>
      </c>
      <c r="D24" s="318">
        <v>0</v>
      </c>
      <c r="E24" s="318">
        <v>0</v>
      </c>
      <c r="F24" s="318">
        <v>0</v>
      </c>
      <c r="G24" s="318">
        <v>0</v>
      </c>
      <c r="H24" s="319">
        <v>0</v>
      </c>
      <c r="I24" s="319">
        <v>0</v>
      </c>
      <c r="J24" s="319">
        <v>0</v>
      </c>
      <c r="K24" s="319">
        <v>0</v>
      </c>
      <c r="L24" s="319">
        <v>0</v>
      </c>
      <c r="M24" s="319">
        <v>0</v>
      </c>
      <c r="N24" s="319">
        <v>0</v>
      </c>
      <c r="O24" s="319">
        <v>17.600000000000001</v>
      </c>
      <c r="P24" s="319">
        <v>18.13</v>
      </c>
      <c r="Q24" s="319">
        <v>40.33</v>
      </c>
      <c r="R24" s="319">
        <v>56.66</v>
      </c>
      <c r="S24" s="319">
        <v>51.59</v>
      </c>
      <c r="T24" s="319">
        <v>21.18</v>
      </c>
      <c r="U24" s="319">
        <v>25.68</v>
      </c>
      <c r="V24" s="319">
        <v>29.23</v>
      </c>
      <c r="W24" s="319">
        <v>16.93</v>
      </c>
    </row>
    <row r="25" spans="1:24">
      <c r="A25" s="312" t="s">
        <v>534</v>
      </c>
      <c r="B25" s="318">
        <v>0</v>
      </c>
      <c r="C25" s="318">
        <v>0</v>
      </c>
      <c r="D25" s="318">
        <v>0</v>
      </c>
      <c r="E25" s="318">
        <v>0</v>
      </c>
      <c r="F25" s="318">
        <v>0</v>
      </c>
      <c r="G25" s="318">
        <v>0</v>
      </c>
      <c r="H25" s="319">
        <v>0</v>
      </c>
      <c r="I25" s="319">
        <v>0</v>
      </c>
      <c r="J25" s="319">
        <v>0</v>
      </c>
      <c r="K25" s="319">
        <v>0</v>
      </c>
      <c r="L25" s="319">
        <v>0</v>
      </c>
      <c r="M25" s="319">
        <v>0</v>
      </c>
      <c r="N25" s="319">
        <v>91.24</v>
      </c>
      <c r="O25" s="319">
        <v>96.27</v>
      </c>
      <c r="P25" s="319">
        <v>141.61000000000001</v>
      </c>
      <c r="Q25" s="319">
        <v>237.89</v>
      </c>
      <c r="R25" s="319">
        <v>234.89</v>
      </c>
      <c r="S25" s="319">
        <v>229.76</v>
      </c>
      <c r="T25" s="319">
        <v>0</v>
      </c>
      <c r="U25" s="319">
        <v>0</v>
      </c>
      <c r="V25" s="319">
        <v>0</v>
      </c>
      <c r="W25" s="319">
        <v>0</v>
      </c>
    </row>
    <row r="26" spans="1:24">
      <c r="A26" s="312" t="s">
        <v>535</v>
      </c>
      <c r="B26" s="318">
        <v>0</v>
      </c>
      <c r="C26" s="318">
        <v>0</v>
      </c>
      <c r="D26" s="318">
        <v>0</v>
      </c>
      <c r="E26" s="318">
        <v>0</v>
      </c>
      <c r="F26" s="318">
        <v>0</v>
      </c>
      <c r="G26" s="318">
        <v>29.41</v>
      </c>
      <c r="H26" s="319">
        <v>42.76</v>
      </c>
      <c r="I26" s="319">
        <v>47.76</v>
      </c>
      <c r="J26" s="319">
        <v>57.67</v>
      </c>
      <c r="K26" s="319">
        <v>62.3</v>
      </c>
      <c r="L26" s="319">
        <v>70.150000000000006</v>
      </c>
      <c r="M26" s="319">
        <v>82.03</v>
      </c>
      <c r="N26" s="319">
        <v>0</v>
      </c>
      <c r="O26" s="319">
        <v>0</v>
      </c>
      <c r="P26" s="319">
        <v>0</v>
      </c>
      <c r="Q26" s="319">
        <v>0</v>
      </c>
      <c r="R26" s="319">
        <v>0</v>
      </c>
      <c r="S26" s="319">
        <v>0</v>
      </c>
      <c r="T26" s="319">
        <v>0</v>
      </c>
      <c r="U26" s="319">
        <v>0</v>
      </c>
      <c r="V26" s="319">
        <v>0</v>
      </c>
      <c r="W26" s="319">
        <v>0</v>
      </c>
    </row>
    <row r="27" spans="1:24" s="322" customFormat="1" ht="15">
      <c r="A27" s="322" t="s">
        <v>536</v>
      </c>
      <c r="B27" s="323">
        <f>SUM(B10:B26)</f>
        <v>104.56319999999999</v>
      </c>
      <c r="C27" s="323">
        <f t="shared" ref="C27:G27" si="21">SUM(C10:C26)</f>
        <v>535.49</v>
      </c>
      <c r="D27" s="323">
        <f t="shared" si="21"/>
        <v>655.72</v>
      </c>
      <c r="E27" s="323">
        <f t="shared" si="21"/>
        <v>812</v>
      </c>
      <c r="F27" s="323">
        <f t="shared" si="21"/>
        <v>864.43000000000006</v>
      </c>
      <c r="G27" s="323">
        <f t="shared" si="21"/>
        <v>958.44999999999993</v>
      </c>
      <c r="H27" s="324">
        <v>1043.51</v>
      </c>
      <c r="I27" s="324">
        <v>1168.82</v>
      </c>
      <c r="J27" s="324">
        <v>1325.07</v>
      </c>
      <c r="K27" s="324">
        <v>1514.4</v>
      </c>
      <c r="L27" s="324">
        <v>1618.3</v>
      </c>
      <c r="M27" s="324">
        <v>1830.18</v>
      </c>
      <c r="N27" s="324">
        <v>2325.4699999999998</v>
      </c>
      <c r="O27" s="324">
        <v>2467.4499999999998</v>
      </c>
      <c r="P27" s="324">
        <v>2664.88</v>
      </c>
      <c r="Q27" s="324">
        <v>2976.79</v>
      </c>
      <c r="R27" s="324">
        <v>3320.08</v>
      </c>
      <c r="S27" s="324">
        <v>3762.26</v>
      </c>
      <c r="T27" s="324">
        <v>4263.8</v>
      </c>
      <c r="U27" s="324">
        <v>4649.57</v>
      </c>
      <c r="V27" s="324">
        <f>SUM(V10:V26)</f>
        <v>4914.5399999999991</v>
      </c>
      <c r="W27" s="324">
        <f>SUM(W10:W26)</f>
        <v>5064.41</v>
      </c>
    </row>
    <row r="28" spans="1:24">
      <c r="A28" s="310" t="s">
        <v>537</v>
      </c>
      <c r="B28" s="316">
        <v>0</v>
      </c>
      <c r="C28" s="316">
        <v>13.84</v>
      </c>
      <c r="D28" s="316">
        <v>9.39</v>
      </c>
      <c r="E28" s="316">
        <v>6.56</v>
      </c>
      <c r="F28" s="316">
        <v>1.51</v>
      </c>
      <c r="G28" s="316">
        <v>2.44</v>
      </c>
      <c r="H28" s="317">
        <v>2.79</v>
      </c>
      <c r="I28" s="317">
        <v>2.38</v>
      </c>
      <c r="J28" s="317">
        <v>2.4</v>
      </c>
      <c r="K28" s="317">
        <v>2.2200000000000002</v>
      </c>
      <c r="L28" s="317">
        <v>2.2599999999999998</v>
      </c>
      <c r="M28" s="317">
        <v>2.16</v>
      </c>
      <c r="N28" s="317">
        <v>2.31</v>
      </c>
      <c r="O28" s="317">
        <v>2.63</v>
      </c>
      <c r="P28" s="317">
        <v>2.63</v>
      </c>
      <c r="Q28" s="317">
        <v>2.97</v>
      </c>
      <c r="R28" s="317">
        <v>3.12</v>
      </c>
      <c r="S28" s="317">
        <v>2.95</v>
      </c>
      <c r="T28" s="317">
        <v>2.85</v>
      </c>
      <c r="U28" s="317">
        <v>3.06</v>
      </c>
      <c r="V28" s="317">
        <v>4.5599999999999996</v>
      </c>
      <c r="W28" s="317">
        <v>3.24</v>
      </c>
    </row>
    <row r="29" spans="1:24">
      <c r="A29" s="310" t="s">
        <v>538</v>
      </c>
      <c r="B29" s="316">
        <v>17.154119999999999</v>
      </c>
      <c r="C29" s="316">
        <v>29.55</v>
      </c>
      <c r="D29" s="316">
        <v>31.03</v>
      </c>
      <c r="E29" s="316">
        <v>41.85</v>
      </c>
      <c r="F29" s="316">
        <v>42.93</v>
      </c>
      <c r="G29" s="316">
        <v>45.88</v>
      </c>
      <c r="H29" s="317">
        <v>51.95</v>
      </c>
      <c r="I29" s="317">
        <v>55.36</v>
      </c>
      <c r="J29" s="317">
        <v>68.209999999999994</v>
      </c>
      <c r="K29" s="317">
        <v>70.61</v>
      </c>
      <c r="L29" s="317">
        <v>71.48</v>
      </c>
      <c r="M29" s="317">
        <v>88.1</v>
      </c>
      <c r="N29" s="317">
        <v>95.07</v>
      </c>
      <c r="O29" s="317">
        <v>101.52</v>
      </c>
      <c r="P29" s="317">
        <v>129</v>
      </c>
      <c r="Q29" s="317">
        <v>144.47999999999999</v>
      </c>
      <c r="R29" s="317">
        <v>155.66999999999999</v>
      </c>
      <c r="S29" s="317">
        <v>165.49</v>
      </c>
      <c r="T29" s="317">
        <v>206.27</v>
      </c>
      <c r="U29" s="317">
        <v>215.58</v>
      </c>
      <c r="V29" s="317">
        <v>257.36</v>
      </c>
      <c r="W29" s="317">
        <v>284.27</v>
      </c>
    </row>
    <row r="30" spans="1:24">
      <c r="A30" s="310" t="s">
        <v>539</v>
      </c>
      <c r="B30" s="316">
        <v>4.8787200000000004</v>
      </c>
      <c r="C30" s="316">
        <v>53.65</v>
      </c>
      <c r="D30" s="316">
        <v>67.78</v>
      </c>
      <c r="E30" s="316">
        <v>72.91</v>
      </c>
      <c r="F30" s="316">
        <v>76.599999999999994</v>
      </c>
      <c r="G30" s="316">
        <v>78.040000000000006</v>
      </c>
      <c r="H30" s="317">
        <v>91.53</v>
      </c>
      <c r="I30" s="317">
        <v>95.44</v>
      </c>
      <c r="J30" s="317">
        <v>118.09</v>
      </c>
      <c r="K30" s="317">
        <v>113.97</v>
      </c>
      <c r="L30" s="317">
        <v>127.23</v>
      </c>
      <c r="M30" s="317">
        <v>119.08</v>
      </c>
      <c r="N30" s="317">
        <v>129.81</v>
      </c>
      <c r="O30" s="317">
        <v>141.18</v>
      </c>
      <c r="P30" s="317">
        <v>175.79</v>
      </c>
      <c r="Q30" s="317">
        <v>180.13</v>
      </c>
      <c r="R30" s="317">
        <v>178.57</v>
      </c>
      <c r="S30" s="317">
        <v>171.1</v>
      </c>
      <c r="T30" s="317">
        <v>223.49</v>
      </c>
      <c r="U30" s="317">
        <v>234.99</v>
      </c>
      <c r="V30" s="317">
        <v>262.08</v>
      </c>
      <c r="W30" s="317">
        <v>184.93</v>
      </c>
    </row>
    <row r="31" spans="1:24">
      <c r="A31" s="313" t="s">
        <v>540</v>
      </c>
      <c r="B31" s="320">
        <v>10.364570000000001</v>
      </c>
      <c r="C31" s="320">
        <v>41.31</v>
      </c>
      <c r="D31" s="320">
        <v>64.260000000000005</v>
      </c>
      <c r="E31" s="320">
        <v>65.23</v>
      </c>
      <c r="F31" s="320">
        <v>66.959999999999994</v>
      </c>
      <c r="G31" s="320">
        <v>91.74</v>
      </c>
      <c r="H31" s="321">
        <v>138.32</v>
      </c>
      <c r="I31" s="321">
        <v>202.62</v>
      </c>
      <c r="J31" s="321">
        <v>388.1</v>
      </c>
      <c r="K31" s="321">
        <v>547.30999999999995</v>
      </c>
      <c r="L31" s="321">
        <v>858.16</v>
      </c>
      <c r="M31" s="321">
        <v>1254.9000000000001</v>
      </c>
      <c r="N31" s="321">
        <v>8.09</v>
      </c>
      <c r="O31" s="321">
        <v>7.5</v>
      </c>
      <c r="P31" s="321">
        <v>7.63</v>
      </c>
      <c r="Q31" s="321">
        <v>13.27</v>
      </c>
      <c r="R31" s="321">
        <v>14.07</v>
      </c>
      <c r="S31" s="321">
        <v>16.059999999999999</v>
      </c>
      <c r="T31" s="321">
        <v>16.940000000000001</v>
      </c>
      <c r="U31" s="321">
        <v>20.51</v>
      </c>
      <c r="V31" s="321">
        <v>23.06</v>
      </c>
      <c r="W31" s="321">
        <v>25.9</v>
      </c>
    </row>
    <row r="32" spans="1:24">
      <c r="A32" s="313" t="s">
        <v>541</v>
      </c>
      <c r="B32" s="320">
        <v>104.08257</v>
      </c>
      <c r="C32" s="320">
        <v>202.28</v>
      </c>
      <c r="D32" s="320">
        <v>265.23</v>
      </c>
      <c r="E32" s="320">
        <v>326.39</v>
      </c>
      <c r="F32" s="320">
        <v>334.54</v>
      </c>
      <c r="G32" s="320">
        <v>427.13</v>
      </c>
      <c r="H32" s="321">
        <v>555.83000000000004</v>
      </c>
      <c r="I32" s="321">
        <v>482.71</v>
      </c>
      <c r="J32" s="321">
        <v>467.14</v>
      </c>
      <c r="K32" s="321">
        <v>434.38</v>
      </c>
      <c r="L32" s="321">
        <v>566.07000000000005</v>
      </c>
      <c r="M32" s="321">
        <v>642.05999999999995</v>
      </c>
      <c r="N32" s="321">
        <v>524.16999999999996</v>
      </c>
      <c r="O32" s="321">
        <v>719.02</v>
      </c>
      <c r="P32" s="321">
        <v>688.61</v>
      </c>
      <c r="Q32" s="321">
        <v>703.01</v>
      </c>
      <c r="R32" s="321">
        <v>873.43</v>
      </c>
      <c r="S32" s="321">
        <v>1056.97</v>
      </c>
      <c r="T32" s="321">
        <v>1170.72</v>
      </c>
      <c r="U32" s="321">
        <v>1046.23</v>
      </c>
      <c r="V32" s="321">
        <v>1053.94</v>
      </c>
      <c r="W32" s="321">
        <v>978.14</v>
      </c>
    </row>
    <row r="33" spans="1:23">
      <c r="A33" s="313" t="s">
        <v>542</v>
      </c>
      <c r="B33" s="320">
        <v>117.25743</v>
      </c>
      <c r="C33" s="320">
        <v>196.23</v>
      </c>
      <c r="D33" s="320">
        <v>175.74</v>
      </c>
      <c r="E33" s="320">
        <v>181.39</v>
      </c>
      <c r="F33" s="320">
        <v>171.95</v>
      </c>
      <c r="G33" s="320">
        <v>107.98</v>
      </c>
      <c r="H33" s="321">
        <v>141.47</v>
      </c>
      <c r="I33" s="321">
        <v>173.29</v>
      </c>
      <c r="J33" s="321">
        <v>249.76</v>
      </c>
      <c r="K33" s="321">
        <v>373.31</v>
      </c>
      <c r="L33" s="321">
        <v>337.19</v>
      </c>
      <c r="M33" s="321">
        <v>357.74</v>
      </c>
      <c r="N33" s="321">
        <v>425.05</v>
      </c>
      <c r="O33" s="321">
        <v>503.2</v>
      </c>
      <c r="P33" s="321">
        <v>666.31</v>
      </c>
      <c r="Q33" s="321">
        <v>614.74</v>
      </c>
      <c r="R33" s="321">
        <v>573.71</v>
      </c>
      <c r="S33" s="321">
        <v>367.24</v>
      </c>
      <c r="T33" s="321">
        <v>202.87</v>
      </c>
      <c r="U33" s="321">
        <v>236.38</v>
      </c>
      <c r="V33" s="321">
        <v>328.05</v>
      </c>
      <c r="W33" s="321">
        <v>629.17999999999995</v>
      </c>
    </row>
    <row r="34" spans="1:23">
      <c r="A34" s="312" t="s">
        <v>543</v>
      </c>
      <c r="B34" s="318">
        <v>0</v>
      </c>
      <c r="C34" s="318">
        <v>0</v>
      </c>
      <c r="D34" s="318">
        <v>0</v>
      </c>
      <c r="E34" s="318">
        <v>0</v>
      </c>
      <c r="F34" s="318">
        <v>0</v>
      </c>
      <c r="G34" s="318">
        <v>0</v>
      </c>
      <c r="H34" s="319">
        <v>0</v>
      </c>
      <c r="I34" s="319">
        <v>0</v>
      </c>
      <c r="J34" s="319">
        <v>0</v>
      </c>
      <c r="K34" s="319">
        <v>0</v>
      </c>
      <c r="L34" s="319">
        <v>0</v>
      </c>
      <c r="M34" s="319">
        <v>0</v>
      </c>
      <c r="N34" s="319">
        <v>0</v>
      </c>
      <c r="O34" s="319">
        <v>0</v>
      </c>
      <c r="P34" s="319">
        <v>0</v>
      </c>
      <c r="Q34" s="319">
        <v>0</v>
      </c>
      <c r="R34" s="319">
        <v>0</v>
      </c>
      <c r="S34" s="319">
        <v>0</v>
      </c>
      <c r="T34" s="319">
        <v>50.22</v>
      </c>
      <c r="U34" s="319">
        <v>57.82</v>
      </c>
      <c r="V34" s="319">
        <v>61.52</v>
      </c>
      <c r="W34" s="319">
        <v>61.75</v>
      </c>
    </row>
    <row r="35" spans="1:23">
      <c r="A35" s="312" t="s">
        <v>544</v>
      </c>
      <c r="B35" s="318">
        <v>0</v>
      </c>
      <c r="C35" s="318">
        <v>0</v>
      </c>
      <c r="D35" s="318">
        <v>0</v>
      </c>
      <c r="E35" s="318">
        <v>0</v>
      </c>
      <c r="F35" s="318">
        <v>0</v>
      </c>
      <c r="G35" s="318">
        <v>0</v>
      </c>
      <c r="H35" s="319">
        <v>0</v>
      </c>
      <c r="I35" s="319">
        <v>0</v>
      </c>
      <c r="J35" s="319">
        <v>0</v>
      </c>
      <c r="K35" s="319">
        <v>11.98</v>
      </c>
      <c r="L35" s="319">
        <v>9.2799999999999994</v>
      </c>
      <c r="M35" s="319">
        <v>15.37</v>
      </c>
      <c r="N35" s="319">
        <v>17.649999999999999</v>
      </c>
      <c r="O35" s="319">
        <v>16.489999999999998</v>
      </c>
      <c r="P35" s="319">
        <v>22.53</v>
      </c>
      <c r="Q35" s="319">
        <v>19.739999999999998</v>
      </c>
      <c r="R35" s="319">
        <v>17.53</v>
      </c>
      <c r="S35" s="319">
        <v>4.6500000000000004</v>
      </c>
      <c r="T35" s="319">
        <v>4.66</v>
      </c>
      <c r="U35" s="319">
        <v>3.94</v>
      </c>
      <c r="V35" s="319">
        <v>4.1500000000000004</v>
      </c>
      <c r="W35" s="319">
        <v>3.39</v>
      </c>
    </row>
    <row r="36" spans="1:23" s="322" customFormat="1" ht="15">
      <c r="A36" s="322" t="s">
        <v>545</v>
      </c>
      <c r="B36" s="323">
        <f>SUM(B28:B35)</f>
        <v>253.73741000000001</v>
      </c>
      <c r="C36" s="323">
        <f>SUM(C28:C35)</f>
        <v>536.86</v>
      </c>
      <c r="D36" s="323">
        <f>SUM(D28:D35)</f>
        <v>613.43000000000006</v>
      </c>
      <c r="E36" s="323">
        <f t="shared" ref="E36:G36" si="22">SUM(E28:E35)</f>
        <v>694.33</v>
      </c>
      <c r="F36" s="323">
        <f t="shared" si="22"/>
        <v>694.49</v>
      </c>
      <c r="G36" s="323">
        <f t="shared" si="22"/>
        <v>753.21</v>
      </c>
      <c r="H36" s="324">
        <v>981.89</v>
      </c>
      <c r="I36" s="324">
        <v>1011.8</v>
      </c>
      <c r="J36" s="324">
        <v>1293.7</v>
      </c>
      <c r="K36" s="324">
        <v>1553.78</v>
      </c>
      <c r="L36" s="324">
        <v>1971.67</v>
      </c>
      <c r="M36" s="324">
        <v>2479.41</v>
      </c>
      <c r="N36" s="324">
        <v>1202.1500000000001</v>
      </c>
      <c r="O36" s="324">
        <v>1491.54</v>
      </c>
      <c r="P36" s="324">
        <v>1692.5</v>
      </c>
      <c r="Q36" s="324">
        <v>1678.34</v>
      </c>
      <c r="R36" s="324">
        <v>1816.1</v>
      </c>
      <c r="S36" s="324">
        <v>1784.46</v>
      </c>
      <c r="T36" s="324">
        <v>1878.02</v>
      </c>
      <c r="U36" s="324">
        <v>1818.51</v>
      </c>
      <c r="V36" s="324">
        <f>SUM(V28:V35)</f>
        <v>1994.72</v>
      </c>
      <c r="W36" s="324">
        <f>SUM(W28:W35)</f>
        <v>2170.7999999999997</v>
      </c>
    </row>
    <row r="37" spans="1:23" s="322" customFormat="1" ht="15">
      <c r="A37" s="322" t="s">
        <v>546</v>
      </c>
      <c r="B37" s="323">
        <f>B36+B27</f>
        <v>358.30061000000001</v>
      </c>
      <c r="C37" s="323">
        <f>C36+C27</f>
        <v>1072.3499999999999</v>
      </c>
      <c r="D37" s="323">
        <f>D36+D27</f>
        <v>1269.1500000000001</v>
      </c>
      <c r="E37" s="323">
        <f t="shared" ref="E37:G37" si="23">E36+E27</f>
        <v>1506.33</v>
      </c>
      <c r="F37" s="323">
        <f t="shared" si="23"/>
        <v>1558.92</v>
      </c>
      <c r="G37" s="323">
        <f t="shared" si="23"/>
        <v>1711.6599999999999</v>
      </c>
      <c r="H37" s="324">
        <v>2025.4</v>
      </c>
      <c r="I37" s="324">
        <v>2180.62</v>
      </c>
      <c r="J37" s="324">
        <v>2618.77</v>
      </c>
      <c r="K37" s="324">
        <v>3068.18</v>
      </c>
      <c r="L37" s="324">
        <v>3589.97</v>
      </c>
      <c r="M37" s="324">
        <v>4309.59</v>
      </c>
      <c r="N37" s="324">
        <v>3527.62</v>
      </c>
      <c r="O37" s="324">
        <v>3958.99</v>
      </c>
      <c r="P37" s="324">
        <v>4357.38</v>
      </c>
      <c r="Q37" s="324">
        <v>4655.13</v>
      </c>
      <c r="R37" s="324">
        <v>5136.18</v>
      </c>
      <c r="S37" s="324">
        <v>5546.72</v>
      </c>
      <c r="T37" s="324">
        <v>6141.82</v>
      </c>
      <c r="U37" s="324">
        <v>6468.08</v>
      </c>
      <c r="V37" s="324">
        <f>V36+V27</f>
        <v>6909.2599999999993</v>
      </c>
      <c r="W37" s="324">
        <f>W36+W27</f>
        <v>7235.2099999999991</v>
      </c>
    </row>
    <row r="38" spans="1:23">
      <c r="B38" s="325"/>
      <c r="C38" s="325"/>
      <c r="D38" s="325"/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325"/>
      <c r="U38" s="325"/>
    </row>
    <row r="39" spans="1:23" s="326" customFormat="1">
      <c r="B39" s="327">
        <f>B18</f>
        <v>10.706329999999999</v>
      </c>
      <c r="C39" s="309" t="s">
        <v>547</v>
      </c>
      <c r="D39" s="327">
        <f t="shared" ref="D39:W39" si="24">D18</f>
        <v>249.28</v>
      </c>
      <c r="E39" s="327">
        <f t="shared" si="24"/>
        <v>426.04</v>
      </c>
      <c r="F39" s="327">
        <f t="shared" si="24"/>
        <v>498.17</v>
      </c>
      <c r="G39" s="327">
        <f t="shared" si="24"/>
        <v>511.31</v>
      </c>
      <c r="H39" s="327">
        <f t="shared" si="24"/>
        <v>531.61</v>
      </c>
      <c r="I39" s="327">
        <f t="shared" si="24"/>
        <v>534.46</v>
      </c>
      <c r="J39" s="327">
        <f t="shared" si="24"/>
        <v>574.30999999999995</v>
      </c>
      <c r="K39" s="327">
        <f t="shared" si="24"/>
        <v>601.71</v>
      </c>
      <c r="L39" s="327">
        <f t="shared" si="24"/>
        <v>607.47</v>
      </c>
      <c r="M39" s="327">
        <f t="shared" si="24"/>
        <v>640.91999999999996</v>
      </c>
      <c r="N39" s="327">
        <f t="shared" si="24"/>
        <v>666.13</v>
      </c>
      <c r="O39" s="327">
        <f t="shared" si="24"/>
        <v>700.42</v>
      </c>
      <c r="P39" s="327">
        <f t="shared" si="24"/>
        <v>699.83</v>
      </c>
      <c r="Q39" s="327">
        <f t="shared" si="24"/>
        <v>742.02</v>
      </c>
      <c r="R39" s="327">
        <f t="shared" si="24"/>
        <v>814.15</v>
      </c>
      <c r="S39" s="327">
        <f t="shared" si="24"/>
        <v>1137.79</v>
      </c>
      <c r="T39" s="327">
        <f t="shared" si="24"/>
        <v>1351.18</v>
      </c>
      <c r="U39" s="327">
        <f t="shared" si="24"/>
        <v>1528.02</v>
      </c>
      <c r="V39" s="327">
        <f t="shared" si="24"/>
        <v>2141.7800000000002</v>
      </c>
      <c r="W39" s="327">
        <f t="shared" si="24"/>
        <v>2192.15</v>
      </c>
    </row>
    <row r="40" spans="1:23" s="326" customFormat="1">
      <c r="A40" s="326" t="s">
        <v>548</v>
      </c>
    </row>
    <row r="41" spans="1:23" s="326" customFormat="1">
      <c r="A41" s="328" t="s">
        <v>549</v>
      </c>
      <c r="C41" s="326">
        <v>121.7</v>
      </c>
      <c r="D41" s="326">
        <v>249.28</v>
      </c>
      <c r="E41" s="326">
        <v>420.64</v>
      </c>
      <c r="F41" s="326">
        <v>498.17</v>
      </c>
      <c r="G41" s="329">
        <f>G42+G43</f>
        <v>511.30999999999995</v>
      </c>
      <c r="H41" s="329">
        <f>H42+H43</f>
        <v>531.61</v>
      </c>
      <c r="I41" s="329">
        <f t="shared" ref="I41:U41" si="25">I42+I43</f>
        <v>534.46</v>
      </c>
      <c r="J41" s="329">
        <f t="shared" si="25"/>
        <v>574.30999999999995</v>
      </c>
      <c r="K41" s="329">
        <f t="shared" si="25"/>
        <v>601.71</v>
      </c>
      <c r="L41" s="329">
        <f t="shared" si="25"/>
        <v>607.47</v>
      </c>
      <c r="M41" s="329">
        <f t="shared" si="25"/>
        <v>640.92000000000007</v>
      </c>
      <c r="N41" s="329">
        <f t="shared" si="25"/>
        <v>666.13</v>
      </c>
      <c r="O41" s="329">
        <f t="shared" si="25"/>
        <v>700.42000000000007</v>
      </c>
      <c r="P41" s="329">
        <f t="shared" si="25"/>
        <v>699.83</v>
      </c>
      <c r="Q41" s="329">
        <f t="shared" si="25"/>
        <v>742.02</v>
      </c>
      <c r="R41" s="329">
        <f t="shared" si="25"/>
        <v>814.15</v>
      </c>
      <c r="S41" s="329">
        <f t="shared" si="25"/>
        <v>1137.79</v>
      </c>
      <c r="T41" s="329">
        <f t="shared" si="25"/>
        <v>1351.18</v>
      </c>
      <c r="U41" s="329">
        <f t="shared" si="25"/>
        <v>1528.02</v>
      </c>
      <c r="V41" s="326">
        <v>2141.7800000000002</v>
      </c>
      <c r="W41" s="326">
        <v>2192.15</v>
      </c>
    </row>
    <row r="42" spans="1:23" s="331" customFormat="1">
      <c r="A42" s="330" t="s">
        <v>550</v>
      </c>
      <c r="C42" s="331">
        <v>14.26</v>
      </c>
      <c r="D42" s="331">
        <v>12.4</v>
      </c>
      <c r="E42" s="331">
        <v>275.79000000000002</v>
      </c>
      <c r="F42" s="331">
        <v>295.10000000000002</v>
      </c>
      <c r="G42" s="332">
        <v>320.64</v>
      </c>
      <c r="H42" s="332">
        <v>321.37</v>
      </c>
      <c r="I42" s="332">
        <v>346.68</v>
      </c>
      <c r="J42" s="332">
        <v>366.38</v>
      </c>
      <c r="K42" s="332">
        <v>360.4</v>
      </c>
      <c r="L42" s="332">
        <v>357.42</v>
      </c>
      <c r="M42" s="332">
        <v>359.26</v>
      </c>
      <c r="N42" s="332">
        <v>371.15</v>
      </c>
      <c r="O42" s="332">
        <v>385.16</v>
      </c>
      <c r="P42" s="332">
        <v>384.6</v>
      </c>
      <c r="Q42" s="332">
        <v>430.29</v>
      </c>
      <c r="R42" s="332">
        <v>445.78</v>
      </c>
      <c r="S42" s="332">
        <v>609.35</v>
      </c>
      <c r="T42" s="332">
        <v>628.08000000000004</v>
      </c>
      <c r="U42" s="332">
        <v>672.14</v>
      </c>
      <c r="V42" s="331">
        <v>1282.92</v>
      </c>
      <c r="W42" s="331">
        <v>1306.33</v>
      </c>
    </row>
    <row r="43" spans="1:23" s="326" customFormat="1">
      <c r="A43" s="333" t="s">
        <v>551</v>
      </c>
      <c r="C43" s="326">
        <v>94.41</v>
      </c>
      <c r="D43" s="326">
        <v>225.47</v>
      </c>
      <c r="E43" s="326">
        <v>140.87</v>
      </c>
      <c r="F43" s="326">
        <v>174.21</v>
      </c>
      <c r="G43" s="329">
        <v>190.67</v>
      </c>
      <c r="H43" s="329">
        <v>210.24</v>
      </c>
      <c r="I43" s="329">
        <v>187.78</v>
      </c>
      <c r="J43" s="329">
        <v>207.93</v>
      </c>
      <c r="K43" s="329">
        <v>241.31</v>
      </c>
      <c r="L43" s="329">
        <v>250.05</v>
      </c>
      <c r="M43" s="329">
        <v>281.66000000000003</v>
      </c>
      <c r="N43" s="329">
        <v>294.98</v>
      </c>
      <c r="O43" s="329">
        <v>315.26</v>
      </c>
      <c r="P43" s="329">
        <v>315.23</v>
      </c>
      <c r="Q43" s="329">
        <v>311.73</v>
      </c>
      <c r="R43" s="329">
        <v>368.37</v>
      </c>
      <c r="S43" s="329">
        <v>528.44000000000005</v>
      </c>
      <c r="T43" s="329">
        <v>723.1</v>
      </c>
      <c r="U43" s="329">
        <v>855.88</v>
      </c>
      <c r="V43" s="326">
        <v>858.86</v>
      </c>
      <c r="W43" s="326">
        <v>885.82</v>
      </c>
    </row>
    <row r="44" spans="1:23" s="331" customFormat="1">
      <c r="A44" s="330" t="s">
        <v>552</v>
      </c>
      <c r="D44" s="331">
        <v>134.16</v>
      </c>
      <c r="E44" s="331">
        <v>305.26</v>
      </c>
      <c r="F44" s="331">
        <v>359.23</v>
      </c>
      <c r="G44" s="332">
        <v>406.28</v>
      </c>
      <c r="H44" s="332">
        <v>19.22</v>
      </c>
      <c r="I44" s="332">
        <v>61.85</v>
      </c>
      <c r="J44" s="332">
        <v>85.22</v>
      </c>
      <c r="K44" s="332">
        <v>129.08000000000001</v>
      </c>
      <c r="L44" s="332">
        <v>16.3</v>
      </c>
      <c r="M44" s="332">
        <v>39.71</v>
      </c>
      <c r="N44" s="332">
        <v>86.69</v>
      </c>
      <c r="O44" s="332">
        <v>99</v>
      </c>
      <c r="P44" s="332">
        <v>11.64</v>
      </c>
      <c r="Q44" s="332">
        <v>52.34</v>
      </c>
      <c r="R44" s="332">
        <v>111.68</v>
      </c>
      <c r="S44" s="332">
        <v>191.22</v>
      </c>
      <c r="T44" s="332">
        <v>211.09</v>
      </c>
      <c r="U44" s="332">
        <v>319.76</v>
      </c>
      <c r="V44" s="331">
        <v>387.65</v>
      </c>
      <c r="W44" s="331">
        <v>409.18</v>
      </c>
    </row>
    <row r="45" spans="1:23" s="326" customFormat="1">
      <c r="A45" s="333" t="s">
        <v>553</v>
      </c>
      <c r="D45" s="326">
        <f>87.98+11.02</f>
        <v>99</v>
      </c>
      <c r="E45" s="326">
        <f>E44-E46</f>
        <v>250.76999999999998</v>
      </c>
      <c r="F45" s="326">
        <f>F44-F46</f>
        <v>298.25</v>
      </c>
      <c r="G45" s="326">
        <f>G44-G46</f>
        <v>332.60999999999996</v>
      </c>
      <c r="H45" s="329">
        <v>3.69</v>
      </c>
      <c r="I45" s="329">
        <f>24.57+7.73</f>
        <v>32.299999999999997</v>
      </c>
      <c r="J45" s="329">
        <v>9.39</v>
      </c>
      <c r="K45" s="329"/>
      <c r="L45" s="329">
        <v>0</v>
      </c>
      <c r="M45" s="329"/>
      <c r="N45" s="329"/>
      <c r="O45" s="329"/>
      <c r="P45" s="329"/>
      <c r="Q45" s="329"/>
      <c r="R45" s="329">
        <v>26.46</v>
      </c>
      <c r="S45" s="329">
        <v>39.93</v>
      </c>
      <c r="T45" s="329">
        <f>64.62+33.17+29.85</f>
        <v>127.64000000000001</v>
      </c>
      <c r="U45" s="329">
        <f>64.62+33.17+14.15+39.98+29.85</f>
        <v>181.77</v>
      </c>
      <c r="W45" s="326">
        <f>74.56+48+39.98+29.85+27.57+23.16</f>
        <v>243.11999999999998</v>
      </c>
    </row>
    <row r="46" spans="1:23" s="335" customFormat="1">
      <c r="A46" s="334" t="s">
        <v>554</v>
      </c>
      <c r="D46" s="335">
        <v>35.159999999999997</v>
      </c>
      <c r="E46" s="335">
        <v>54.49</v>
      </c>
      <c r="F46" s="335">
        <v>60.98</v>
      </c>
      <c r="G46" s="336">
        <v>73.67</v>
      </c>
      <c r="H46" s="336">
        <v>15.53</v>
      </c>
      <c r="I46" s="336">
        <v>29.55</v>
      </c>
      <c r="J46" s="336">
        <v>43.53</v>
      </c>
      <c r="K46" s="336"/>
      <c r="L46" s="336">
        <v>16.3</v>
      </c>
      <c r="M46" s="336">
        <v>39.71</v>
      </c>
      <c r="N46" s="336"/>
      <c r="O46" s="336"/>
      <c r="P46" s="336">
        <v>11.64</v>
      </c>
      <c r="Q46" s="336">
        <v>52.34</v>
      </c>
      <c r="R46" s="336">
        <v>85.22</v>
      </c>
      <c r="S46" s="336">
        <v>151.29</v>
      </c>
      <c r="T46" s="336">
        <v>83.45</v>
      </c>
      <c r="U46" s="336">
        <v>137.99</v>
      </c>
      <c r="V46" s="337"/>
      <c r="W46" s="336">
        <v>166.06</v>
      </c>
    </row>
    <row r="47" spans="1:23" s="326" customFormat="1">
      <c r="A47" s="333" t="s">
        <v>555</v>
      </c>
      <c r="D47" s="326">
        <v>-4.07</v>
      </c>
      <c r="E47" s="326">
        <v>-4.29</v>
      </c>
      <c r="F47" s="326">
        <v>-4.68</v>
      </c>
      <c r="G47" s="329">
        <v>-16.38</v>
      </c>
      <c r="H47" s="329">
        <v>-0.75</v>
      </c>
      <c r="I47" s="329">
        <v>-6.06</v>
      </c>
      <c r="J47" s="329">
        <v>-6.34</v>
      </c>
      <c r="K47" s="329">
        <v>-15.91</v>
      </c>
      <c r="L47" s="329">
        <v>-0.27</v>
      </c>
      <c r="M47" s="329">
        <v>-16.78</v>
      </c>
      <c r="N47" s="329">
        <v>-18.41</v>
      </c>
      <c r="O47" s="329">
        <v>-17.059999999999999</v>
      </c>
      <c r="P47" s="329">
        <v>-0.31</v>
      </c>
      <c r="Q47" s="329">
        <v>-7.9</v>
      </c>
      <c r="R47" s="329">
        <v>-9.6300000000000008</v>
      </c>
      <c r="S47" s="329">
        <v>-12.77</v>
      </c>
      <c r="T47" s="329">
        <v>16.05</v>
      </c>
      <c r="U47" s="329">
        <v>-9.59</v>
      </c>
      <c r="V47" s="326">
        <v>-132.07</v>
      </c>
      <c r="W47" s="326">
        <v>-140.69</v>
      </c>
    </row>
    <row r="48" spans="1:23" s="326" customFormat="1">
      <c r="A48" s="333" t="s">
        <v>556</v>
      </c>
      <c r="D48" s="326">
        <v>-1.92</v>
      </c>
      <c r="E48" s="326">
        <v>-2.61</v>
      </c>
      <c r="F48" s="326">
        <v>-2.61</v>
      </c>
      <c r="G48" s="329">
        <v>-2.78</v>
      </c>
      <c r="H48" s="329">
        <v>0</v>
      </c>
      <c r="I48" s="329">
        <v>-32.590000000000003</v>
      </c>
      <c r="J48" s="329">
        <v>-38.270000000000003</v>
      </c>
      <c r="K48" s="329">
        <v>-43.86</v>
      </c>
      <c r="L48" s="329">
        <v>-0.14000000000000001</v>
      </c>
      <c r="M48" s="329">
        <v>-2.11</v>
      </c>
      <c r="N48" s="329">
        <v>-22.56</v>
      </c>
      <c r="O48" s="329">
        <v>-21.17</v>
      </c>
      <c r="P48" s="329">
        <v>-0.36</v>
      </c>
      <c r="Q48" s="329">
        <v>1.86</v>
      </c>
      <c r="R48" s="329">
        <v>4.5599999999999996</v>
      </c>
      <c r="S48" s="329">
        <f>-2.53+208.25</f>
        <v>205.72</v>
      </c>
      <c r="T48" s="329">
        <f>-4.14+3.63</f>
        <v>-0.50999999999999979</v>
      </c>
      <c r="U48" s="329">
        <f>50.2-6.61</f>
        <v>43.59</v>
      </c>
      <c r="V48" s="326">
        <f>686.56</f>
        <v>686.56</v>
      </c>
      <c r="W48" s="326">
        <f>715.93-7.25</f>
        <v>708.68</v>
      </c>
    </row>
    <row r="49" spans="1:24" s="335" customFormat="1">
      <c r="A49" s="334" t="s">
        <v>557</v>
      </c>
      <c r="D49" s="336">
        <f>D41-(C41+D44+D47+D48+D50)</f>
        <v>-0.59000000000003183</v>
      </c>
      <c r="E49" s="336">
        <f>E41-(C41+E44+E47+E48+E50)</f>
        <v>1.3700000000000614</v>
      </c>
      <c r="F49" s="336">
        <f>F41-(C41+F44+F47+F48+F50)</f>
        <v>26.330000000000041</v>
      </c>
      <c r="G49" s="336">
        <f>G41-(C41+G44+G47+G48+G50)</f>
        <v>6.8599999999999</v>
      </c>
      <c r="H49" s="336">
        <f>H41-(G41+H44+H47+H48+H50)</f>
        <v>3.0000000000086402E-2</v>
      </c>
      <c r="I49" s="336">
        <f>I41-(G41+I44+I47+I48+I50)</f>
        <v>0.5300000000000864</v>
      </c>
      <c r="J49" s="336">
        <f>J41-(G41+J44+J47+J48+J50)</f>
        <v>3.9099999999999682</v>
      </c>
      <c r="K49" s="336">
        <f>K41-(G41+K44+K47+K48+K50)</f>
        <v>-7.7899999999999636</v>
      </c>
      <c r="L49" s="336">
        <f>L41-(K41+L44+L47+L48+L50)</f>
        <v>-7.4900000000000091</v>
      </c>
      <c r="M49" s="336">
        <f>M41-(K41+M44+M47+M48+M50)</f>
        <v>7.3899999999999864</v>
      </c>
      <c r="N49" s="336">
        <f>N41-(K41+N44+N47+N48+N50)</f>
        <v>4.029999999999859</v>
      </c>
      <c r="O49" s="336">
        <f>O41-(K41+O44+O47+O48+O50)</f>
        <v>2.5399999999999636</v>
      </c>
      <c r="P49" s="336">
        <f>P41-(O41+P44+P47+P48+P50)</f>
        <v>-1.6900000000000546</v>
      </c>
      <c r="Q49" s="336">
        <f>Q41-(O41+Q44+Q47+Q48+Q50)</f>
        <v>26.699999999999818</v>
      </c>
      <c r="R49" s="336">
        <f>R41-(O41+R44+R47+R48+R50)</f>
        <v>46.399999999999864</v>
      </c>
      <c r="S49" s="336">
        <f>S41-(O41+S44+S47+S48+S50)</f>
        <v>112.16999999999985</v>
      </c>
      <c r="T49" s="336">
        <f>T41-(S41+T44+T47+T48+T50)</f>
        <v>3.7100000000002638</v>
      </c>
      <c r="U49" s="336">
        <f>U41-(S41+U44+U47+U48+U50)</f>
        <v>26.370000000000118</v>
      </c>
      <c r="V49" s="336">
        <f>V41-(S41+V44+V47+V48+V50)</f>
        <v>32.170000000000073</v>
      </c>
      <c r="W49" s="336">
        <f>W41-(S41+W44+W47+W48+W50)</f>
        <v>49.389999999999873</v>
      </c>
      <c r="X49" s="336"/>
    </row>
    <row r="50" spans="1:24" s="326" customFormat="1">
      <c r="A50" s="333" t="s">
        <v>558</v>
      </c>
      <c r="D50" s="329"/>
      <c r="E50" s="329">
        <v>-0.79</v>
      </c>
      <c r="F50" s="329">
        <v>-1.8</v>
      </c>
      <c r="G50" s="329">
        <v>-4.37</v>
      </c>
      <c r="H50" s="329">
        <v>1.8</v>
      </c>
      <c r="I50" s="329">
        <v>-0.57999999999999996</v>
      </c>
      <c r="J50" s="329">
        <v>18.48</v>
      </c>
      <c r="K50" s="329">
        <v>28.88</v>
      </c>
      <c r="L50" s="329">
        <v>-2.64</v>
      </c>
      <c r="M50" s="329">
        <v>11</v>
      </c>
      <c r="N50" s="329">
        <v>14.67</v>
      </c>
      <c r="O50" s="329">
        <v>35.4</v>
      </c>
      <c r="P50" s="329">
        <v>-9.8699999999999992</v>
      </c>
      <c r="Q50" s="329">
        <v>-31.4</v>
      </c>
      <c r="R50" s="329">
        <v>-39.28</v>
      </c>
      <c r="S50" s="329">
        <v>-58.97</v>
      </c>
      <c r="T50" s="329">
        <v>-16.95</v>
      </c>
      <c r="U50" s="329">
        <v>10.1</v>
      </c>
      <c r="V50" s="329">
        <v>29.68</v>
      </c>
      <c r="W50" s="329">
        <v>27.8</v>
      </c>
    </row>
    <row r="51" spans="1:24" s="326" customFormat="1">
      <c r="A51" s="333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</row>
    <row r="52" spans="1:24" s="326" customFormat="1">
      <c r="A52" s="328" t="s">
        <v>559</v>
      </c>
      <c r="C52" s="326">
        <v>11.19</v>
      </c>
      <c r="D52" s="326">
        <v>9.7200000000000006</v>
      </c>
      <c r="E52" s="326">
        <v>9.34</v>
      </c>
      <c r="F52" s="326">
        <v>28.83</v>
      </c>
      <c r="G52" s="329">
        <v>29.41</v>
      </c>
      <c r="H52" s="329">
        <v>42.76</v>
      </c>
      <c r="I52" s="329">
        <v>47.76</v>
      </c>
      <c r="J52" s="329">
        <v>57.67</v>
      </c>
      <c r="K52" s="329">
        <v>62.3</v>
      </c>
      <c r="L52" s="329">
        <v>70.150000000000006</v>
      </c>
      <c r="M52" s="329">
        <v>82.03</v>
      </c>
      <c r="N52" s="329">
        <v>91.24</v>
      </c>
      <c r="O52" s="329">
        <v>96.27</v>
      </c>
      <c r="P52" s="329">
        <f>P25</f>
        <v>141.61000000000001</v>
      </c>
      <c r="Q52" s="329">
        <f>Q25</f>
        <v>237.89</v>
      </c>
      <c r="R52" s="329">
        <f>R25</f>
        <v>234.89</v>
      </c>
      <c r="S52" s="329">
        <f t="shared" ref="S52:U52" si="26">S25</f>
        <v>229.76</v>
      </c>
      <c r="T52" s="329">
        <f t="shared" si="26"/>
        <v>0</v>
      </c>
      <c r="U52" s="329">
        <f t="shared" si="26"/>
        <v>0</v>
      </c>
    </row>
    <row r="53" spans="1:24" s="326" customFormat="1">
      <c r="A53" s="333" t="s">
        <v>560</v>
      </c>
      <c r="H53" s="326">
        <v>9.2100000000000009</v>
      </c>
      <c r="I53" s="329">
        <v>9.2100000000000009</v>
      </c>
      <c r="J53" s="329">
        <v>9.2100000000000009</v>
      </c>
      <c r="K53" s="329"/>
      <c r="L53" s="329">
        <v>8.84</v>
      </c>
      <c r="M53" s="329">
        <v>19.7</v>
      </c>
      <c r="N53" s="329">
        <v>37.99</v>
      </c>
      <c r="O53" s="329">
        <v>36.28</v>
      </c>
      <c r="P53" s="329">
        <v>47.47</v>
      </c>
      <c r="Q53" s="329">
        <v>152.19999999999999</v>
      </c>
      <c r="R53" s="329">
        <v>154.84</v>
      </c>
      <c r="S53" s="329">
        <v>184.87</v>
      </c>
      <c r="T53" s="329"/>
      <c r="U53" s="329"/>
    </row>
    <row r="54" spans="1:24" s="326" customFormat="1">
      <c r="A54" s="333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38"/>
      <c r="W54" s="338"/>
    </row>
    <row r="55" spans="1:24" s="326" customFormat="1">
      <c r="A55" s="333"/>
      <c r="C55" s="326">
        <v>125.15</v>
      </c>
      <c r="D55" s="339"/>
      <c r="E55" s="339"/>
      <c r="F55" s="338"/>
      <c r="G55" s="339"/>
      <c r="H55" s="339"/>
      <c r="I55" s="339"/>
      <c r="J55" s="339"/>
      <c r="K55" s="338"/>
      <c r="L55" s="339"/>
      <c r="M55" s="339"/>
      <c r="N55" s="339"/>
      <c r="O55" s="339"/>
      <c r="P55" s="339"/>
      <c r="Q55" s="339"/>
      <c r="R55" s="339"/>
      <c r="S55" s="339"/>
      <c r="T55" s="339"/>
      <c r="U55" s="339"/>
    </row>
    <row r="56" spans="1:24" s="335" customFormat="1">
      <c r="A56" s="335" t="s">
        <v>561</v>
      </c>
      <c r="B56" s="336">
        <f>B22+B21+B20+B24</f>
        <v>41.26878</v>
      </c>
      <c r="D56" s="336">
        <f t="shared" ref="D56:S56" si="27">D20+D21+D22+D24+D25+D26</f>
        <v>142.78</v>
      </c>
      <c r="E56" s="336">
        <f t="shared" si="27"/>
        <v>141.80000000000001</v>
      </c>
      <c r="F56" s="336">
        <f t="shared" si="27"/>
        <v>137.35</v>
      </c>
      <c r="G56" s="336">
        <f t="shared" si="27"/>
        <v>162.18</v>
      </c>
      <c r="H56" s="336">
        <f t="shared" si="27"/>
        <v>214.47</v>
      </c>
      <c r="I56" s="336">
        <f t="shared" si="27"/>
        <v>311.45999999999998</v>
      </c>
      <c r="J56" s="336">
        <f t="shared" si="27"/>
        <v>372.13</v>
      </c>
      <c r="K56" s="336">
        <f t="shared" si="27"/>
        <v>505.69</v>
      </c>
      <c r="L56" s="336">
        <f t="shared" si="27"/>
        <v>505.03999999999996</v>
      </c>
      <c r="M56" s="336">
        <f t="shared" si="27"/>
        <v>630.29999999999995</v>
      </c>
      <c r="N56" s="336">
        <f t="shared" si="27"/>
        <v>653.35</v>
      </c>
      <c r="O56" s="336">
        <f t="shared" si="27"/>
        <v>951.93</v>
      </c>
      <c r="P56" s="336">
        <f t="shared" si="27"/>
        <v>1135.01</v>
      </c>
      <c r="Q56" s="336">
        <f t="shared" si="27"/>
        <v>1349.3899999999999</v>
      </c>
      <c r="R56" s="336">
        <f t="shared" si="27"/>
        <v>1531.2000000000003</v>
      </c>
      <c r="S56" s="336">
        <f t="shared" si="27"/>
        <v>1553.53</v>
      </c>
      <c r="T56" s="336">
        <f>T20+T21+T22+T24+T25+T26</f>
        <v>1842.1100000000001</v>
      </c>
      <c r="U56" s="336">
        <f t="shared" ref="U56:W56" si="28">U20+U21+U22+U24+U25+U26</f>
        <v>1911.79</v>
      </c>
      <c r="V56" s="336">
        <f t="shared" si="28"/>
        <v>1436.1399999999999</v>
      </c>
      <c r="W56" s="336">
        <f t="shared" si="28"/>
        <v>1369.14</v>
      </c>
    </row>
    <row r="57" spans="1:24" s="326" customFormat="1">
      <c r="A57" s="328" t="s">
        <v>562</v>
      </c>
      <c r="D57" s="326">
        <v>70.48</v>
      </c>
      <c r="E57" s="326">
        <v>51.69</v>
      </c>
      <c r="F57" s="326">
        <v>46.41</v>
      </c>
      <c r="G57" s="329">
        <v>36.31</v>
      </c>
      <c r="H57" s="329">
        <v>55.94</v>
      </c>
      <c r="I57" s="329">
        <v>64.430000000000007</v>
      </c>
      <c r="J57" s="329">
        <v>80.14</v>
      </c>
      <c r="K57" s="329">
        <v>94.35</v>
      </c>
      <c r="L57" s="329">
        <v>79.58</v>
      </c>
      <c r="M57" s="329">
        <v>180.57</v>
      </c>
      <c r="N57" s="329">
        <v>195.77</v>
      </c>
      <c r="O57" s="329">
        <v>204.77</v>
      </c>
      <c r="P57" s="329">
        <v>341.51</v>
      </c>
      <c r="Q57" s="329">
        <v>397.19</v>
      </c>
      <c r="R57" s="329">
        <v>523.14</v>
      </c>
      <c r="S57" s="329">
        <v>538.79999999999995</v>
      </c>
      <c r="T57" s="329"/>
      <c r="U57" s="329"/>
    </row>
    <row r="58" spans="1:24" s="326" customFormat="1">
      <c r="A58" s="333" t="s">
        <v>563</v>
      </c>
      <c r="G58" s="329"/>
      <c r="H58" s="329">
        <v>7.54</v>
      </c>
      <c r="I58" s="329">
        <v>19.75</v>
      </c>
      <c r="J58" s="329">
        <v>19.75</v>
      </c>
      <c r="K58" s="329">
        <v>33.57</v>
      </c>
      <c r="L58" s="329">
        <v>18.010000000000002</v>
      </c>
      <c r="M58" s="329"/>
      <c r="N58" s="329"/>
      <c r="O58" s="329"/>
      <c r="P58" s="329"/>
      <c r="Q58" s="329"/>
      <c r="R58" s="329"/>
      <c r="S58" s="329"/>
      <c r="T58" s="329"/>
      <c r="U58" s="329"/>
    </row>
    <row r="59" spans="1:24" s="335" customFormat="1">
      <c r="A59" s="334" t="s">
        <v>564</v>
      </c>
      <c r="G59" s="336"/>
      <c r="H59" s="336">
        <v>9.2100000000000009</v>
      </c>
      <c r="I59" s="336">
        <v>9.2100000000000009</v>
      </c>
      <c r="J59" s="336">
        <f>12.8+9.21</f>
        <v>22.01</v>
      </c>
      <c r="K59" s="336">
        <f>12.8+9.21</f>
        <v>22.01</v>
      </c>
      <c r="L59" s="336">
        <v>0</v>
      </c>
      <c r="M59" s="336"/>
      <c r="N59" s="336"/>
      <c r="O59" s="336"/>
      <c r="P59" s="336"/>
      <c r="Q59" s="336"/>
      <c r="R59" s="336"/>
      <c r="S59" s="336"/>
      <c r="T59" s="336"/>
      <c r="U59" s="336"/>
    </row>
    <row r="60" spans="1:24" s="326" customFormat="1">
      <c r="A60" s="328" t="s">
        <v>565</v>
      </c>
      <c r="D60" s="326">
        <f>D56-D57-D64</f>
        <v>51.58</v>
      </c>
      <c r="E60" s="326">
        <f>E56-E57-E64</f>
        <v>62.980000000000018</v>
      </c>
      <c r="F60" s="326">
        <v>90.94</v>
      </c>
      <c r="G60" s="329">
        <v>96.46</v>
      </c>
      <c r="H60" s="329">
        <v>115.77</v>
      </c>
      <c r="I60" s="329">
        <v>199.03</v>
      </c>
      <c r="J60" s="329">
        <v>234.07</v>
      </c>
      <c r="K60" s="329">
        <v>348.79</v>
      </c>
      <c r="L60" s="329">
        <v>355.06</v>
      </c>
      <c r="M60" s="329">
        <v>366.01</v>
      </c>
      <c r="N60" s="329">
        <v>365.45</v>
      </c>
      <c r="O60" s="329">
        <v>625.79999999999995</v>
      </c>
      <c r="P60" s="329">
        <v>617.39</v>
      </c>
      <c r="Q60" s="329">
        <v>657.32</v>
      </c>
      <c r="R60" s="329">
        <v>697.91</v>
      </c>
      <c r="S60" s="329">
        <v>709.62</v>
      </c>
      <c r="T60" s="329"/>
      <c r="U60" s="329">
        <f>13.13+4.17+5.67</f>
        <v>22.97</v>
      </c>
    </row>
    <row r="61" spans="1:24" s="326" customFormat="1">
      <c r="A61" s="333" t="s">
        <v>566</v>
      </c>
      <c r="F61" s="326">
        <v>19.309999999999999</v>
      </c>
      <c r="G61" s="329">
        <v>27.53</v>
      </c>
      <c r="H61" s="329">
        <v>8.08</v>
      </c>
      <c r="I61" s="329">
        <v>55.65</v>
      </c>
      <c r="J61" s="329">
        <v>41.4</v>
      </c>
      <c r="K61" s="329">
        <v>142.97999999999999</v>
      </c>
      <c r="L61" s="329">
        <v>8.9</v>
      </c>
      <c r="M61" s="329"/>
      <c r="N61" s="329"/>
      <c r="O61" s="329"/>
      <c r="P61" s="329"/>
      <c r="Q61" s="329"/>
      <c r="R61" s="329"/>
      <c r="S61" s="329"/>
      <c r="T61" s="329"/>
      <c r="U61" s="329"/>
    </row>
    <row r="62" spans="1:24" s="335" customFormat="1">
      <c r="A62" s="334" t="s">
        <v>554</v>
      </c>
      <c r="F62" s="335">
        <v>19.309999999999999</v>
      </c>
      <c r="G62" s="336">
        <v>27.53</v>
      </c>
      <c r="H62" s="336">
        <v>8.08</v>
      </c>
      <c r="I62" s="336">
        <v>55.65</v>
      </c>
      <c r="J62" s="336">
        <v>41.4</v>
      </c>
      <c r="K62" s="336"/>
      <c r="L62" s="336">
        <v>8.9</v>
      </c>
      <c r="M62" s="336"/>
      <c r="N62" s="336"/>
      <c r="O62" s="336"/>
      <c r="P62" s="336"/>
      <c r="Q62" s="336"/>
      <c r="R62" s="336"/>
      <c r="S62" s="336"/>
      <c r="T62" s="336"/>
      <c r="U62" s="336"/>
    </row>
    <row r="63" spans="1:24" s="341" customFormat="1">
      <c r="A63" s="340" t="s">
        <v>567</v>
      </c>
      <c r="G63" s="342">
        <v>0</v>
      </c>
      <c r="H63" s="342"/>
      <c r="I63" s="342">
        <v>0.24</v>
      </c>
      <c r="J63" s="342">
        <v>0.25</v>
      </c>
      <c r="K63" s="342">
        <v>0.25</v>
      </c>
      <c r="L63" s="342">
        <v>0.25</v>
      </c>
      <c r="M63" s="342">
        <v>1.69</v>
      </c>
      <c r="N63" s="342">
        <v>0.89</v>
      </c>
      <c r="O63" s="342">
        <v>7.49</v>
      </c>
      <c r="P63" s="342">
        <v>16.37</v>
      </c>
      <c r="Q63" s="342">
        <v>16.66</v>
      </c>
      <c r="R63" s="342">
        <v>18.600000000000001</v>
      </c>
      <c r="S63" s="342">
        <v>23.76</v>
      </c>
      <c r="T63" s="342"/>
      <c r="U63" s="342"/>
    </row>
    <row r="64" spans="1:24" s="326" customFormat="1">
      <c r="A64" s="333" t="s">
        <v>568</v>
      </c>
      <c r="D64" s="326">
        <v>20.72</v>
      </c>
      <c r="E64" s="326">
        <v>27.13</v>
      </c>
      <c r="F64" s="326">
        <v>19.309999999999999</v>
      </c>
      <c r="G64" s="326">
        <v>27.53</v>
      </c>
      <c r="H64" s="333">
        <f>H107</f>
        <v>17.29</v>
      </c>
      <c r="I64" s="343">
        <f>H64+I107</f>
        <v>64.86</v>
      </c>
      <c r="J64" s="343">
        <f>I64+J107</f>
        <v>63.410000000000004</v>
      </c>
      <c r="K64" s="343">
        <f>J64+K107</f>
        <v>164.98999999999998</v>
      </c>
      <c r="L64" s="329">
        <v>8.9</v>
      </c>
      <c r="M64" s="326">
        <v>72.12</v>
      </c>
      <c r="N64" s="326">
        <v>75.55</v>
      </c>
      <c r="O64" s="326">
        <v>373.19</v>
      </c>
      <c r="P64" s="326">
        <v>103.13</v>
      </c>
      <c r="Q64" s="326">
        <v>128.61000000000001</v>
      </c>
      <c r="R64" s="326">
        <v>306.20999999999998</v>
      </c>
      <c r="S64" s="326">
        <v>570.08000000000004</v>
      </c>
      <c r="T64" s="326">
        <f>T80</f>
        <v>195.42</v>
      </c>
      <c r="U64" s="326">
        <f t="shared" ref="U64:V64" si="29">U80</f>
        <v>334.44</v>
      </c>
      <c r="V64" s="326">
        <f t="shared" si="29"/>
        <v>506.25</v>
      </c>
    </row>
    <row r="65" spans="1:23" s="326" customFormat="1">
      <c r="A65" s="333" t="s">
        <v>563</v>
      </c>
      <c r="D65" s="326">
        <v>-0.71</v>
      </c>
      <c r="M65" s="326">
        <v>67.959999999999994</v>
      </c>
      <c r="N65" s="326">
        <v>40.700000000000003</v>
      </c>
      <c r="O65" s="326">
        <v>25.67</v>
      </c>
      <c r="P65" s="326">
        <v>72.12</v>
      </c>
      <c r="Q65" s="326">
        <v>174.45</v>
      </c>
      <c r="R65" s="326">
        <v>193.41</v>
      </c>
      <c r="S65" s="326">
        <v>167.64</v>
      </c>
    </row>
    <row r="66" spans="1:23" s="335" customFormat="1">
      <c r="A66" s="334" t="s">
        <v>569</v>
      </c>
      <c r="L66" s="335">
        <v>0.2</v>
      </c>
      <c r="M66" s="335">
        <v>-0.08</v>
      </c>
      <c r="N66" s="335">
        <v>-6.27</v>
      </c>
      <c r="O66" s="335">
        <v>-27.55</v>
      </c>
      <c r="P66" s="335">
        <v>-29.68</v>
      </c>
      <c r="Q66" s="335">
        <v>-41.18</v>
      </c>
      <c r="R66" s="335">
        <v>-47.96</v>
      </c>
      <c r="S66" s="335">
        <v>-235.42</v>
      </c>
    </row>
    <row r="67" spans="1:23" s="326" customFormat="1">
      <c r="A67" s="333" t="s">
        <v>570</v>
      </c>
      <c r="D67" s="326">
        <v>-0.37</v>
      </c>
      <c r="E67" s="326">
        <v>7.3</v>
      </c>
      <c r="F67" s="326">
        <v>-9.59</v>
      </c>
      <c r="G67" s="326">
        <f>-17.05-F67-E67-D67</f>
        <v>-14.390000000000002</v>
      </c>
      <c r="H67" s="326">
        <v>17.64</v>
      </c>
      <c r="I67" s="326">
        <v>47.95</v>
      </c>
      <c r="J67" s="326">
        <v>12.98</v>
      </c>
      <c r="K67" s="326">
        <f>125.75-J67-I67-H67</f>
        <v>47.179999999999993</v>
      </c>
      <c r="L67" s="326">
        <v>-16.53</v>
      </c>
      <c r="M67" s="326">
        <v>49.79</v>
      </c>
      <c r="N67" s="326">
        <v>10.42</v>
      </c>
      <c r="O67" s="326">
        <f>29.29-N67-M67-L67</f>
        <v>-14.39</v>
      </c>
      <c r="P67" s="326">
        <v>72.260000000000005</v>
      </c>
      <c r="Q67" s="326">
        <v>101.9</v>
      </c>
      <c r="R67" s="326">
        <v>18.95</v>
      </c>
      <c r="S67" s="326">
        <v>168.54</v>
      </c>
      <c r="T67" s="329">
        <v>10.7</v>
      </c>
      <c r="U67" s="326">
        <v>-5.35</v>
      </c>
      <c r="V67" s="326">
        <v>-78.64</v>
      </c>
    </row>
    <row r="68" spans="1:23" s="326" customFormat="1">
      <c r="A68" s="333" t="s">
        <v>571</v>
      </c>
      <c r="D68" s="326">
        <v>0</v>
      </c>
      <c r="E68" s="326">
        <v>0</v>
      </c>
      <c r="F68" s="326">
        <v>0</v>
      </c>
      <c r="G68" s="326">
        <v>0</v>
      </c>
      <c r="H68" s="326">
        <v>0</v>
      </c>
      <c r="I68" s="326">
        <v>0</v>
      </c>
      <c r="J68" s="326">
        <v>0</v>
      </c>
      <c r="K68" s="326">
        <v>0</v>
      </c>
      <c r="L68" s="326">
        <v>0</v>
      </c>
      <c r="M68" s="326">
        <v>0.79</v>
      </c>
      <c r="N68" s="326">
        <v>0</v>
      </c>
      <c r="O68" s="326">
        <f>-11.76-M68</f>
        <v>-12.55</v>
      </c>
      <c r="P68" s="326">
        <v>-18.32</v>
      </c>
      <c r="Q68" s="326">
        <v>0</v>
      </c>
      <c r="R68" s="326">
        <v>-1.76</v>
      </c>
      <c r="S68" s="326">
        <v>-25.61</v>
      </c>
    </row>
    <row r="69" spans="1:23" s="326" customFormat="1">
      <c r="A69" s="333" t="s">
        <v>558</v>
      </c>
      <c r="E69" s="326">
        <v>-0.32</v>
      </c>
      <c r="M69" s="326">
        <v>9.0299999999999994</v>
      </c>
      <c r="N69" s="326">
        <v>12.28</v>
      </c>
      <c r="O69" s="326">
        <v>33.64</v>
      </c>
      <c r="P69" s="326">
        <v>-4.7</v>
      </c>
      <c r="Q69" s="326">
        <v>-22.81</v>
      </c>
      <c r="R69" s="326">
        <v>-43.36</v>
      </c>
      <c r="S69" s="326">
        <v>-61.47</v>
      </c>
    </row>
    <row r="70" spans="1:23" s="326" customFormat="1">
      <c r="A70" s="333"/>
    </row>
    <row r="71" spans="1:23" s="326" customFormat="1">
      <c r="A71" s="333" t="s">
        <v>572</v>
      </c>
      <c r="D71" s="326">
        <v>0.17</v>
      </c>
      <c r="E71" s="326">
        <v>-0.11</v>
      </c>
      <c r="F71" s="326">
        <v>-0.15</v>
      </c>
      <c r="G71" s="326">
        <f>-2.89-F71-E71-D71</f>
        <v>-2.8000000000000003</v>
      </c>
      <c r="H71" s="326">
        <v>1.87</v>
      </c>
      <c r="I71" s="326">
        <v>-3.67</v>
      </c>
      <c r="J71" s="326">
        <v>13.03</v>
      </c>
      <c r="K71" s="326">
        <f>19.75-J71-I71-H71</f>
        <v>8.52</v>
      </c>
      <c r="L71" s="326">
        <v>-2.14</v>
      </c>
      <c r="M71" s="326">
        <v>13.08</v>
      </c>
      <c r="N71" s="326">
        <v>6.88</v>
      </c>
      <c r="O71" s="326">
        <f>41.98-N71-M71-L71</f>
        <v>24.159999999999997</v>
      </c>
      <c r="P71" s="326">
        <v>-9.85</v>
      </c>
      <c r="Q71" s="326">
        <v>-32.32</v>
      </c>
      <c r="R71" s="326">
        <v>-23.38</v>
      </c>
      <c r="S71" s="326">
        <v>-93.16</v>
      </c>
      <c r="T71" s="326">
        <v>-53.79</v>
      </c>
      <c r="U71" s="326">
        <v>55.79</v>
      </c>
      <c r="V71" s="326">
        <v>44.62</v>
      </c>
    </row>
    <row r="72" spans="1:23" s="326" customFormat="1"/>
    <row r="73" spans="1:23" s="335" customFormat="1">
      <c r="A73" s="335" t="s">
        <v>573</v>
      </c>
      <c r="B73" s="344">
        <f t="shared" ref="B73:R73" si="30">B19</f>
        <v>0.74541999999999997</v>
      </c>
      <c r="C73" s="344"/>
      <c r="D73" s="344">
        <f t="shared" si="30"/>
        <v>0.19</v>
      </c>
      <c r="E73" s="344">
        <f t="shared" si="30"/>
        <v>0.18</v>
      </c>
      <c r="F73" s="344">
        <f t="shared" si="30"/>
        <v>0.18</v>
      </c>
      <c r="G73" s="344">
        <f t="shared" si="30"/>
        <v>0.63</v>
      </c>
      <c r="H73" s="344">
        <f t="shared" si="30"/>
        <v>5.63</v>
      </c>
      <c r="I73" s="344">
        <f t="shared" si="30"/>
        <v>5.66</v>
      </c>
      <c r="J73" s="344">
        <f t="shared" si="30"/>
        <v>5.54</v>
      </c>
      <c r="K73" s="344">
        <f t="shared" si="30"/>
        <v>5.44</v>
      </c>
      <c r="L73" s="344">
        <f t="shared" si="30"/>
        <v>5.37</v>
      </c>
      <c r="M73" s="344">
        <f t="shared" si="30"/>
        <v>5.73</v>
      </c>
      <c r="N73" s="344">
        <f t="shared" si="30"/>
        <v>6.06</v>
      </c>
      <c r="O73" s="344">
        <f t="shared" si="30"/>
        <v>6.3</v>
      </c>
      <c r="P73" s="344">
        <f t="shared" si="30"/>
        <v>6.96</v>
      </c>
      <c r="Q73" s="344">
        <f t="shared" si="30"/>
        <v>7.15</v>
      </c>
      <c r="R73" s="344">
        <f t="shared" si="30"/>
        <v>9.48</v>
      </c>
      <c r="S73" s="344">
        <f>S19</f>
        <v>78.260000000000005</v>
      </c>
      <c r="T73" s="344">
        <f t="shared" ref="T73:W73" si="31">T19</f>
        <v>55.98</v>
      </c>
      <c r="U73" s="344">
        <f t="shared" si="31"/>
        <v>66.180000000000007</v>
      </c>
      <c r="V73" s="344">
        <f t="shared" si="31"/>
        <v>86.24</v>
      </c>
      <c r="W73" s="344">
        <f t="shared" si="31"/>
        <v>85.75</v>
      </c>
    </row>
    <row r="74" spans="1:23" s="326" customFormat="1"/>
    <row r="75" spans="1:23" s="335" customFormat="1">
      <c r="A75" s="335" t="s">
        <v>574</v>
      </c>
      <c r="S75" s="335">
        <v>954.97</v>
      </c>
      <c r="T75" s="335">
        <f>T76+T77+T78+T79</f>
        <v>1164.93</v>
      </c>
      <c r="U75" s="335">
        <f t="shared" ref="U75:V75" si="32">U76+U77+U78+U79</f>
        <v>1274.3699999999999</v>
      </c>
      <c r="V75" s="335">
        <f t="shared" si="32"/>
        <v>983.65999999999985</v>
      </c>
      <c r="W75" s="335">
        <v>978.77</v>
      </c>
    </row>
    <row r="76" spans="1:23" s="326" customFormat="1">
      <c r="A76" s="333" t="s">
        <v>575</v>
      </c>
      <c r="T76" s="326">
        <v>111.79</v>
      </c>
      <c r="U76" s="326">
        <v>112.47</v>
      </c>
      <c r="V76" s="326">
        <v>97.78</v>
      </c>
      <c r="W76" s="326">
        <v>91.23</v>
      </c>
    </row>
    <row r="77" spans="1:23" s="326" customFormat="1">
      <c r="A77" s="333" t="s">
        <v>576</v>
      </c>
      <c r="T77" s="326">
        <v>962.73</v>
      </c>
      <c r="U77" s="329">
        <v>1059</v>
      </c>
      <c r="V77" s="326">
        <v>778.93</v>
      </c>
      <c r="W77" s="326">
        <v>782.34</v>
      </c>
    </row>
    <row r="78" spans="1:23" s="326" customFormat="1">
      <c r="A78" s="333" t="s">
        <v>557</v>
      </c>
      <c r="T78" s="326">
        <v>40.19</v>
      </c>
      <c r="U78" s="326">
        <v>45.08</v>
      </c>
      <c r="V78" s="326">
        <v>45.43</v>
      </c>
      <c r="W78" s="326">
        <v>43.45</v>
      </c>
    </row>
    <row r="79" spans="1:23" s="335" customFormat="1">
      <c r="A79" s="334" t="s">
        <v>577</v>
      </c>
      <c r="T79" s="335">
        <v>50.22</v>
      </c>
      <c r="U79" s="335">
        <v>57.82</v>
      </c>
      <c r="V79" s="335">
        <v>61.52</v>
      </c>
      <c r="W79" s="335">
        <v>61.75</v>
      </c>
    </row>
    <row r="80" spans="1:23" s="326" customFormat="1">
      <c r="A80" s="333" t="s">
        <v>578</v>
      </c>
      <c r="T80" s="326">
        <v>195.42</v>
      </c>
      <c r="U80" s="326">
        <v>334.44</v>
      </c>
      <c r="V80" s="326">
        <v>506.25</v>
      </c>
      <c r="W80" s="326">
        <v>608.07000000000005</v>
      </c>
    </row>
    <row r="81" spans="1:24" s="326" customFormat="1">
      <c r="A81" s="333" t="s">
        <v>579</v>
      </c>
      <c r="T81" s="326">
        <v>60.42</v>
      </c>
      <c r="U81" s="326">
        <v>89.88</v>
      </c>
      <c r="V81" s="326">
        <v>291.33999999999997</v>
      </c>
      <c r="W81" s="326">
        <v>287.38</v>
      </c>
    </row>
    <row r="82" spans="1:24" s="326" customFormat="1">
      <c r="A82" s="333" t="s">
        <v>580</v>
      </c>
      <c r="T82" s="326">
        <f>-7.56*0.5</f>
        <v>-3.78</v>
      </c>
      <c r="U82" s="326">
        <v>-52.05</v>
      </c>
      <c r="V82" s="326">
        <v>-706.32</v>
      </c>
      <c r="W82" s="326">
        <v>-788.16</v>
      </c>
    </row>
    <row r="83" spans="1:24" s="326" customFormat="1">
      <c r="A83" s="333" t="s">
        <v>581</v>
      </c>
      <c r="T83" s="326">
        <f>-7.56*0.5</f>
        <v>-3.78</v>
      </c>
      <c r="U83" s="326">
        <v>-74.34</v>
      </c>
      <c r="V83" s="326">
        <v>-130.81</v>
      </c>
      <c r="W83" s="326">
        <v>-148.05000000000001</v>
      </c>
    </row>
    <row r="84" spans="1:24" s="326" customFormat="1">
      <c r="A84" s="333" t="s">
        <v>582</v>
      </c>
      <c r="T84" s="326">
        <v>-38.32</v>
      </c>
      <c r="U84" s="326">
        <v>21.47</v>
      </c>
      <c r="V84" s="326">
        <v>68.23</v>
      </c>
      <c r="W84" s="326">
        <v>64.56</v>
      </c>
    </row>
    <row r="85" spans="1:24" s="326" customFormat="1">
      <c r="A85" s="333"/>
    </row>
    <row r="86" spans="1:24" s="335" customFormat="1">
      <c r="A86" s="335" t="s">
        <v>583</v>
      </c>
      <c r="S86" s="631">
        <v>585.15</v>
      </c>
      <c r="T86" s="631">
        <f>T87+T88+T89+T90</f>
        <v>706.22</v>
      </c>
      <c r="U86" s="631">
        <f>U87+U88+U89+U90</f>
        <v>669.56000000000006</v>
      </c>
      <c r="V86" s="631">
        <f>V87+V88+V89+V90</f>
        <v>484.77000000000004</v>
      </c>
      <c r="W86" s="631">
        <v>435.19</v>
      </c>
      <c r="X86" s="337"/>
    </row>
    <row r="87" spans="1:24" s="326" customFormat="1">
      <c r="A87" s="333" t="s">
        <v>584</v>
      </c>
      <c r="T87" s="329">
        <v>463.1</v>
      </c>
      <c r="U87" s="326">
        <v>570.48</v>
      </c>
      <c r="V87" s="326">
        <v>379.42</v>
      </c>
      <c r="W87" s="326">
        <v>331.2</v>
      </c>
    </row>
    <row r="88" spans="1:24" s="326" customFormat="1">
      <c r="A88" s="333" t="s">
        <v>585</v>
      </c>
      <c r="T88" s="326">
        <v>67.739999999999995</v>
      </c>
      <c r="U88" s="326">
        <v>59.2</v>
      </c>
      <c r="V88" s="326">
        <v>58.11</v>
      </c>
      <c r="W88" s="326">
        <v>53.65</v>
      </c>
    </row>
    <row r="89" spans="1:24" s="326" customFormat="1">
      <c r="A89" s="333" t="s">
        <v>586</v>
      </c>
      <c r="T89" s="326">
        <v>28.67</v>
      </c>
      <c r="U89" s="326">
        <v>32.17</v>
      </c>
      <c r="V89" s="326">
        <v>33.479999999999997</v>
      </c>
      <c r="W89" s="326">
        <v>30.93</v>
      </c>
    </row>
    <row r="90" spans="1:24" s="335" customFormat="1">
      <c r="A90" s="334" t="s">
        <v>587</v>
      </c>
      <c r="T90" s="335">
        <v>146.71</v>
      </c>
      <c r="U90" s="335">
        <v>7.71</v>
      </c>
      <c r="V90" s="335">
        <v>13.76</v>
      </c>
      <c r="W90" s="335">
        <v>19.41</v>
      </c>
    </row>
    <row r="91" spans="1:24" s="326" customFormat="1">
      <c r="A91" s="333" t="s">
        <v>588</v>
      </c>
      <c r="T91" s="326">
        <v>133.36000000000001</v>
      </c>
      <c r="U91" s="326">
        <v>140.44</v>
      </c>
      <c r="V91" s="326">
        <v>146.19</v>
      </c>
      <c r="W91" s="326">
        <v>176.89</v>
      </c>
    </row>
    <row r="92" spans="1:24" s="326" customFormat="1">
      <c r="A92" s="333" t="s">
        <v>589</v>
      </c>
      <c r="T92" s="326">
        <v>11.42</v>
      </c>
      <c r="U92" s="326">
        <v>4.38</v>
      </c>
      <c r="V92" s="326">
        <v>-74.569999999999993</v>
      </c>
      <c r="W92" s="326">
        <v>-165.78</v>
      </c>
    </row>
    <row r="93" spans="1:24" s="326" customFormat="1">
      <c r="A93" s="333" t="s">
        <v>582</v>
      </c>
      <c r="T93" s="326">
        <v>-23.71</v>
      </c>
      <c r="U93" s="329">
        <v>3</v>
      </c>
      <c r="V93" s="326">
        <v>25.9</v>
      </c>
      <c r="W93" s="326">
        <v>25.16</v>
      </c>
    </row>
    <row r="94" spans="1:24" s="326" customFormat="1">
      <c r="A94" s="333" t="s">
        <v>581</v>
      </c>
      <c r="T94" s="326">
        <v>0</v>
      </c>
      <c r="U94" s="326">
        <v>-63.41</v>
      </c>
      <c r="V94" s="326">
        <v>-215.81</v>
      </c>
      <c r="W94" s="329">
        <v>-222</v>
      </c>
    </row>
    <row r="95" spans="1:24" s="326" customFormat="1">
      <c r="A95" s="333"/>
    </row>
    <row r="96" spans="1:24" s="326" customFormat="1"/>
    <row r="97" spans="1:27">
      <c r="D97" s="309" t="s">
        <v>590</v>
      </c>
      <c r="E97" s="309" t="s">
        <v>591</v>
      </c>
      <c r="F97" s="309" t="s">
        <v>592</v>
      </c>
      <c r="G97" s="309" t="s">
        <v>593</v>
      </c>
      <c r="H97" s="309" t="s">
        <v>498</v>
      </c>
      <c r="I97" s="309" t="s">
        <v>499</v>
      </c>
      <c r="J97" s="309" t="s">
        <v>594</v>
      </c>
      <c r="K97" s="309" t="s">
        <v>595</v>
      </c>
      <c r="L97" s="309" t="s">
        <v>596</v>
      </c>
      <c r="M97" s="309" t="s">
        <v>597</v>
      </c>
      <c r="N97" s="309" t="s">
        <v>598</v>
      </c>
      <c r="O97" s="309" t="s">
        <v>599</v>
      </c>
      <c r="P97" s="309" t="s">
        <v>600</v>
      </c>
      <c r="Q97" s="309" t="s">
        <v>507</v>
      </c>
      <c r="R97" s="309" t="s">
        <v>601</v>
      </c>
      <c r="S97" s="309" t="s">
        <v>509</v>
      </c>
      <c r="T97" s="309" t="s">
        <v>602</v>
      </c>
      <c r="U97" s="309" t="s">
        <v>511</v>
      </c>
      <c r="V97" s="309" t="s">
        <v>603</v>
      </c>
      <c r="W97" s="309" t="s">
        <v>1055</v>
      </c>
    </row>
    <row r="98" spans="1:27" ht="28.5" customHeight="1">
      <c r="A98" s="307" t="s">
        <v>604</v>
      </c>
      <c r="C98" s="345"/>
      <c r="D98" s="550" t="s">
        <v>605</v>
      </c>
      <c r="E98" s="550" t="s">
        <v>606</v>
      </c>
      <c r="F98" s="550" t="s">
        <v>607</v>
      </c>
      <c r="G98" s="550" t="s">
        <v>608</v>
      </c>
      <c r="H98" s="550"/>
      <c r="I98" s="550" t="s">
        <v>609</v>
      </c>
      <c r="J98" s="550" t="s">
        <v>610</v>
      </c>
      <c r="K98" s="550"/>
      <c r="L98" s="550"/>
      <c r="M98" s="550"/>
      <c r="N98" s="550"/>
      <c r="O98" s="550"/>
      <c r="P98" s="550"/>
      <c r="Q98" s="550"/>
      <c r="R98" s="550"/>
      <c r="S98" s="550"/>
      <c r="T98" s="550" t="s">
        <v>611</v>
      </c>
      <c r="U98" s="550" t="s">
        <v>612</v>
      </c>
      <c r="V98" s="550" t="s">
        <v>613</v>
      </c>
      <c r="W98" s="550"/>
    </row>
    <row r="99" spans="1:27" ht="30.75" customHeight="1">
      <c r="A99" s="307" t="s">
        <v>614</v>
      </c>
      <c r="C99" s="345"/>
      <c r="D99" s="550" t="s">
        <v>615</v>
      </c>
      <c r="E99" s="550"/>
      <c r="F99" s="550"/>
      <c r="G99" s="550"/>
      <c r="H99" s="550"/>
      <c r="I99" s="550"/>
      <c r="J99" s="550"/>
      <c r="K99" s="550" t="s">
        <v>616</v>
      </c>
      <c r="L99" s="550"/>
      <c r="M99" s="550" t="s">
        <v>617</v>
      </c>
      <c r="N99" s="550"/>
      <c r="O99" s="550" t="s">
        <v>618</v>
      </c>
      <c r="P99" s="550" t="s">
        <v>619</v>
      </c>
      <c r="Q99" s="550"/>
      <c r="R99" s="550"/>
      <c r="S99" s="550" t="s">
        <v>620</v>
      </c>
      <c r="T99" s="550" t="s">
        <v>621</v>
      </c>
      <c r="U99" s="550" t="s">
        <v>622</v>
      </c>
      <c r="V99" s="550"/>
      <c r="W99" s="550"/>
    </row>
    <row r="102" spans="1:27">
      <c r="D102" s="307" t="s">
        <v>623</v>
      </c>
      <c r="E102" s="307" t="s">
        <v>624</v>
      </c>
      <c r="F102" s="307" t="s">
        <v>625</v>
      </c>
      <c r="G102" s="307" t="s">
        <v>626</v>
      </c>
      <c r="H102" s="307" t="s">
        <v>627</v>
      </c>
      <c r="I102" s="307" t="s">
        <v>276</v>
      </c>
      <c r="J102" s="307" t="s">
        <v>277</v>
      </c>
      <c r="K102" s="307" t="s">
        <v>278</v>
      </c>
      <c r="L102" s="307" t="s">
        <v>628</v>
      </c>
      <c r="M102" s="307" t="s">
        <v>280</v>
      </c>
      <c r="N102" s="307" t="s">
        <v>281</v>
      </c>
      <c r="O102" s="307" t="s">
        <v>282</v>
      </c>
      <c r="P102" s="307" t="s">
        <v>629</v>
      </c>
      <c r="Q102" s="307" t="s">
        <v>284</v>
      </c>
      <c r="R102" s="307" t="s">
        <v>285</v>
      </c>
      <c r="S102" s="307" t="s">
        <v>286</v>
      </c>
      <c r="T102" s="307" t="s">
        <v>630</v>
      </c>
      <c r="U102" s="307" t="s">
        <v>288</v>
      </c>
      <c r="V102" s="307" t="s">
        <v>289</v>
      </c>
      <c r="W102" s="307" t="s">
        <v>290</v>
      </c>
    </row>
    <row r="103" spans="1:27">
      <c r="A103" s="307" t="s">
        <v>631</v>
      </c>
      <c r="C103" s="346" t="s">
        <v>632</v>
      </c>
      <c r="D103" s="307">
        <f>D44</f>
        <v>134.16</v>
      </c>
      <c r="E103" s="307">
        <f>E44-D44</f>
        <v>171.1</v>
      </c>
      <c r="F103" s="307">
        <f>F44-E44</f>
        <v>53.970000000000027</v>
      </c>
      <c r="G103" s="307">
        <f>G44-F44</f>
        <v>47.049999999999955</v>
      </c>
      <c r="H103" s="307">
        <f>H44</f>
        <v>19.22</v>
      </c>
      <c r="I103" s="307">
        <f>I44-H44</f>
        <v>42.63</v>
      </c>
      <c r="J103" s="307">
        <f>J44-I44</f>
        <v>23.369999999999997</v>
      </c>
      <c r="K103" s="307">
        <f>K44-J44</f>
        <v>43.860000000000014</v>
      </c>
      <c r="L103" s="307">
        <f>L44</f>
        <v>16.3</v>
      </c>
      <c r="M103" s="307">
        <f>M44-L44</f>
        <v>23.41</v>
      </c>
      <c r="N103" s="307">
        <f>N44-M44</f>
        <v>46.98</v>
      </c>
      <c r="O103" s="307">
        <f>O44-N44</f>
        <v>12.310000000000002</v>
      </c>
      <c r="P103" s="307">
        <f>P44</f>
        <v>11.64</v>
      </c>
      <c r="Q103" s="307">
        <f>Q44-P44</f>
        <v>40.700000000000003</v>
      </c>
      <c r="R103" s="307">
        <f>R44-Q44</f>
        <v>59.34</v>
      </c>
      <c r="S103" s="307">
        <f>S44-R44</f>
        <v>79.539999999999992</v>
      </c>
      <c r="T103" s="307">
        <f>T44</f>
        <v>211.09</v>
      </c>
      <c r="U103" s="307">
        <f>U44-T44</f>
        <v>108.66999999999999</v>
      </c>
      <c r="V103" s="307">
        <f>V44-U44</f>
        <v>67.889999999999986</v>
      </c>
      <c r="W103" s="307">
        <f>W44-V44</f>
        <v>21.53000000000003</v>
      </c>
    </row>
    <row r="104" spans="1:27">
      <c r="A104" s="307" t="s">
        <v>633</v>
      </c>
      <c r="C104" s="346" t="s">
        <v>633</v>
      </c>
      <c r="D104" s="307">
        <f t="shared" ref="D104:W104" si="33">D41-C41</f>
        <v>127.58</v>
      </c>
      <c r="E104" s="307">
        <f t="shared" si="33"/>
        <v>171.35999999999999</v>
      </c>
      <c r="F104" s="307">
        <f t="shared" si="33"/>
        <v>77.53000000000003</v>
      </c>
      <c r="G104" s="307">
        <f t="shared" si="33"/>
        <v>13.13999999999993</v>
      </c>
      <c r="H104" s="307">
        <f t="shared" si="33"/>
        <v>20.300000000000068</v>
      </c>
      <c r="I104" s="307">
        <f t="shared" si="33"/>
        <v>2.8500000000000227</v>
      </c>
      <c r="J104" s="307">
        <f t="shared" si="33"/>
        <v>39.849999999999909</v>
      </c>
      <c r="K104" s="307">
        <f t="shared" si="33"/>
        <v>27.400000000000091</v>
      </c>
      <c r="L104" s="307">
        <f t="shared" si="33"/>
        <v>5.7599999999999909</v>
      </c>
      <c r="M104" s="307">
        <f t="shared" si="33"/>
        <v>33.450000000000045</v>
      </c>
      <c r="N104" s="307">
        <f t="shared" si="33"/>
        <v>25.209999999999923</v>
      </c>
      <c r="O104" s="307">
        <f t="shared" si="33"/>
        <v>34.290000000000077</v>
      </c>
      <c r="P104" s="307">
        <f t="shared" si="33"/>
        <v>-0.59000000000003183</v>
      </c>
      <c r="Q104" s="307">
        <f t="shared" si="33"/>
        <v>42.189999999999941</v>
      </c>
      <c r="R104" s="307">
        <f t="shared" si="33"/>
        <v>72.13</v>
      </c>
      <c r="S104" s="307">
        <f t="shared" si="33"/>
        <v>323.64</v>
      </c>
      <c r="T104" s="307">
        <f t="shared" si="33"/>
        <v>213.3900000000001</v>
      </c>
      <c r="U104" s="307">
        <f t="shared" si="33"/>
        <v>176.83999999999992</v>
      </c>
      <c r="V104" s="307">
        <f t="shared" si="33"/>
        <v>613.76000000000022</v>
      </c>
      <c r="W104" s="307">
        <f t="shared" si="33"/>
        <v>50.369999999999891</v>
      </c>
    </row>
    <row r="105" spans="1:27">
      <c r="A105" s="307" t="s">
        <v>634</v>
      </c>
      <c r="C105" s="346" t="s">
        <v>634</v>
      </c>
      <c r="D105" s="347">
        <f>D48+D47</f>
        <v>-5.99</v>
      </c>
      <c r="E105" s="347">
        <f>E48-D48+E47-D47</f>
        <v>-0.91000000000000014</v>
      </c>
      <c r="F105" s="347">
        <f t="shared" ref="F105:G105" si="34">F48-E48+F47-E47</f>
        <v>-0.38999999999999968</v>
      </c>
      <c r="G105" s="347">
        <f t="shared" si="34"/>
        <v>-11.869999999999997</v>
      </c>
      <c r="H105" s="347">
        <f>H48+H47</f>
        <v>-0.75</v>
      </c>
      <c r="I105" s="347">
        <f>I48-H48+I47-H47</f>
        <v>-37.900000000000006</v>
      </c>
      <c r="J105" s="347">
        <f t="shared" ref="J105:K105" si="35">J48-I48+J47-I47</f>
        <v>-5.96</v>
      </c>
      <c r="K105" s="347">
        <f t="shared" si="35"/>
        <v>-15.159999999999997</v>
      </c>
      <c r="L105" s="347">
        <f>L48+L47</f>
        <v>-0.41000000000000003</v>
      </c>
      <c r="M105" s="347">
        <f>M48-L48+M47-L47</f>
        <v>-18.48</v>
      </c>
      <c r="N105" s="347">
        <f t="shared" ref="N105:O105" si="36">N48-M48+N47-M47</f>
        <v>-22.08</v>
      </c>
      <c r="O105" s="347">
        <f t="shared" si="36"/>
        <v>2.7399999999999984</v>
      </c>
      <c r="P105" s="347">
        <f>P48+P47</f>
        <v>-0.66999999999999993</v>
      </c>
      <c r="Q105" s="347">
        <f>Q48-P48+Q47-P47</f>
        <v>-5.37</v>
      </c>
      <c r="R105" s="347">
        <f t="shared" ref="R105:S105" si="37">R48-Q48+R47-Q47</f>
        <v>0.96999999999999886</v>
      </c>
      <c r="S105" s="347">
        <f t="shared" si="37"/>
        <v>198.01999999999998</v>
      </c>
      <c r="T105" s="347">
        <f>T48+T47</f>
        <v>15.540000000000001</v>
      </c>
      <c r="U105" s="347">
        <f>U48-T48+U47-T47</f>
        <v>18.460000000000004</v>
      </c>
      <c r="V105" s="347">
        <f t="shared" ref="V105:W105" si="38">V48-U48+V47-U47</f>
        <v>520.4899999999999</v>
      </c>
      <c r="W105" s="347">
        <f t="shared" si="38"/>
        <v>13.5</v>
      </c>
      <c r="X105" s="347"/>
    </row>
    <row r="106" spans="1:27">
      <c r="C106" s="346"/>
      <c r="D106" s="348"/>
      <c r="E106" s="348"/>
      <c r="F106" s="348"/>
      <c r="G106" s="348"/>
      <c r="H106" s="348"/>
      <c r="I106" s="348"/>
      <c r="J106" s="348"/>
      <c r="K106" s="348"/>
      <c r="L106" s="348"/>
      <c r="M106" s="348"/>
      <c r="N106" s="348"/>
      <c r="O106" s="348"/>
      <c r="P106" s="348"/>
      <c r="Q106" s="348"/>
      <c r="R106" s="348"/>
      <c r="S106" s="348"/>
      <c r="T106" s="348"/>
      <c r="U106" s="348"/>
      <c r="V106" s="348"/>
      <c r="W106" s="348"/>
    </row>
    <row r="107" spans="1:27">
      <c r="A107" s="307" t="s">
        <v>635</v>
      </c>
      <c r="C107" s="346" t="s">
        <v>636</v>
      </c>
      <c r="D107" s="307">
        <f>D64</f>
        <v>20.72</v>
      </c>
      <c r="E107" s="307">
        <f>E64-D64</f>
        <v>6.41</v>
      </c>
      <c r="F107" s="307">
        <f>F64-E64</f>
        <v>-7.82</v>
      </c>
      <c r="G107" s="307">
        <f>G64-F64</f>
        <v>8.2200000000000024</v>
      </c>
      <c r="H107" s="349">
        <f>H59+H61</f>
        <v>17.29</v>
      </c>
      <c r="I107" s="348">
        <f>I59-H59+I61-H61</f>
        <v>47.57</v>
      </c>
      <c r="J107" s="347">
        <f>J59-I59+J61-I61</f>
        <v>-1.4499999999999957</v>
      </c>
      <c r="K107" s="347">
        <f>K61-J61</f>
        <v>101.57999999999998</v>
      </c>
      <c r="L107" s="348">
        <f>L64</f>
        <v>8.9</v>
      </c>
      <c r="M107" s="307">
        <f t="shared" ref="M107:N107" si="39">M64-L64</f>
        <v>63.220000000000006</v>
      </c>
      <c r="N107" s="307">
        <f t="shared" si="39"/>
        <v>3.4299999999999926</v>
      </c>
      <c r="O107" s="307">
        <f>O64-N64</f>
        <v>297.64</v>
      </c>
      <c r="P107" s="348">
        <f>P64</f>
        <v>103.13</v>
      </c>
      <c r="Q107" s="307">
        <f t="shared" ref="Q107:R107" si="40">Q64-P64</f>
        <v>25.480000000000018</v>
      </c>
      <c r="R107" s="307">
        <f t="shared" si="40"/>
        <v>177.59999999999997</v>
      </c>
      <c r="S107" s="307">
        <f>S64-R64</f>
        <v>263.87000000000006</v>
      </c>
      <c r="T107" s="307">
        <f>T80+T91</f>
        <v>328.78</v>
      </c>
      <c r="U107" s="307">
        <f>U80-T80+U91-T91</f>
        <v>146.10000000000002</v>
      </c>
      <c r="V107" s="307">
        <f>V80-U80+V91-U91</f>
        <v>177.56</v>
      </c>
      <c r="W107" s="307">
        <f>W80-V80+W91-V91</f>
        <v>132.52000000000004</v>
      </c>
    </row>
    <row r="108" spans="1:27">
      <c r="A108" s="307" t="s">
        <v>637</v>
      </c>
      <c r="C108" s="346" t="s">
        <v>638</v>
      </c>
      <c r="D108" s="348">
        <f>D56-C55</f>
        <v>17.629999999999995</v>
      </c>
      <c r="E108" s="350">
        <f>E56-D56</f>
        <v>-0.97999999999998977</v>
      </c>
      <c r="F108" s="350">
        <f t="shared" ref="F108:S108" si="41">F56-E56</f>
        <v>-4.4500000000000171</v>
      </c>
      <c r="G108" s="350">
        <f t="shared" si="41"/>
        <v>24.830000000000013</v>
      </c>
      <c r="H108" s="350">
        <f t="shared" si="41"/>
        <v>52.289999999999992</v>
      </c>
      <c r="I108" s="350">
        <f t="shared" si="41"/>
        <v>96.989999999999981</v>
      </c>
      <c r="J108" s="350">
        <f t="shared" si="41"/>
        <v>60.670000000000016</v>
      </c>
      <c r="K108" s="350">
        <f t="shared" si="41"/>
        <v>133.56</v>
      </c>
      <c r="L108" s="350">
        <f t="shared" si="41"/>
        <v>-0.65000000000003411</v>
      </c>
      <c r="M108" s="350">
        <f t="shared" si="41"/>
        <v>125.25999999999999</v>
      </c>
      <c r="N108" s="350">
        <f t="shared" si="41"/>
        <v>23.050000000000068</v>
      </c>
      <c r="O108" s="350">
        <f t="shared" si="41"/>
        <v>298.57999999999993</v>
      </c>
      <c r="P108" s="350">
        <f t="shared" si="41"/>
        <v>183.08000000000004</v>
      </c>
      <c r="Q108" s="350">
        <f t="shared" si="41"/>
        <v>214.37999999999988</v>
      </c>
      <c r="R108" s="350">
        <f t="shared" si="41"/>
        <v>181.8100000000004</v>
      </c>
      <c r="S108" s="350">
        <f t="shared" si="41"/>
        <v>22.3299999999997</v>
      </c>
      <c r="T108" s="307">
        <f>T56-S56</f>
        <v>288.58000000000015</v>
      </c>
      <c r="U108" s="307">
        <f>U56-T56</f>
        <v>69.679999999999836</v>
      </c>
      <c r="V108" s="307">
        <f>V56-U56</f>
        <v>-475.65000000000009</v>
      </c>
      <c r="W108" s="347">
        <f>W56-V56</f>
        <v>-66.999999999999773</v>
      </c>
    </row>
    <row r="109" spans="1:27">
      <c r="A109" s="307" t="s">
        <v>639</v>
      </c>
      <c r="C109" s="346" t="s">
        <v>640</v>
      </c>
      <c r="D109" s="307">
        <v>0</v>
      </c>
      <c r="E109" s="307">
        <v>0</v>
      </c>
      <c r="F109" s="307">
        <v>0</v>
      </c>
      <c r="G109" s="307">
        <v>0</v>
      </c>
      <c r="H109" s="307">
        <v>0</v>
      </c>
      <c r="I109" s="307">
        <v>0</v>
      </c>
      <c r="J109" s="307">
        <v>0</v>
      </c>
      <c r="K109" s="307">
        <v>0</v>
      </c>
      <c r="L109" s="307">
        <f>L66</f>
        <v>0.2</v>
      </c>
      <c r="M109" s="307">
        <f t="shared" ref="M109:N109" si="42">M66-L66</f>
        <v>-0.28000000000000003</v>
      </c>
      <c r="N109" s="307">
        <f t="shared" si="42"/>
        <v>-6.1899999999999995</v>
      </c>
      <c r="O109" s="307">
        <f>O66-N66</f>
        <v>-21.28</v>
      </c>
      <c r="P109" s="307">
        <f>P66</f>
        <v>-29.68</v>
      </c>
      <c r="Q109" s="307">
        <f>Q66-P66</f>
        <v>-11.5</v>
      </c>
      <c r="R109" s="307">
        <f>R66-Q66</f>
        <v>-6.7800000000000011</v>
      </c>
      <c r="S109" s="307">
        <f>S66-R66</f>
        <v>-187.45999999999998</v>
      </c>
      <c r="T109" s="307">
        <f>T82+T83</f>
        <v>-7.56</v>
      </c>
      <c r="U109" s="307">
        <f>U83-T83+U94-T94+U82-T82</f>
        <v>-182.23999999999998</v>
      </c>
      <c r="V109" s="307">
        <f>V83-U83+V94-U94+V82-U82</f>
        <v>-863.1400000000001</v>
      </c>
      <c r="W109" s="307">
        <f>W83-V83+W94-V94+W82-V82</f>
        <v>-105.26999999999987</v>
      </c>
    </row>
    <row r="112" spans="1:27" hidden="1">
      <c r="A112" s="307" t="s">
        <v>641</v>
      </c>
      <c r="B112" s="351">
        <v>0.15</v>
      </c>
      <c r="K112" s="307" t="s">
        <v>642</v>
      </c>
      <c r="O112" s="307" t="s">
        <v>643</v>
      </c>
      <c r="S112" s="307" t="s">
        <v>644</v>
      </c>
      <c r="T112" s="307" t="s">
        <v>644</v>
      </c>
      <c r="U112" s="307" t="s">
        <v>644</v>
      </c>
      <c r="V112" s="307" t="s">
        <v>642</v>
      </c>
      <c r="AA112" s="352"/>
    </row>
    <row r="113" spans="1:24" hidden="1">
      <c r="A113" s="307" t="s">
        <v>645</v>
      </c>
      <c r="B113" s="352">
        <f>(1+B112)^(1/4)-1</f>
        <v>3.5558076341622114E-2</v>
      </c>
      <c r="D113" s="351"/>
      <c r="E113" s="351"/>
      <c r="F113" s="351"/>
      <c r="G113" s="351"/>
      <c r="H113" s="351"/>
      <c r="I113" s="351"/>
      <c r="J113" s="351"/>
      <c r="K113" s="351">
        <v>0.3347</v>
      </c>
      <c r="L113" s="351">
        <v>0.23730000000000001</v>
      </c>
      <c r="M113" s="351">
        <v>0.27939999999999998</v>
      </c>
      <c r="N113" s="351">
        <v>0.36649999999999999</v>
      </c>
      <c r="O113" s="351">
        <v>0.32029999999999997</v>
      </c>
      <c r="P113" s="351">
        <v>0.3523</v>
      </c>
      <c r="Q113" s="351">
        <v>0.40500000000000003</v>
      </c>
      <c r="R113" s="351">
        <v>0.34720000000000001</v>
      </c>
      <c r="S113" s="351">
        <v>0.27779999999999999</v>
      </c>
      <c r="T113" s="351">
        <v>0.26</v>
      </c>
      <c r="U113" s="351">
        <v>0.25919999999999999</v>
      </c>
      <c r="V113" s="351">
        <v>0.28399999999999997</v>
      </c>
      <c r="W113" s="351"/>
    </row>
    <row r="114" spans="1:24" hidden="1">
      <c r="C114" s="309" t="s">
        <v>646</v>
      </c>
      <c r="D114" s="309" t="s">
        <v>647</v>
      </c>
      <c r="E114" s="309" t="s">
        <v>624</v>
      </c>
      <c r="F114" s="309" t="s">
        <v>625</v>
      </c>
      <c r="G114" s="309" t="s">
        <v>626</v>
      </c>
      <c r="H114" s="309" t="s">
        <v>648</v>
      </c>
      <c r="I114" s="309" t="s">
        <v>276</v>
      </c>
      <c r="J114" s="309" t="s">
        <v>277</v>
      </c>
      <c r="K114" s="309" t="s">
        <v>278</v>
      </c>
      <c r="L114" s="309" t="s">
        <v>425</v>
      </c>
      <c r="M114" s="309" t="s">
        <v>280</v>
      </c>
      <c r="N114" s="309" t="s">
        <v>281</v>
      </c>
      <c r="O114" s="309" t="s">
        <v>282</v>
      </c>
      <c r="P114" s="309" t="s">
        <v>649</v>
      </c>
      <c r="Q114" s="309" t="s">
        <v>284</v>
      </c>
      <c r="R114" s="309" t="s">
        <v>285</v>
      </c>
      <c r="S114" s="309" t="s">
        <v>286</v>
      </c>
      <c r="T114" s="309" t="s">
        <v>650</v>
      </c>
      <c r="U114" s="309" t="s">
        <v>288</v>
      </c>
      <c r="V114" s="309" t="s">
        <v>289</v>
      </c>
      <c r="W114" s="309"/>
    </row>
    <row r="115" spans="1:24" hidden="1">
      <c r="A115" s="307" t="s">
        <v>651</v>
      </c>
      <c r="B115" s="307" t="s">
        <v>652</v>
      </c>
      <c r="C115" s="307">
        <v>125.15</v>
      </c>
      <c r="D115" s="307">
        <v>20.72</v>
      </c>
      <c r="E115" s="307">
        <v>6.41</v>
      </c>
      <c r="F115" s="307">
        <v>-7.82</v>
      </c>
      <c r="G115" s="307">
        <v>8.2200000000000024</v>
      </c>
      <c r="H115" s="307">
        <v>17.29</v>
      </c>
      <c r="I115" s="307">
        <v>47.57</v>
      </c>
      <c r="J115" s="307">
        <v>-1.4499999999999957</v>
      </c>
      <c r="K115" s="307">
        <v>101.57999999999998</v>
      </c>
      <c r="L115" s="307">
        <v>8.9</v>
      </c>
      <c r="M115" s="307">
        <v>63.220000000000006</v>
      </c>
      <c r="N115" s="307">
        <v>3.4299999999999926</v>
      </c>
      <c r="O115" s="307">
        <v>297.64</v>
      </c>
      <c r="P115" s="307">
        <v>103.13</v>
      </c>
      <c r="Q115" s="307">
        <v>25.480000000000018</v>
      </c>
      <c r="R115" s="307">
        <v>177.59999999999997</v>
      </c>
      <c r="S115" s="307">
        <v>263.87000000000006</v>
      </c>
      <c r="T115" s="307">
        <v>328.78</v>
      </c>
      <c r="U115" s="307">
        <v>146.10000000000002</v>
      </c>
      <c r="V115" s="307">
        <v>177.56</v>
      </c>
    </row>
    <row r="116" spans="1:24" hidden="1">
      <c r="B116" s="307" t="s">
        <v>653</v>
      </c>
      <c r="C116" s="307">
        <v>0</v>
      </c>
      <c r="D116" s="347">
        <v>0</v>
      </c>
      <c r="E116" s="347">
        <v>0</v>
      </c>
      <c r="F116" s="347">
        <v>0</v>
      </c>
      <c r="G116" s="347">
        <v>0</v>
      </c>
      <c r="H116" s="347">
        <v>0</v>
      </c>
      <c r="I116" s="347">
        <v>0</v>
      </c>
      <c r="J116" s="347">
        <v>0</v>
      </c>
      <c r="K116" s="347">
        <v>0</v>
      </c>
      <c r="L116" s="347">
        <v>0.2</v>
      </c>
      <c r="M116" s="347">
        <v>-0.28000000000000003</v>
      </c>
      <c r="N116" s="347">
        <v>-6.1899999999999995</v>
      </c>
      <c r="O116" s="347">
        <v>-21.28</v>
      </c>
      <c r="P116" s="347">
        <v>-29.68</v>
      </c>
      <c r="Q116" s="347">
        <v>-11.5</v>
      </c>
      <c r="R116" s="347">
        <v>-6.7800000000000011</v>
      </c>
      <c r="S116" s="347">
        <v>-187.45999999999998</v>
      </c>
      <c r="T116" s="347">
        <v>-7.56</v>
      </c>
      <c r="U116" s="347">
        <v>-182.23999999999998</v>
      </c>
      <c r="V116" s="347">
        <v>-863.1400000000001</v>
      </c>
      <c r="W116" s="347"/>
      <c r="X116" s="347"/>
    </row>
    <row r="117" spans="1:24" hidden="1">
      <c r="B117" s="350" t="s">
        <v>654</v>
      </c>
      <c r="C117" s="347">
        <f>C115</f>
        <v>125.15</v>
      </c>
      <c r="D117" s="347">
        <f>C117*(1+$B113)+D115+D116</f>
        <v>150.32009325415402</v>
      </c>
      <c r="E117" s="347">
        <f>D117*(1+$B113)+E115+E116</f>
        <v>162.07518660576497</v>
      </c>
      <c r="F117" s="347">
        <f t="shared" ref="F117:U117" si="43">E117*(1+$B113)+F115+F116</f>
        <v>160.01826846417541</v>
      </c>
      <c r="G117" s="347">
        <f t="shared" si="43"/>
        <v>173.92821027027873</v>
      </c>
      <c r="H117" s="347">
        <f t="shared" si="43"/>
        <v>197.40276284903098</v>
      </c>
      <c r="I117" s="347">
        <f t="shared" si="43"/>
        <v>251.99202536046394</v>
      </c>
      <c r="J117" s="347">
        <f t="shared" si="43"/>
        <v>259.50237703571133</v>
      </c>
      <c r="K117" s="347">
        <f t="shared" si="43"/>
        <v>370.30978236917957</v>
      </c>
      <c r="L117" s="347">
        <f t="shared" si="43"/>
        <v>392.57728588071228</v>
      </c>
      <c r="M117" s="347">
        <f t="shared" si="43"/>
        <v>469.47657898204551</v>
      </c>
      <c r="N117" s="347">
        <f t="shared" si="43"/>
        <v>483.41026301809268</v>
      </c>
      <c r="O117" s="347">
        <f t="shared" si="43"/>
        <v>776.95940205481361</v>
      </c>
      <c r="P117" s="347">
        <f t="shared" si="43"/>
        <v>878.03658378741977</v>
      </c>
      <c r="Q117" s="347">
        <f t="shared" si="43"/>
        <v>923.23787566446993</v>
      </c>
      <c r="R117" s="347">
        <f t="shared" si="43"/>
        <v>1126.8864385288241</v>
      </c>
      <c r="S117" s="347">
        <f t="shared" si="43"/>
        <v>1243.3663525383708</v>
      </c>
      <c r="T117" s="347">
        <f t="shared" si="43"/>
        <v>1608.7980682225345</v>
      </c>
      <c r="U117" s="347">
        <f t="shared" si="43"/>
        <v>1629.8638327506458</v>
      </c>
      <c r="V117" s="347">
        <f>U117*(1+$B113)+V115+V116+V48</f>
        <v>1688.7986553420419</v>
      </c>
      <c r="W117" s="347"/>
    </row>
    <row r="118" spans="1:24" hidden="1">
      <c r="B118" s="350" t="s">
        <v>655</v>
      </c>
      <c r="C118" s="347">
        <f t="shared" ref="C118:S118" si="44">C25+C22</f>
        <v>125.15</v>
      </c>
      <c r="D118" s="347">
        <f t="shared" si="44"/>
        <v>142.78</v>
      </c>
      <c r="E118" s="347">
        <f t="shared" si="44"/>
        <v>141.80000000000001</v>
      </c>
      <c r="F118" s="347">
        <f t="shared" si="44"/>
        <v>137.35</v>
      </c>
      <c r="G118" s="347">
        <f t="shared" si="44"/>
        <v>132.77000000000001</v>
      </c>
      <c r="H118" s="347">
        <f t="shared" si="44"/>
        <v>171.71</v>
      </c>
      <c r="I118" s="347">
        <f t="shared" si="44"/>
        <v>263.7</v>
      </c>
      <c r="J118" s="347">
        <f t="shared" si="44"/>
        <v>314.45999999999998</v>
      </c>
      <c r="K118" s="347">
        <f t="shared" si="44"/>
        <v>443.39</v>
      </c>
      <c r="L118" s="347">
        <f t="shared" si="44"/>
        <v>434.89</v>
      </c>
      <c r="M118" s="347">
        <f t="shared" si="44"/>
        <v>548.27</v>
      </c>
      <c r="N118" s="347">
        <f t="shared" si="44"/>
        <v>653.35</v>
      </c>
      <c r="O118" s="347">
        <f t="shared" si="44"/>
        <v>934.32999999999993</v>
      </c>
      <c r="P118" s="347">
        <f t="shared" si="44"/>
        <v>1116.8800000000001</v>
      </c>
      <c r="Q118" s="347">
        <f t="shared" si="44"/>
        <v>1309.06</v>
      </c>
      <c r="R118" s="347">
        <f t="shared" si="44"/>
        <v>1474.54</v>
      </c>
      <c r="S118" s="347">
        <f t="shared" si="44"/>
        <v>1501.94</v>
      </c>
      <c r="T118" s="347">
        <f>T20+T21+T34</f>
        <v>1871.15</v>
      </c>
      <c r="U118" s="347">
        <f>U20+U21+U34</f>
        <v>1943.9299999999998</v>
      </c>
      <c r="V118" s="347">
        <f>V20+V21+V34+V48</f>
        <v>2154.9899999999998</v>
      </c>
      <c r="W118" s="347"/>
      <c r="X118" s="353">
        <f>V118-V117</f>
        <v>466.19134465795787</v>
      </c>
    </row>
    <row r="119" spans="1:24" hidden="1">
      <c r="B119" s="350"/>
      <c r="C119" s="347"/>
      <c r="D119" s="347"/>
      <c r="E119" s="347"/>
      <c r="F119" s="347"/>
      <c r="G119" s="347"/>
      <c r="H119" s="347"/>
      <c r="I119" s="347"/>
      <c r="J119" s="347"/>
      <c r="K119" s="347"/>
      <c r="L119" s="347"/>
      <c r="M119" s="347"/>
      <c r="N119" s="347"/>
      <c r="O119" s="347"/>
      <c r="P119" s="347"/>
      <c r="Q119" s="347"/>
      <c r="R119" s="347"/>
      <c r="S119" s="347"/>
      <c r="T119" s="347"/>
      <c r="U119" s="348"/>
      <c r="V119" s="347">
        <f>V118-250-70</f>
        <v>1834.9899999999998</v>
      </c>
      <c r="W119" s="347"/>
      <c r="X119" s="353"/>
    </row>
    <row r="120" spans="1:24" hidden="1">
      <c r="B120" s="350"/>
      <c r="C120" s="347"/>
      <c r="D120" s="347"/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8"/>
      <c r="V120" s="347"/>
      <c r="W120" s="347"/>
      <c r="X120" s="351"/>
    </row>
    <row r="121" spans="1:24" hidden="1">
      <c r="A121" s="307" t="s">
        <v>641</v>
      </c>
      <c r="B121" s="351">
        <v>0.15</v>
      </c>
      <c r="V121" s="307" t="s">
        <v>644</v>
      </c>
      <c r="X121" s="351"/>
    </row>
    <row r="122" spans="1:24" hidden="1">
      <c r="A122" s="307" t="s">
        <v>645</v>
      </c>
      <c r="B122" s="352">
        <f>(1+B121)^(1/4)-1</f>
        <v>3.5558076341622114E-2</v>
      </c>
      <c r="U122" s="351">
        <v>7.6200000000000004E-2</v>
      </c>
      <c r="V122" s="351">
        <v>0.29830000000000001</v>
      </c>
      <c r="W122" s="351"/>
      <c r="X122" s="351">
        <v>6.7400000000000002E-2</v>
      </c>
    </row>
    <row r="123" spans="1:24" hidden="1">
      <c r="A123" s="307" t="s">
        <v>656</v>
      </c>
      <c r="B123" s="307" t="s">
        <v>657</v>
      </c>
      <c r="C123" s="307">
        <f>C41</f>
        <v>121.7</v>
      </c>
      <c r="D123" s="307">
        <f t="shared" ref="D123:V123" si="45">D103</f>
        <v>134.16</v>
      </c>
      <c r="E123" s="307">
        <f t="shared" si="45"/>
        <v>171.1</v>
      </c>
      <c r="F123" s="307">
        <f t="shared" si="45"/>
        <v>53.970000000000027</v>
      </c>
      <c r="G123" s="307">
        <f t="shared" si="45"/>
        <v>47.049999999999955</v>
      </c>
      <c r="H123" s="307">
        <f t="shared" si="45"/>
        <v>19.22</v>
      </c>
      <c r="I123" s="307">
        <f t="shared" si="45"/>
        <v>42.63</v>
      </c>
      <c r="J123" s="307">
        <f t="shared" si="45"/>
        <v>23.369999999999997</v>
      </c>
      <c r="K123" s="307">
        <f t="shared" si="45"/>
        <v>43.860000000000014</v>
      </c>
      <c r="L123" s="307">
        <f t="shared" si="45"/>
        <v>16.3</v>
      </c>
      <c r="M123" s="307">
        <f t="shared" si="45"/>
        <v>23.41</v>
      </c>
      <c r="N123" s="307">
        <f t="shared" si="45"/>
        <v>46.98</v>
      </c>
      <c r="O123" s="307">
        <f t="shared" si="45"/>
        <v>12.310000000000002</v>
      </c>
      <c r="P123" s="307">
        <f t="shared" si="45"/>
        <v>11.64</v>
      </c>
      <c r="Q123" s="307">
        <f t="shared" si="45"/>
        <v>40.700000000000003</v>
      </c>
      <c r="R123" s="307">
        <f t="shared" si="45"/>
        <v>59.34</v>
      </c>
      <c r="S123" s="307">
        <f t="shared" si="45"/>
        <v>79.539999999999992</v>
      </c>
      <c r="T123" s="307">
        <f t="shared" si="45"/>
        <v>211.09</v>
      </c>
      <c r="U123" s="307">
        <f t="shared" si="45"/>
        <v>108.66999999999999</v>
      </c>
      <c r="V123" s="307">
        <f t="shared" si="45"/>
        <v>67.889999999999986</v>
      </c>
    </row>
    <row r="124" spans="1:24" hidden="1">
      <c r="B124" s="307" t="s">
        <v>658</v>
      </c>
      <c r="C124" s="307">
        <v>0</v>
      </c>
      <c r="D124" s="347">
        <f t="shared" ref="D124:V124" si="46">D105</f>
        <v>-5.99</v>
      </c>
      <c r="E124" s="347">
        <f t="shared" si="46"/>
        <v>-0.91000000000000014</v>
      </c>
      <c r="F124" s="347">
        <f t="shared" si="46"/>
        <v>-0.38999999999999968</v>
      </c>
      <c r="G124" s="347">
        <f t="shared" si="46"/>
        <v>-11.869999999999997</v>
      </c>
      <c r="H124" s="347">
        <f t="shared" si="46"/>
        <v>-0.75</v>
      </c>
      <c r="I124" s="347">
        <f t="shared" si="46"/>
        <v>-37.900000000000006</v>
      </c>
      <c r="J124" s="347">
        <f t="shared" si="46"/>
        <v>-5.96</v>
      </c>
      <c r="K124" s="347">
        <f t="shared" si="46"/>
        <v>-15.159999999999997</v>
      </c>
      <c r="L124" s="347">
        <f t="shared" si="46"/>
        <v>-0.41000000000000003</v>
      </c>
      <c r="M124" s="347">
        <f t="shared" si="46"/>
        <v>-18.48</v>
      </c>
      <c r="N124" s="347">
        <f t="shared" si="46"/>
        <v>-22.08</v>
      </c>
      <c r="O124" s="347">
        <f t="shared" si="46"/>
        <v>2.7399999999999984</v>
      </c>
      <c r="P124" s="347">
        <f t="shared" si="46"/>
        <v>-0.66999999999999993</v>
      </c>
      <c r="Q124" s="347">
        <f t="shared" si="46"/>
        <v>-5.37</v>
      </c>
      <c r="R124" s="347">
        <f t="shared" si="46"/>
        <v>0.96999999999999886</v>
      </c>
      <c r="S124" s="347">
        <f t="shared" si="46"/>
        <v>198.01999999999998</v>
      </c>
      <c r="T124" s="347">
        <f t="shared" si="46"/>
        <v>15.540000000000001</v>
      </c>
      <c r="U124" s="347">
        <f t="shared" si="46"/>
        <v>18.460000000000004</v>
      </c>
      <c r="V124" s="347">
        <f t="shared" si="46"/>
        <v>520.4899999999999</v>
      </c>
      <c r="W124" s="347"/>
    </row>
    <row r="125" spans="1:24" hidden="1">
      <c r="B125" s="350" t="s">
        <v>654</v>
      </c>
      <c r="C125" s="307">
        <f>C123</f>
        <v>121.7</v>
      </c>
      <c r="D125" s="347">
        <f>C$125*(1+$B122)+D$123+D$124</f>
        <v>254.1974178907754</v>
      </c>
      <c r="E125" s="347">
        <f t="shared" ref="E125:U125" si="47">D125*(1+$B122)+E123+E124</f>
        <v>433.42618908197875</v>
      </c>
      <c r="F125" s="347">
        <f t="shared" si="47"/>
        <v>502.41799060181415</v>
      </c>
      <c r="G125" s="347">
        <f t="shared" si="47"/>
        <v>555.46300786703785</v>
      </c>
      <c r="H125" s="347">
        <f t="shared" si="47"/>
        <v>593.68420390572101</v>
      </c>
      <c r="I125" s="347">
        <f t="shared" si="47"/>
        <v>619.52447215101586</v>
      </c>
      <c r="J125" s="347">
        <f t="shared" si="47"/>
        <v>658.96357062726474</v>
      </c>
      <c r="K125" s="347">
        <f t="shared" si="47"/>
        <v>711.09504757797697</v>
      </c>
      <c r="L125" s="347">
        <f t="shared" si="47"/>
        <v>752.27021956590409</v>
      </c>
      <c r="M125" s="347">
        <f t="shared" si="47"/>
        <v>783.94950146275733</v>
      </c>
      <c r="N125" s="347">
        <f t="shared" si="47"/>
        <v>836.72523768374663</v>
      </c>
      <c r="O125" s="347">
        <f t="shared" si="47"/>
        <v>881.5275775622672</v>
      </c>
      <c r="P125" s="347">
        <f t="shared" si="47"/>
        <v>923.84300246247153</v>
      </c>
      <c r="Q125" s="347">
        <f t="shared" si="47"/>
        <v>992.02308247170549</v>
      </c>
      <c r="R125" s="347">
        <f t="shared" si="47"/>
        <v>1087.6075149708856</v>
      </c>
      <c r="S125" s="347">
        <f t="shared" si="47"/>
        <v>1403.8407460179421</v>
      </c>
      <c r="T125" s="347">
        <f t="shared" si="47"/>
        <v>1680.3886224363278</v>
      </c>
      <c r="U125" s="347">
        <f t="shared" si="47"/>
        <v>1867.270009356512</v>
      </c>
      <c r="V125" s="347">
        <f>U125*(1+$B122)+V123+V124-V48</f>
        <v>1835.4865388996323</v>
      </c>
      <c r="W125" s="347"/>
    </row>
    <row r="126" spans="1:24" hidden="1">
      <c r="B126" s="350" t="s">
        <v>659</v>
      </c>
      <c r="C126" s="307">
        <f>C123</f>
        <v>121.7</v>
      </c>
      <c r="D126" s="350">
        <f t="shared" ref="D126:U126" si="48">D18</f>
        <v>249.28</v>
      </c>
      <c r="E126" s="350">
        <f t="shared" si="48"/>
        <v>426.04</v>
      </c>
      <c r="F126" s="350">
        <f t="shared" si="48"/>
        <v>498.17</v>
      </c>
      <c r="G126" s="350">
        <f t="shared" si="48"/>
        <v>511.31</v>
      </c>
      <c r="H126" s="350">
        <f t="shared" si="48"/>
        <v>531.61</v>
      </c>
      <c r="I126" s="350">
        <f t="shared" si="48"/>
        <v>534.46</v>
      </c>
      <c r="J126" s="350">
        <f t="shared" si="48"/>
        <v>574.30999999999995</v>
      </c>
      <c r="K126" s="350">
        <f t="shared" si="48"/>
        <v>601.71</v>
      </c>
      <c r="L126" s="350">
        <f t="shared" si="48"/>
        <v>607.47</v>
      </c>
      <c r="M126" s="350">
        <f t="shared" si="48"/>
        <v>640.91999999999996</v>
      </c>
      <c r="N126" s="350">
        <f t="shared" si="48"/>
        <v>666.13</v>
      </c>
      <c r="O126" s="350">
        <f t="shared" si="48"/>
        <v>700.42</v>
      </c>
      <c r="P126" s="350">
        <f t="shared" si="48"/>
        <v>699.83</v>
      </c>
      <c r="Q126" s="350">
        <f t="shared" si="48"/>
        <v>742.02</v>
      </c>
      <c r="R126" s="350">
        <f t="shared" si="48"/>
        <v>814.15</v>
      </c>
      <c r="S126" s="350">
        <f t="shared" si="48"/>
        <v>1137.79</v>
      </c>
      <c r="T126" s="350">
        <f t="shared" si="48"/>
        <v>1351.18</v>
      </c>
      <c r="U126" s="350">
        <f t="shared" si="48"/>
        <v>1528.02</v>
      </c>
      <c r="V126" s="308">
        <f>V18-V48</f>
        <v>1455.2200000000003</v>
      </c>
      <c r="W126" s="308"/>
    </row>
    <row r="127" spans="1:24" hidden="1">
      <c r="B127" s="307" t="s">
        <v>660</v>
      </c>
      <c r="C127" s="307">
        <v>121.7</v>
      </c>
      <c r="D127" s="347">
        <f>C$127*(1+$U122)+D$123+D$124</f>
        <v>259.14354000000003</v>
      </c>
      <c r="E127" s="347">
        <f t="shared" ref="E127:V127" si="49">D$127*(1+$U122)+E$123+E$124</f>
        <v>449.08027774800001</v>
      </c>
      <c r="F127" s="347">
        <f t="shared" si="49"/>
        <v>536.88019491239766</v>
      </c>
      <c r="G127" s="347">
        <f t="shared" si="49"/>
        <v>612.97046576472235</v>
      </c>
      <c r="H127" s="347">
        <f t="shared" si="49"/>
        <v>678.14881525599424</v>
      </c>
      <c r="I127" s="347">
        <f t="shared" si="49"/>
        <v>734.55375497850105</v>
      </c>
      <c r="J127" s="347">
        <f t="shared" si="49"/>
        <v>807.93675110786285</v>
      </c>
      <c r="K127" s="347">
        <f t="shared" si="49"/>
        <v>898.20153154228205</v>
      </c>
      <c r="L127" s="347">
        <f t="shared" si="49"/>
        <v>982.53448824580403</v>
      </c>
      <c r="M127" s="347">
        <f t="shared" si="49"/>
        <v>1062.3336162501344</v>
      </c>
      <c r="N127" s="347">
        <f t="shared" si="49"/>
        <v>1168.1834378083947</v>
      </c>
      <c r="O127" s="347">
        <f t="shared" si="49"/>
        <v>1272.2490157693944</v>
      </c>
      <c r="P127" s="347">
        <f t="shared" si="49"/>
        <v>1380.1643907710225</v>
      </c>
      <c r="Q127" s="347">
        <f t="shared" si="49"/>
        <v>1520.6629173477745</v>
      </c>
      <c r="R127" s="347">
        <f t="shared" si="49"/>
        <v>1696.8474316496749</v>
      </c>
      <c r="S127" s="347">
        <f t="shared" si="49"/>
        <v>2103.7072059413804</v>
      </c>
      <c r="T127" s="347">
        <f t="shared" si="49"/>
        <v>2490.6396950341136</v>
      </c>
      <c r="U127" s="347">
        <f t="shared" si="49"/>
        <v>2807.5564397957132</v>
      </c>
      <c r="V127" s="347">
        <f t="shared" si="49"/>
        <v>3609.8722405081462</v>
      </c>
      <c r="W127" s="347"/>
    </row>
    <row r="128" spans="1:24" hidden="1">
      <c r="V128" s="307">
        <v>500</v>
      </c>
      <c r="X128" s="307">
        <v>575</v>
      </c>
    </row>
    <row r="129" spans="22:22" hidden="1">
      <c r="V129" s="307">
        <f>V126+V128</f>
        <v>1955.2200000000003</v>
      </c>
    </row>
    <row r="130" spans="22:22" hidden="1">
      <c r="V130" s="307">
        <f>V129+X128</f>
        <v>2530.2200000000003</v>
      </c>
    </row>
    <row r="131" spans="22:22" hidden="1"/>
    <row r="155" spans="14:14">
      <c r="N155" s="351"/>
    </row>
  </sheetData>
  <phoneticPr fontId="7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S47"/>
  <sheetViews>
    <sheetView zoomScale="80" zoomScaleNormal="80" workbookViewId="0">
      <selection activeCell="X26" sqref="X26"/>
    </sheetView>
  </sheetViews>
  <sheetFormatPr defaultColWidth="9" defaultRowHeight="16.5"/>
  <cols>
    <col min="1" max="1" width="9" style="354"/>
    <col min="2" max="2" width="19.375" style="354" customWidth="1"/>
    <col min="3" max="8" width="9" style="354"/>
    <col min="9" max="9" width="9.5" style="354" customWidth="1"/>
    <col min="10" max="16384" width="9" style="354"/>
  </cols>
  <sheetData>
    <row r="1" spans="1:19">
      <c r="A1" s="354" t="s">
        <v>1000</v>
      </c>
    </row>
    <row r="2" spans="1:19">
      <c r="C2" s="355">
        <v>43011</v>
      </c>
      <c r="D2" s="355">
        <v>43042</v>
      </c>
      <c r="E2" s="355">
        <v>43073</v>
      </c>
      <c r="F2" s="355">
        <v>43104</v>
      </c>
      <c r="G2" s="355">
        <v>43135</v>
      </c>
      <c r="H2" s="355">
        <v>43166</v>
      </c>
      <c r="I2" s="355">
        <v>43197</v>
      </c>
      <c r="J2" s="355">
        <v>43228</v>
      </c>
      <c r="K2" s="355">
        <v>43259</v>
      </c>
      <c r="L2" s="355">
        <v>43289</v>
      </c>
      <c r="M2" s="355">
        <v>43320</v>
      </c>
      <c r="N2" s="355">
        <v>43351</v>
      </c>
      <c r="O2" s="355">
        <v>43381</v>
      </c>
      <c r="P2" s="355">
        <v>43412</v>
      </c>
      <c r="Q2" s="355">
        <v>43442</v>
      </c>
      <c r="R2" s="355"/>
      <c r="S2" s="355"/>
    </row>
    <row r="3" spans="1:19">
      <c r="B3" s="354" t="s">
        <v>998</v>
      </c>
      <c r="C3" s="366">
        <f>C4/C5</f>
        <v>9.8130841121495322</v>
      </c>
      <c r="D3" s="366">
        <f t="shared" ref="D3:O3" si="0">D4/D5</f>
        <v>10</v>
      </c>
      <c r="E3" s="366">
        <f t="shared" si="0"/>
        <v>10.196078431372548</v>
      </c>
      <c r="F3" s="366">
        <f t="shared" si="0"/>
        <v>10.405904059040589</v>
      </c>
      <c r="G3" s="366">
        <f t="shared" si="0"/>
        <v>10.605536332179931</v>
      </c>
      <c r="H3" s="366">
        <f t="shared" si="0"/>
        <v>10.793357933579335</v>
      </c>
      <c r="I3" s="366">
        <f t="shared" si="0"/>
        <v>10.998043052837573</v>
      </c>
      <c r="J3" s="366">
        <f t="shared" si="0"/>
        <v>10.988142292490117</v>
      </c>
      <c r="K3" s="366">
        <f t="shared" si="0"/>
        <v>10.99609375</v>
      </c>
      <c r="L3" s="366">
        <f t="shared" si="0"/>
        <v>11.01010101010101</v>
      </c>
      <c r="M3" s="366">
        <f t="shared" si="0"/>
        <v>10.990099009900989</v>
      </c>
      <c r="N3" s="366">
        <f t="shared" si="0"/>
        <v>10.987903225806452</v>
      </c>
      <c r="O3" s="366">
        <f t="shared" si="0"/>
        <v>11.002087682672233</v>
      </c>
      <c r="P3" s="355"/>
      <c r="Q3" s="355"/>
      <c r="R3" s="355"/>
      <c r="S3" s="355"/>
    </row>
    <row r="4" spans="1:19">
      <c r="B4" s="354" t="s">
        <v>997</v>
      </c>
      <c r="C4" s="354">
        <v>5.25</v>
      </c>
      <c r="D4" s="354">
        <v>5.32</v>
      </c>
      <c r="E4" s="354">
        <v>5.2</v>
      </c>
      <c r="F4" s="354">
        <v>5.64</v>
      </c>
      <c r="G4" s="354">
        <v>6.13</v>
      </c>
      <c r="H4" s="354">
        <v>5.85</v>
      </c>
      <c r="I4" s="354">
        <v>5.62</v>
      </c>
      <c r="J4" s="354">
        <v>5.56</v>
      </c>
      <c r="K4" s="354">
        <v>5.63</v>
      </c>
      <c r="L4" s="354">
        <v>5.45</v>
      </c>
      <c r="M4" s="354">
        <v>5.55</v>
      </c>
      <c r="N4" s="354">
        <v>5.45</v>
      </c>
      <c r="O4" s="354">
        <v>5.27</v>
      </c>
    </row>
    <row r="5" spans="1:19">
      <c r="B5" s="354" t="s">
        <v>996</v>
      </c>
      <c r="C5" s="370">
        <v>0.53500000000000003</v>
      </c>
      <c r="D5" s="370">
        <v>0.53200000000000003</v>
      </c>
      <c r="E5" s="370">
        <v>0.51</v>
      </c>
      <c r="F5" s="370">
        <v>0.54200000000000004</v>
      </c>
      <c r="G5" s="431">
        <v>0.57799999999999996</v>
      </c>
      <c r="H5" s="431">
        <v>0.54200000000000004</v>
      </c>
      <c r="I5" s="431">
        <v>0.51100000000000001</v>
      </c>
      <c r="J5" s="431">
        <v>0.50600000000000001</v>
      </c>
      <c r="K5" s="431">
        <v>0.51200000000000001</v>
      </c>
      <c r="L5" s="431">
        <v>0.495</v>
      </c>
      <c r="M5" s="431">
        <v>0.505</v>
      </c>
      <c r="N5" s="431">
        <v>0.496</v>
      </c>
      <c r="O5" s="431">
        <v>0.47899999999999998</v>
      </c>
    </row>
    <row r="6" spans="1:19">
      <c r="B6" s="354" t="s">
        <v>995</v>
      </c>
      <c r="C6" s="354">
        <v>3.25</v>
      </c>
      <c r="D6" s="354">
        <v>3.33</v>
      </c>
      <c r="E6" s="354">
        <v>3.13</v>
      </c>
      <c r="F6" s="354">
        <v>3.6</v>
      </c>
      <c r="G6" s="354">
        <v>4.03</v>
      </c>
      <c r="H6" s="354">
        <v>3.83</v>
      </c>
      <c r="I6" s="354">
        <v>3.69</v>
      </c>
      <c r="J6" s="354">
        <v>3.76</v>
      </c>
      <c r="K6" s="354">
        <v>3.84</v>
      </c>
      <c r="L6" s="354">
        <v>3.72</v>
      </c>
      <c r="M6" s="354">
        <v>3.92</v>
      </c>
      <c r="N6" s="354">
        <v>3.69</v>
      </c>
      <c r="O6" s="354">
        <v>3.69</v>
      </c>
    </row>
    <row r="7" spans="1:19">
      <c r="O7" s="358"/>
    </row>
    <row r="9" spans="1:19">
      <c r="B9" s="354" t="s">
        <v>662</v>
      </c>
      <c r="C9" s="355">
        <v>43011</v>
      </c>
      <c r="D9" s="355">
        <v>43042</v>
      </c>
      <c r="E9" s="355">
        <v>43073</v>
      </c>
      <c r="F9" s="355">
        <v>43104</v>
      </c>
      <c r="G9" s="355">
        <v>43135</v>
      </c>
      <c r="H9" s="355">
        <v>43166</v>
      </c>
      <c r="I9" s="355">
        <v>43197</v>
      </c>
      <c r="J9" s="355">
        <v>43228</v>
      </c>
      <c r="K9" s="355">
        <v>43259</v>
      </c>
      <c r="L9" s="355">
        <v>43289</v>
      </c>
      <c r="M9" s="355">
        <v>43320</v>
      </c>
      <c r="N9" s="355">
        <v>43351</v>
      </c>
      <c r="O9" s="355">
        <v>43381</v>
      </c>
      <c r="P9" s="355">
        <v>43412</v>
      </c>
      <c r="Q9" s="355">
        <v>43442</v>
      </c>
      <c r="R9" s="355">
        <v>43474</v>
      </c>
      <c r="S9" s="355">
        <v>43506</v>
      </c>
    </row>
    <row r="10" spans="1:19">
      <c r="B10" s="354" t="s">
        <v>663</v>
      </c>
      <c r="C10" s="354">
        <v>18835</v>
      </c>
      <c r="D10" s="354">
        <v>15341</v>
      </c>
      <c r="E10" s="354">
        <v>14508</v>
      </c>
      <c r="F10" s="354">
        <v>14251</v>
      </c>
      <c r="G10" s="354">
        <v>19285</v>
      </c>
      <c r="H10" s="354">
        <v>16034</v>
      </c>
      <c r="I10" s="354">
        <v>15375</v>
      </c>
      <c r="J10" s="354">
        <v>14113</v>
      </c>
      <c r="K10" s="354">
        <v>14360</v>
      </c>
      <c r="L10" s="354">
        <v>15784</v>
      </c>
      <c r="M10" s="354">
        <v>15223</v>
      </c>
      <c r="N10" s="354">
        <v>12636</v>
      </c>
      <c r="O10" s="354">
        <v>12841</v>
      </c>
      <c r="P10" s="354">
        <v>12507</v>
      </c>
      <c r="Q10" s="354">
        <v>12325</v>
      </c>
      <c r="R10" s="354">
        <v>14693</v>
      </c>
      <c r="S10" s="354">
        <v>15111</v>
      </c>
    </row>
    <row r="11" spans="1:19">
      <c r="B11" s="354" t="s">
        <v>664</v>
      </c>
      <c r="C11" s="354">
        <v>10412</v>
      </c>
      <c r="D11" s="354">
        <v>10007</v>
      </c>
      <c r="E11" s="354">
        <v>9851</v>
      </c>
      <c r="F11" s="354">
        <v>8879</v>
      </c>
      <c r="G11" s="354">
        <v>9153</v>
      </c>
      <c r="H11" s="354">
        <v>8496</v>
      </c>
      <c r="I11" s="354">
        <v>8229</v>
      </c>
      <c r="J11" s="354">
        <v>7948</v>
      </c>
      <c r="K11" s="354">
        <v>8647</v>
      </c>
      <c r="L11" s="354">
        <v>8206</v>
      </c>
      <c r="M11" s="354">
        <v>8325</v>
      </c>
      <c r="N11" s="354">
        <v>7776</v>
      </c>
      <c r="O11" s="354">
        <v>7659</v>
      </c>
      <c r="P11" s="354">
        <v>7341</v>
      </c>
      <c r="Q11" s="354">
        <v>7374</v>
      </c>
      <c r="R11" s="354">
        <v>7626</v>
      </c>
      <c r="S11" s="354">
        <v>7326</v>
      </c>
    </row>
    <row r="12" spans="1:19">
      <c r="B12" s="354" t="s">
        <v>665</v>
      </c>
      <c r="C12" s="354">
        <v>2802</v>
      </c>
      <c r="D12" s="354">
        <v>2684</v>
      </c>
      <c r="E12" s="354">
        <v>2673</v>
      </c>
      <c r="F12" s="354">
        <v>2612</v>
      </c>
      <c r="G12" s="354">
        <v>2803</v>
      </c>
      <c r="H12" s="354">
        <v>2761</v>
      </c>
      <c r="I12" s="354">
        <v>2662</v>
      </c>
      <c r="J12" s="354">
        <v>2527</v>
      </c>
      <c r="K12" s="354">
        <v>2694</v>
      </c>
      <c r="L12" s="354">
        <v>2498</v>
      </c>
      <c r="M12" s="354">
        <v>2496</v>
      </c>
      <c r="N12" s="354">
        <v>2278</v>
      </c>
      <c r="O12" s="354">
        <v>2232</v>
      </c>
      <c r="P12" s="354">
        <v>2112</v>
      </c>
      <c r="Q12" s="354">
        <v>2122</v>
      </c>
      <c r="R12" s="354">
        <v>2185</v>
      </c>
      <c r="S12" s="354">
        <v>2110</v>
      </c>
    </row>
    <row r="13" spans="1:19">
      <c r="B13" s="354" t="s">
        <v>666</v>
      </c>
      <c r="E13" s="354">
        <v>1157</v>
      </c>
      <c r="F13" s="354">
        <v>4751</v>
      </c>
      <c r="G13" s="354">
        <v>4903</v>
      </c>
      <c r="H13" s="354">
        <v>2613</v>
      </c>
      <c r="I13" s="354">
        <v>1852</v>
      </c>
      <c r="J13" s="354">
        <v>1499</v>
      </c>
      <c r="K13" s="354">
        <v>1713</v>
      </c>
      <c r="L13" s="354">
        <v>1789</v>
      </c>
      <c r="M13" s="354">
        <v>1808</v>
      </c>
      <c r="N13" s="354">
        <v>1240</v>
      </c>
      <c r="O13" s="354">
        <v>1221</v>
      </c>
      <c r="P13" s="354">
        <v>1103</v>
      </c>
      <c r="Q13" s="354">
        <v>1158</v>
      </c>
      <c r="R13" s="354">
        <v>1574</v>
      </c>
      <c r="S13" s="354">
        <v>1686</v>
      </c>
    </row>
    <row r="14" spans="1:19">
      <c r="B14" s="354" t="s">
        <v>999</v>
      </c>
      <c r="F14" s="354">
        <v>2450</v>
      </c>
      <c r="G14" s="354">
        <v>2992</v>
      </c>
      <c r="H14" s="354">
        <v>1939</v>
      </c>
      <c r="I14" s="354">
        <v>1632</v>
      </c>
      <c r="J14" s="354">
        <v>1599</v>
      </c>
      <c r="K14" s="354">
        <v>1514</v>
      </c>
      <c r="L14" s="354">
        <v>1860</v>
      </c>
      <c r="M14" s="354">
        <v>1787</v>
      </c>
      <c r="N14" s="354">
        <v>1031</v>
      </c>
      <c r="O14" s="354">
        <v>1161</v>
      </c>
      <c r="P14" s="354">
        <v>956</v>
      </c>
      <c r="Q14" s="354">
        <v>1188</v>
      </c>
      <c r="R14" s="354">
        <v>1446</v>
      </c>
      <c r="S14" s="354">
        <v>1564</v>
      </c>
    </row>
    <row r="15" spans="1:19">
      <c r="B15" s="354" t="s">
        <v>667</v>
      </c>
      <c r="H15" s="354">
        <v>7763</v>
      </c>
      <c r="I15" s="354">
        <v>10760</v>
      </c>
      <c r="J15" s="354">
        <v>10936</v>
      </c>
      <c r="K15" s="354">
        <v>13897</v>
      </c>
      <c r="L15" s="354">
        <v>17727</v>
      </c>
      <c r="M15" s="354">
        <v>18318</v>
      </c>
      <c r="N15" s="354">
        <v>14231</v>
      </c>
      <c r="O15" s="354">
        <v>14383</v>
      </c>
      <c r="P15" s="354">
        <v>12814</v>
      </c>
      <c r="Q15" s="354">
        <v>12954</v>
      </c>
      <c r="R15" s="354">
        <v>14462</v>
      </c>
      <c r="S15" s="354">
        <v>18565</v>
      </c>
    </row>
    <row r="16" spans="1:19">
      <c r="B16" s="354" t="s">
        <v>668</v>
      </c>
      <c r="H16" s="354">
        <v>2826</v>
      </c>
      <c r="I16" s="354">
        <v>2715</v>
      </c>
      <c r="J16" s="354">
        <v>2565</v>
      </c>
      <c r="K16" s="354">
        <v>3081</v>
      </c>
      <c r="L16" s="354">
        <v>3231</v>
      </c>
      <c r="M16" s="354">
        <v>2701</v>
      </c>
      <c r="N16" s="354">
        <v>1976</v>
      </c>
      <c r="O16" s="354">
        <v>1925</v>
      </c>
      <c r="P16" s="354">
        <v>1726</v>
      </c>
      <c r="Q16" s="354">
        <v>1617</v>
      </c>
      <c r="R16" s="354">
        <v>1856</v>
      </c>
      <c r="S16" s="354">
        <v>1841</v>
      </c>
    </row>
    <row r="19" spans="2:14">
      <c r="C19" s="354" t="s">
        <v>669</v>
      </c>
      <c r="D19" s="354" t="s">
        <v>670</v>
      </c>
      <c r="E19" s="354" t="s">
        <v>671</v>
      </c>
      <c r="F19" s="354" t="s">
        <v>672</v>
      </c>
      <c r="G19" s="354" t="s">
        <v>290</v>
      </c>
    </row>
    <row r="20" spans="2:14">
      <c r="B20" s="354" t="s">
        <v>673</v>
      </c>
      <c r="C20" s="356">
        <f>AVERAGE(C10:E10)</f>
        <v>16228</v>
      </c>
      <c r="D20" s="356">
        <f>AVERAGE(F10:H10)</f>
        <v>16523.333333333332</v>
      </c>
      <c r="E20" s="356">
        <f>AVERAGE(I10:K10)</f>
        <v>14616</v>
      </c>
      <c r="F20" s="356">
        <f>AVERAGE(L10:N10)</f>
        <v>14547.666666666666</v>
      </c>
      <c r="G20" s="356">
        <f>AVERAGE(O10:Q10)</f>
        <v>12557.666666666666</v>
      </c>
    </row>
    <row r="21" spans="2:14">
      <c r="B21" s="354" t="s">
        <v>674</v>
      </c>
      <c r="C21" s="356">
        <f>AVERAGE(C11:E11)</f>
        <v>10090</v>
      </c>
      <c r="D21" s="356">
        <f>AVERAGE(F11:H11)</f>
        <v>8842.6666666666661</v>
      </c>
      <c r="E21" s="356">
        <f>AVERAGE(I11:K11)</f>
        <v>8274.6666666666661</v>
      </c>
      <c r="F21" s="356">
        <f>AVERAGE(L11:N11)</f>
        <v>8102.333333333333</v>
      </c>
      <c r="G21" s="356">
        <f>AVERAGE(O11:Q11)</f>
        <v>7458</v>
      </c>
    </row>
    <row r="22" spans="2:14">
      <c r="B22" s="354" t="s">
        <v>675</v>
      </c>
      <c r="C22" s="356">
        <f>AVERAGE(C12:E12)</f>
        <v>2719.6666666666665</v>
      </c>
      <c r="D22" s="356">
        <f>AVERAGE(F12:H12)</f>
        <v>2725.3333333333335</v>
      </c>
      <c r="E22" s="356">
        <f>AVERAGE(I12:K12)</f>
        <v>2627.6666666666665</v>
      </c>
      <c r="F22" s="356">
        <f>AVERAGE(L12:N12)</f>
        <v>2424</v>
      </c>
      <c r="G22" s="356">
        <f>AVERAGE(O12:Q12)</f>
        <v>2155.3333333333335</v>
      </c>
    </row>
    <row r="23" spans="2:14">
      <c r="B23" s="354" t="s">
        <v>676</v>
      </c>
      <c r="C23" s="356">
        <f>E13/3</f>
        <v>385.66666666666669</v>
      </c>
      <c r="D23" s="356">
        <f>AVERAGE(F13:H13)</f>
        <v>4089</v>
      </c>
      <c r="E23" s="356">
        <f>AVERAGE(I13:K13)</f>
        <v>1688</v>
      </c>
      <c r="F23" s="356">
        <f>AVERAGE(L13:N13)</f>
        <v>1612.3333333333333</v>
      </c>
      <c r="G23" s="356">
        <f>AVERAGE(O13:Q13)</f>
        <v>1160.6666666666667</v>
      </c>
    </row>
    <row r="24" spans="2:14">
      <c r="B24" s="354" t="s">
        <v>999</v>
      </c>
      <c r="C24" s="356">
        <f>E14/3</f>
        <v>0</v>
      </c>
      <c r="D24" s="356">
        <f>AVERAGE(F14:H14)</f>
        <v>2460.3333333333335</v>
      </c>
      <c r="E24" s="356">
        <f>AVERAGE(I14:K14)</f>
        <v>1581.6666666666667</v>
      </c>
      <c r="F24" s="356">
        <f>AVERAGE(L14:N14)</f>
        <v>1559.3333333333333</v>
      </c>
      <c r="G24" s="356">
        <f>AVERAGE(O14:Q14)</f>
        <v>1101.6666666666667</v>
      </c>
    </row>
    <row r="25" spans="2:14">
      <c r="B25" s="354" t="s">
        <v>677</v>
      </c>
      <c r="C25" s="356"/>
      <c r="D25" s="356">
        <f>SUM(H15:H16)/3</f>
        <v>3529.6666666666665</v>
      </c>
      <c r="E25" s="356">
        <f>(SUM(I15:K15)+SUM(I16:K16))/3</f>
        <v>14651.333333333334</v>
      </c>
      <c r="F25" s="356">
        <f>(SUM(L15:N15)+SUM(L16:N16))/3</f>
        <v>19394.666666666668</v>
      </c>
      <c r="G25" s="356">
        <f t="shared" ref="G25" si="1">AVERAGE(O15:Q15)</f>
        <v>13383.666666666666</v>
      </c>
    </row>
    <row r="26" spans="2:14">
      <c r="C26" s="356"/>
      <c r="D26" s="356"/>
      <c r="E26" s="356"/>
      <c r="F26" s="356"/>
      <c r="G26" s="356"/>
    </row>
    <row r="27" spans="2:14">
      <c r="B27" s="354" t="s">
        <v>1001</v>
      </c>
      <c r="C27" s="366">
        <f>AVERAGE(C6:E6)</f>
        <v>3.2366666666666668</v>
      </c>
      <c r="D27" s="366">
        <f>AVERAGE(F6:H6)</f>
        <v>3.8200000000000003</v>
      </c>
      <c r="E27" s="366">
        <f>AVERAGE(I6:K6)</f>
        <v>3.7633333333333332</v>
      </c>
      <c r="F27" s="366">
        <f>AVERAGE(L6:N6)</f>
        <v>3.7766666666666668</v>
      </c>
      <c r="G27" s="366"/>
    </row>
    <row r="29" spans="2:14">
      <c r="B29" s="354" t="s">
        <v>678</v>
      </c>
      <c r="D29" s="354">
        <v>2015.12</v>
      </c>
      <c r="E29" s="354">
        <v>2016.3</v>
      </c>
      <c r="F29" s="354">
        <v>2016.6</v>
      </c>
      <c r="G29" s="354">
        <v>2016.9</v>
      </c>
      <c r="H29" s="354">
        <v>2016.12</v>
      </c>
      <c r="I29" s="354">
        <v>2017.3</v>
      </c>
      <c r="J29" s="354">
        <v>2017.6</v>
      </c>
      <c r="K29" s="354">
        <v>2017.9</v>
      </c>
      <c r="L29" s="354">
        <v>2017.12</v>
      </c>
      <c r="M29" s="354">
        <v>2018.3</v>
      </c>
      <c r="N29" s="354">
        <v>2018.6</v>
      </c>
    </row>
    <row r="30" spans="2:14">
      <c r="B30" s="354" t="s">
        <v>661</v>
      </c>
      <c r="H30" s="357"/>
      <c r="I30" s="357"/>
      <c r="J30" s="357"/>
      <c r="K30" s="357">
        <v>0.23899999999999999</v>
      </c>
      <c r="L30" s="357">
        <v>0.21779999999999999</v>
      </c>
      <c r="M30" s="358">
        <v>0.217</v>
      </c>
      <c r="N30" s="358">
        <v>0.19700000000000001</v>
      </c>
    </row>
    <row r="31" spans="2:14">
      <c r="B31" s="354" t="s">
        <v>679</v>
      </c>
      <c r="H31" s="357"/>
      <c r="I31" s="357"/>
      <c r="J31" s="357"/>
      <c r="K31" s="357"/>
      <c r="L31" s="357"/>
      <c r="M31" s="358">
        <v>6.8000000000000005E-2</v>
      </c>
      <c r="N31" s="358">
        <v>0.123</v>
      </c>
    </row>
    <row r="32" spans="2:14">
      <c r="B32" s="354" t="s">
        <v>680</v>
      </c>
      <c r="H32" s="357"/>
      <c r="I32" s="357"/>
      <c r="J32" s="357"/>
      <c r="K32" s="357">
        <v>8.6999999999999994E-2</v>
      </c>
      <c r="L32" s="357">
        <v>8.4599999999999995E-2</v>
      </c>
      <c r="M32" s="358">
        <v>8.3000000000000004E-2</v>
      </c>
      <c r="N32" s="358">
        <v>7.2999999999999995E-2</v>
      </c>
    </row>
    <row r="33" spans="1:14">
      <c r="B33" s="354" t="s">
        <v>681</v>
      </c>
      <c r="H33" s="357"/>
      <c r="I33" s="357"/>
      <c r="J33" s="357"/>
      <c r="K33" s="357">
        <v>3.9E-2</v>
      </c>
      <c r="L33" s="357">
        <v>5.3499999999999999E-2</v>
      </c>
      <c r="M33" s="358">
        <v>5.3999999999999999E-2</v>
      </c>
      <c r="N33" s="358">
        <v>3.6999999999999998E-2</v>
      </c>
    </row>
    <row r="34" spans="1:14">
      <c r="B34" s="354" t="s">
        <v>676</v>
      </c>
      <c r="H34" s="357"/>
      <c r="I34" s="357"/>
      <c r="J34" s="357"/>
      <c r="K34" s="357"/>
      <c r="L34" s="357"/>
      <c r="M34" s="358">
        <v>7.3999999999999996E-2</v>
      </c>
      <c r="N34" s="358">
        <v>3.5999999999999997E-2</v>
      </c>
    </row>
    <row r="35" spans="1:14">
      <c r="B35" s="354" t="s">
        <v>675</v>
      </c>
      <c r="H35" s="357"/>
      <c r="I35" s="357"/>
      <c r="J35" s="357"/>
      <c r="K35" s="357">
        <v>3.2000000000000001E-2</v>
      </c>
      <c r="L35" s="357">
        <v>3.3300000000000003E-2</v>
      </c>
      <c r="M35" s="358">
        <v>3.7999999999999999E-2</v>
      </c>
      <c r="N35" s="358">
        <v>3.5000000000000003E-2</v>
      </c>
    </row>
    <row r="36" spans="1:14">
      <c r="A36" s="359"/>
      <c r="B36" s="359" t="s">
        <v>682</v>
      </c>
      <c r="C36" s="359"/>
      <c r="D36" s="359"/>
      <c r="E36" s="359"/>
      <c r="F36" s="359"/>
      <c r="G36" s="359"/>
      <c r="H36" s="360"/>
      <c r="I36" s="360"/>
      <c r="J36" s="360"/>
      <c r="K36" s="361">
        <f>SUM(K30:K35)</f>
        <v>0.39699999999999991</v>
      </c>
      <c r="L36" s="361">
        <f>SUM(L30:L35)</f>
        <v>0.38919999999999999</v>
      </c>
      <c r="M36" s="361">
        <f>SUM(M30:M35)</f>
        <v>0.53400000000000003</v>
      </c>
      <c r="N36" s="361">
        <f>SUM(N30:N35)</f>
        <v>0.501</v>
      </c>
    </row>
    <row r="37" spans="1:14">
      <c r="B37" s="359"/>
      <c r="H37" s="357"/>
      <c r="I37" s="357"/>
      <c r="J37" s="357"/>
      <c r="K37" s="357"/>
      <c r="L37" s="358"/>
      <c r="M37" s="358"/>
      <c r="N37" s="358"/>
    </row>
    <row r="38" spans="1:14">
      <c r="A38" s="354" t="s">
        <v>683</v>
      </c>
    </row>
    <row r="39" spans="1:14">
      <c r="A39" s="354" t="s">
        <v>684</v>
      </c>
      <c r="B39" s="354" t="s">
        <v>661</v>
      </c>
      <c r="D39" s="354">
        <v>7.5</v>
      </c>
      <c r="E39" s="354">
        <v>19</v>
      </c>
      <c r="F39" s="354">
        <v>27</v>
      </c>
      <c r="G39" s="354">
        <v>36</v>
      </c>
      <c r="H39" s="354">
        <v>50</v>
      </c>
      <c r="I39" s="354">
        <v>80</v>
      </c>
      <c r="J39" s="354">
        <v>60</v>
      </c>
      <c r="K39" s="354">
        <v>68</v>
      </c>
      <c r="L39" s="362">
        <v>63.98</v>
      </c>
      <c r="M39" s="362">
        <v>61.1</v>
      </c>
      <c r="N39" s="362">
        <v>48.9</v>
      </c>
    </row>
    <row r="40" spans="1:14">
      <c r="A40" s="354" t="s">
        <v>684</v>
      </c>
      <c r="B40" s="354" t="s">
        <v>679</v>
      </c>
      <c r="L40" s="362"/>
      <c r="M40" s="362">
        <v>9.3000000000000007</v>
      </c>
      <c r="N40" s="362">
        <v>14.8</v>
      </c>
    </row>
    <row r="41" spans="1:14">
      <c r="A41" s="354" t="s">
        <v>685</v>
      </c>
      <c r="B41" s="354" t="s">
        <v>680</v>
      </c>
      <c r="L41" s="362">
        <v>15.4</v>
      </c>
      <c r="M41" s="362">
        <v>14.8</v>
      </c>
      <c r="N41" s="362">
        <v>13.7</v>
      </c>
    </row>
    <row r="42" spans="1:14">
      <c r="A42" s="354" t="s">
        <v>686</v>
      </c>
      <c r="B42" s="354" t="s">
        <v>681</v>
      </c>
      <c r="L42" s="362">
        <v>6.09</v>
      </c>
      <c r="M42" s="362">
        <v>3.3</v>
      </c>
      <c r="N42" s="362">
        <v>1.9</v>
      </c>
    </row>
    <row r="43" spans="1:14">
      <c r="A43" s="354" t="s">
        <v>685</v>
      </c>
      <c r="B43" s="354" t="s">
        <v>676</v>
      </c>
      <c r="L43" s="362">
        <v>1.4</v>
      </c>
      <c r="M43" s="362">
        <v>8.6</v>
      </c>
      <c r="N43" s="362">
        <v>4.2</v>
      </c>
    </row>
    <row r="44" spans="1:14">
      <c r="A44" s="354" t="s">
        <v>684</v>
      </c>
      <c r="B44" s="354" t="s">
        <v>687</v>
      </c>
      <c r="L44" s="362">
        <v>6.46</v>
      </c>
      <c r="M44" s="362">
        <v>7.2</v>
      </c>
      <c r="N44" s="362">
        <v>6.2</v>
      </c>
    </row>
    <row r="45" spans="1:14">
      <c r="A45" s="359"/>
      <c r="B45" s="359" t="s">
        <v>682</v>
      </c>
      <c r="C45" s="359"/>
      <c r="D45" s="359"/>
      <c r="E45" s="359"/>
      <c r="F45" s="359"/>
      <c r="G45" s="359"/>
      <c r="H45" s="359"/>
      <c r="I45" s="359"/>
      <c r="J45" s="359"/>
      <c r="K45" s="359"/>
      <c r="L45" s="363">
        <f>SUM(L39:L44)</f>
        <v>93.33</v>
      </c>
      <c r="M45" s="363">
        <f t="shared" ref="M45:N45" si="2">SUM(M39:M44)</f>
        <v>104.3</v>
      </c>
      <c r="N45" s="363">
        <f t="shared" si="2"/>
        <v>89.700000000000017</v>
      </c>
    </row>
    <row r="46" spans="1:14">
      <c r="I46" s="364"/>
    </row>
    <row r="47" spans="1:14">
      <c r="L47" s="365">
        <f t="shared" ref="L47:M47" si="3">L39+L41+L44+L43</f>
        <v>87.24</v>
      </c>
      <c r="M47" s="365">
        <f t="shared" si="3"/>
        <v>91.7</v>
      </c>
      <c r="N47" s="365">
        <f>N39+N41+N44+N43</f>
        <v>73</v>
      </c>
    </row>
  </sheetData>
  <phoneticPr fontId="7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1:X17"/>
  <sheetViews>
    <sheetView zoomScale="90" zoomScaleNormal="90" workbookViewId="0">
      <selection activeCell="T25" sqref="T25"/>
    </sheetView>
  </sheetViews>
  <sheetFormatPr defaultColWidth="9" defaultRowHeight="16.5"/>
  <cols>
    <col min="1" max="1" width="4.875" style="354" customWidth="1"/>
    <col min="2" max="2" width="17.5" style="354" customWidth="1"/>
    <col min="3" max="8" width="9" style="354"/>
    <col min="9" max="9" width="9" style="354" customWidth="1"/>
    <col min="10" max="13" width="9" style="354"/>
    <col min="14" max="14" width="9.5" style="354" customWidth="1"/>
    <col min="15" max="16384" width="9" style="354"/>
  </cols>
  <sheetData>
    <row r="1" spans="1:24">
      <c r="A1" s="371" t="s">
        <v>948</v>
      </c>
    </row>
    <row r="2" spans="1:24">
      <c r="A2" s="354" t="s">
        <v>688</v>
      </c>
    </row>
    <row r="3" spans="1:24">
      <c r="C3" s="354" t="s">
        <v>689</v>
      </c>
      <c r="D3" s="354" t="s">
        <v>690</v>
      </c>
      <c r="E3" s="354" t="s">
        <v>691</v>
      </c>
      <c r="F3" s="354" t="s">
        <v>692</v>
      </c>
      <c r="G3" s="354" t="s">
        <v>693</v>
      </c>
      <c r="H3" s="354" t="s">
        <v>694</v>
      </c>
      <c r="I3" s="354" t="s">
        <v>695</v>
      </c>
      <c r="J3" s="354" t="s">
        <v>696</v>
      </c>
      <c r="K3" s="354" t="s">
        <v>697</v>
      </c>
      <c r="L3" s="354" t="s">
        <v>698</v>
      </c>
      <c r="M3" s="354" t="s">
        <v>699</v>
      </c>
      <c r="N3" s="354" t="s">
        <v>949</v>
      </c>
      <c r="O3" s="354" t="s">
        <v>950</v>
      </c>
      <c r="P3" s="354" t="s">
        <v>951</v>
      </c>
      <c r="Q3" s="354" t="s">
        <v>952</v>
      </c>
      <c r="U3" s="354">
        <v>2016</v>
      </c>
      <c r="V3" s="354">
        <v>2017</v>
      </c>
    </row>
    <row r="4" spans="1:24">
      <c r="B4" s="354" t="s">
        <v>700</v>
      </c>
      <c r="D4" s="366">
        <f t="shared" ref="D4" si="0">SUM(D5:D7)</f>
        <v>7.2336000000000009</v>
      </c>
      <c r="E4" s="366">
        <f t="shared" ref="E4:G4" si="1">SUM(E5:E7)</f>
        <v>12.507029999999999</v>
      </c>
      <c r="F4" s="366">
        <f t="shared" si="1"/>
        <v>16.337699999999998</v>
      </c>
      <c r="G4" s="366">
        <f t="shared" si="1"/>
        <v>17.868079999999999</v>
      </c>
      <c r="H4" s="366">
        <f>SUM(H5:H7)</f>
        <v>18.506779999999999</v>
      </c>
      <c r="I4" s="367">
        <f>I11*I13</f>
        <v>19.818656000000004</v>
      </c>
      <c r="J4" s="367">
        <f t="shared" ref="J4:Q4" si="2">J11*J13</f>
        <v>20.45270528</v>
      </c>
      <c r="K4" s="367">
        <f t="shared" si="2"/>
        <v>22.196894720000007</v>
      </c>
      <c r="L4" s="367">
        <f t="shared" si="2"/>
        <v>23.070651555840001</v>
      </c>
      <c r="M4" s="367">
        <f t="shared" si="2"/>
        <v>25.03809724416001</v>
      </c>
      <c r="N4" s="367">
        <f t="shared" si="2"/>
        <v>25.493069969203201</v>
      </c>
      <c r="O4" s="367">
        <f t="shared" si="2"/>
        <v>27.667097454796806</v>
      </c>
      <c r="P4" s="367">
        <f>P11*P13</f>
        <v>27.252091797078222</v>
      </c>
      <c r="Q4" s="367">
        <f t="shared" si="2"/>
        <v>29.576127179177789</v>
      </c>
    </row>
    <row r="5" spans="1:24">
      <c r="B5" s="543" t="s">
        <v>701</v>
      </c>
      <c r="D5" s="366">
        <v>4.0502700000000003</v>
      </c>
      <c r="E5" s="366">
        <f t="shared" ref="E5:E10" si="3">U5-D5</f>
        <v>6.5261399999999989</v>
      </c>
      <c r="F5" s="366">
        <v>8.7150999999999996</v>
      </c>
      <c r="G5" s="366">
        <f t="shared" ref="G5:G10" si="4">V5-F5</f>
        <v>10.02047</v>
      </c>
      <c r="H5" s="354">
        <v>10.68</v>
      </c>
      <c r="U5" s="366">
        <v>10.576409999999999</v>
      </c>
      <c r="V5" s="366">
        <v>18.735569999999999</v>
      </c>
    </row>
    <row r="6" spans="1:24">
      <c r="B6" s="543" t="s">
        <v>231</v>
      </c>
      <c r="D6" s="366">
        <v>2.1468600000000002</v>
      </c>
      <c r="E6" s="366">
        <f t="shared" si="3"/>
        <v>4.5175200000000002</v>
      </c>
      <c r="F6" s="366">
        <v>5.4580000000000002</v>
      </c>
      <c r="G6" s="366">
        <f t="shared" si="4"/>
        <v>5.36144</v>
      </c>
      <c r="H6" s="366">
        <v>4.9967800000000002</v>
      </c>
      <c r="U6" s="366">
        <v>6.6643800000000004</v>
      </c>
      <c r="V6" s="366">
        <v>10.81944</v>
      </c>
    </row>
    <row r="7" spans="1:24">
      <c r="B7" s="543" t="s">
        <v>702</v>
      </c>
      <c r="D7" s="366">
        <v>1.03647</v>
      </c>
      <c r="E7" s="366">
        <f t="shared" si="3"/>
        <v>1.4633699999999998</v>
      </c>
      <c r="F7" s="366">
        <v>2.1646000000000001</v>
      </c>
      <c r="G7" s="366">
        <f t="shared" si="4"/>
        <v>2.4861699999999995</v>
      </c>
      <c r="H7" s="354">
        <v>2.83</v>
      </c>
      <c r="U7" s="366">
        <v>2.4998399999999998</v>
      </c>
      <c r="V7" s="366">
        <v>4.6507699999999996</v>
      </c>
    </row>
    <row r="8" spans="1:24">
      <c r="B8" s="354" t="s">
        <v>232</v>
      </c>
      <c r="D8" s="366">
        <v>1.08629</v>
      </c>
      <c r="E8" s="366">
        <f t="shared" si="3"/>
        <v>1.3877899999999999</v>
      </c>
      <c r="F8" s="366">
        <v>1.5566</v>
      </c>
      <c r="G8" s="366">
        <f t="shared" si="4"/>
        <v>2.10561</v>
      </c>
      <c r="H8" s="366">
        <v>3.1699000000000002</v>
      </c>
      <c r="U8" s="366">
        <v>2.4740799999999998</v>
      </c>
      <c r="V8" s="366">
        <v>3.66221</v>
      </c>
    </row>
    <row r="9" spans="1:24">
      <c r="B9" s="354" t="s">
        <v>233</v>
      </c>
      <c r="D9" s="366">
        <v>1.0866400000000001</v>
      </c>
      <c r="E9" s="366">
        <f t="shared" si="3"/>
        <v>1.1536900000000001</v>
      </c>
      <c r="F9" s="366">
        <v>0.93896000000000002</v>
      </c>
      <c r="G9" s="366">
        <f t="shared" si="4"/>
        <v>1.07168</v>
      </c>
      <c r="H9" s="366">
        <v>0.75900000000000001</v>
      </c>
      <c r="U9" s="366">
        <v>2.2403300000000002</v>
      </c>
      <c r="V9" s="366">
        <v>2.01064</v>
      </c>
    </row>
    <row r="10" spans="1:24">
      <c r="B10" s="354" t="s">
        <v>703</v>
      </c>
      <c r="D10" s="366">
        <v>0.58931999999999995</v>
      </c>
      <c r="E10" s="366">
        <f t="shared" si="3"/>
        <v>0.5243000000000001</v>
      </c>
      <c r="F10" s="366">
        <v>0.40864</v>
      </c>
      <c r="G10" s="366">
        <f t="shared" si="4"/>
        <v>0.66339000000000004</v>
      </c>
      <c r="H10" s="366">
        <v>0.39100000000000001</v>
      </c>
      <c r="U10" s="366">
        <v>1.1136200000000001</v>
      </c>
      <c r="V10" s="366">
        <v>1.07203</v>
      </c>
    </row>
    <row r="11" spans="1:24" s="359" customFormat="1" ht="15">
      <c r="B11" s="359" t="s">
        <v>306</v>
      </c>
      <c r="D11" s="547">
        <f>SUM(D5:D10)</f>
        <v>9.9958500000000008</v>
      </c>
      <c r="E11" s="547">
        <f t="shared" ref="E11:H11" si="5">SUM(E5:E10)</f>
        <v>15.57281</v>
      </c>
      <c r="F11" s="547">
        <f t="shared" si="5"/>
        <v>19.241899999999998</v>
      </c>
      <c r="G11" s="547">
        <f t="shared" si="5"/>
        <v>21.708759999999998</v>
      </c>
      <c r="H11" s="547">
        <f t="shared" si="5"/>
        <v>22.826679999999996</v>
      </c>
      <c r="I11" s="547">
        <f>47.6-H11</f>
        <v>24.773320000000005</v>
      </c>
      <c r="J11" s="547">
        <f>H11*(1+J12)</f>
        <v>25.565881599999997</v>
      </c>
      <c r="K11" s="547">
        <f t="shared" ref="K11:Q11" si="6">I11*(1+K12)</f>
        <v>27.746118400000007</v>
      </c>
      <c r="L11" s="547">
        <f t="shared" si="6"/>
        <v>28.838314444799998</v>
      </c>
      <c r="M11" s="547">
        <f t="shared" si="6"/>
        <v>31.29762155520001</v>
      </c>
      <c r="N11" s="547">
        <f t="shared" si="6"/>
        <v>31.866337461503999</v>
      </c>
      <c r="O11" s="547">
        <f t="shared" si="6"/>
        <v>34.583871818496007</v>
      </c>
      <c r="P11" s="547">
        <f t="shared" si="6"/>
        <v>34.065114746347774</v>
      </c>
      <c r="Q11" s="547">
        <f t="shared" si="6"/>
        <v>36.970158973972232</v>
      </c>
    </row>
    <row r="12" spans="1:24">
      <c r="B12" s="543" t="s">
        <v>908</v>
      </c>
      <c r="D12" s="366"/>
      <c r="E12" s="366"/>
      <c r="F12" s="431">
        <f>F11/D11-1</f>
        <v>0.9249888703812077</v>
      </c>
      <c r="G12" s="431">
        <f t="shared" ref="G12:I12" si="7">G11/E11-1</f>
        <v>0.39401687941996322</v>
      </c>
      <c r="H12" s="431">
        <f t="shared" si="7"/>
        <v>0.1863007291379748</v>
      </c>
      <c r="I12" s="431">
        <f t="shared" si="7"/>
        <v>0.14116697591202843</v>
      </c>
      <c r="J12" s="431">
        <v>0.12</v>
      </c>
      <c r="K12" s="431">
        <v>0.12</v>
      </c>
      <c r="L12" s="431">
        <v>0.128</v>
      </c>
      <c r="M12" s="431">
        <v>0.128</v>
      </c>
      <c r="N12" s="431">
        <v>0.105</v>
      </c>
      <c r="O12" s="431">
        <v>0.105</v>
      </c>
      <c r="P12" s="370">
        <v>6.9000000000000006E-2</v>
      </c>
      <c r="Q12" s="370">
        <v>6.9000000000000006E-2</v>
      </c>
    </row>
    <row r="13" spans="1:24">
      <c r="B13" s="354" t="s">
        <v>704</v>
      </c>
      <c r="D13" s="368">
        <f>D4/D11</f>
        <v>0.72366031903239847</v>
      </c>
      <c r="E13" s="368">
        <f t="shared" ref="E13:H13" si="8">E4/E11</f>
        <v>0.80313251108823636</v>
      </c>
      <c r="F13" s="368">
        <f t="shared" si="8"/>
        <v>0.84906895888659639</v>
      </c>
      <c r="G13" s="368">
        <f t="shared" si="8"/>
        <v>0.82308155785959225</v>
      </c>
      <c r="H13" s="368">
        <f t="shared" si="8"/>
        <v>0.81075215493448904</v>
      </c>
      <c r="I13" s="430">
        <v>0.8</v>
      </c>
      <c r="J13" s="430">
        <v>0.8</v>
      </c>
      <c r="K13" s="430">
        <v>0.8</v>
      </c>
      <c r="L13" s="430">
        <v>0.8</v>
      </c>
      <c r="M13" s="430">
        <v>0.8</v>
      </c>
      <c r="N13" s="430">
        <v>0.8</v>
      </c>
      <c r="O13" s="430">
        <v>0.8</v>
      </c>
      <c r="P13" s="430">
        <v>0.8</v>
      </c>
      <c r="Q13" s="430">
        <v>0.8</v>
      </c>
    </row>
    <row r="14" spans="1:24">
      <c r="G14" s="366"/>
    </row>
    <row r="15" spans="1:24">
      <c r="C15" s="354" t="s">
        <v>289</v>
      </c>
      <c r="D15" s="354" t="s">
        <v>290</v>
      </c>
      <c r="E15" s="354" t="s">
        <v>291</v>
      </c>
      <c r="F15" s="354" t="s">
        <v>292</v>
      </c>
      <c r="G15" s="354" t="s">
        <v>293</v>
      </c>
      <c r="H15" s="354" t="s">
        <v>294</v>
      </c>
      <c r="I15" s="354" t="s">
        <v>295</v>
      </c>
      <c r="J15" s="354" t="s">
        <v>296</v>
      </c>
      <c r="K15" s="354" t="s">
        <v>297</v>
      </c>
      <c r="L15" s="354" t="s">
        <v>298</v>
      </c>
      <c r="M15" s="354" t="s">
        <v>705</v>
      </c>
      <c r="N15" s="354" t="s">
        <v>300</v>
      </c>
      <c r="O15" s="354" t="s">
        <v>301</v>
      </c>
      <c r="P15" s="354" t="s">
        <v>302</v>
      </c>
      <c r="Q15" s="354" t="s">
        <v>706</v>
      </c>
      <c r="R15" s="354" t="s">
        <v>303</v>
      </c>
      <c r="S15" s="354" t="s">
        <v>304</v>
      </c>
      <c r="T15" s="354" t="s">
        <v>305</v>
      </c>
      <c r="U15" s="354" t="s">
        <v>1051</v>
      </c>
      <c r="V15" s="354" t="s">
        <v>1052</v>
      </c>
      <c r="W15" s="354" t="s">
        <v>1053</v>
      </c>
      <c r="X15" s="354" t="s">
        <v>1054</v>
      </c>
    </row>
    <row r="16" spans="1:24">
      <c r="B16" s="354" t="s">
        <v>707</v>
      </c>
      <c r="C16" s="367">
        <f>I4-D16</f>
        <v>9.6676370731707326</v>
      </c>
      <c r="D16" s="367">
        <f>I4/2.05*1.05</f>
        <v>10.151018926829272</v>
      </c>
      <c r="E16" s="367">
        <f>J4/2.04</f>
        <v>10.025835921568627</v>
      </c>
      <c r="F16" s="367">
        <f>J4/2.04*1.04</f>
        <v>10.426869358431372</v>
      </c>
      <c r="G16" s="367">
        <f>K4/2.03</f>
        <v>10.934430896551728</v>
      </c>
      <c r="H16" s="367">
        <f>K4/2.03*1.03</f>
        <v>11.262463823448281</v>
      </c>
      <c r="I16" s="367">
        <f>E16*(1+I17)</f>
        <v>11.309142919529412</v>
      </c>
      <c r="J16" s="367">
        <f t="shared" ref="J16:L16" si="9">F16*(1+J17)</f>
        <v>11.761508636310589</v>
      </c>
      <c r="K16" s="367">
        <f t="shared" si="9"/>
        <v>12.334038051310351</v>
      </c>
      <c r="L16" s="367">
        <f t="shared" si="9"/>
        <v>12.704059192849662</v>
      </c>
      <c r="M16" s="367">
        <f t="shared" ref="M16" si="10">I16*(1+M17)</f>
        <v>12.49660292608</v>
      </c>
      <c r="N16" s="367">
        <f t="shared" ref="N16" si="11">J16*(1+N17)</f>
        <v>12.9964670431232</v>
      </c>
      <c r="O16" s="367">
        <f t="shared" ref="O16" si="12">K16*(1+O17)</f>
        <v>13.629112046697937</v>
      </c>
      <c r="P16" s="367">
        <f t="shared" ref="P16" si="13">L16*(1+P17)</f>
        <v>14.037985408098876</v>
      </c>
      <c r="Q16" s="367">
        <f t="shared" ref="Q16" si="14">M16*(1+Q17)</f>
        <v>13.558814174796799</v>
      </c>
      <c r="R16" s="367">
        <f t="shared" ref="R16" si="15">N16*(1+R17)</f>
        <v>14.101166741788672</v>
      </c>
      <c r="S16" s="367">
        <f t="shared" ref="S16" si="16">O16*(1+S17)</f>
        <v>14.787586570667262</v>
      </c>
      <c r="T16" s="367">
        <f t="shared" ref="T16" si="17">P16*(1+T17)</f>
        <v>15.231214167787281</v>
      </c>
      <c r="U16" s="367">
        <f t="shared" ref="U16" si="18">Q16*(1+U17)</f>
        <v>14.575725237906559</v>
      </c>
      <c r="V16" s="367">
        <f t="shared" ref="V16" si="19">R16*(1+V17)</f>
        <v>15.158754247422822</v>
      </c>
      <c r="W16" s="367">
        <f t="shared" ref="W16" si="20">S16*(1+W17)</f>
        <v>15.896655563467306</v>
      </c>
      <c r="X16" s="367">
        <f t="shared" ref="X16" si="21">T16*(1+X17)</f>
        <v>16.373555230371327</v>
      </c>
    </row>
    <row r="17" spans="2:24">
      <c r="B17" s="543" t="s">
        <v>908</v>
      </c>
      <c r="D17" s="369"/>
      <c r="E17" s="369"/>
      <c r="F17" s="369"/>
      <c r="G17" s="369">
        <f>G16/C16-1</f>
        <v>0.13103448275862095</v>
      </c>
      <c r="H17" s="369">
        <f>H16/D16-1</f>
        <v>0.1094909688013137</v>
      </c>
      <c r="I17" s="369">
        <v>0.128</v>
      </c>
      <c r="J17" s="369">
        <v>0.128</v>
      </c>
      <c r="K17" s="369">
        <v>0.128</v>
      </c>
      <c r="L17" s="369">
        <v>0.128</v>
      </c>
      <c r="M17" s="369">
        <v>0.105</v>
      </c>
      <c r="N17" s="369">
        <v>0.105</v>
      </c>
      <c r="O17" s="369">
        <v>0.105</v>
      </c>
      <c r="P17" s="369">
        <v>0.105</v>
      </c>
      <c r="Q17" s="369">
        <v>8.5000000000000006E-2</v>
      </c>
      <c r="R17" s="369">
        <v>8.5000000000000006E-2</v>
      </c>
      <c r="S17" s="369">
        <v>8.5000000000000006E-2</v>
      </c>
      <c r="T17" s="369">
        <v>8.5000000000000006E-2</v>
      </c>
      <c r="U17" s="369">
        <v>7.4999999999999997E-2</v>
      </c>
      <c r="V17" s="369">
        <v>7.4999999999999997E-2</v>
      </c>
      <c r="W17" s="369">
        <v>7.4999999999999997E-2</v>
      </c>
      <c r="X17" s="369">
        <v>7.4999999999999997E-2</v>
      </c>
    </row>
  </sheetData>
  <phoneticPr fontId="7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L38"/>
  <sheetViews>
    <sheetView zoomScale="80" zoomScaleNormal="80" workbookViewId="0">
      <pane xSplit="1" ySplit="2" topLeftCell="Q3" activePane="bottomRight" state="frozen"/>
      <selection activeCell="E103" activeCellId="1" sqref="N81 E103"/>
      <selection pane="topRight" activeCell="E103" activeCellId="1" sqref="N81 E103"/>
      <selection pane="bottomLeft" activeCell="E103" activeCellId="1" sqref="N81 E103"/>
      <selection pane="bottomRight" activeCell="R42" sqref="R42"/>
    </sheetView>
  </sheetViews>
  <sheetFormatPr defaultColWidth="9" defaultRowHeight="16.5"/>
  <cols>
    <col min="1" max="1" width="24.625" style="354" customWidth="1"/>
    <col min="2" max="3" width="9.125" style="354" bestFit="1" customWidth="1"/>
    <col min="4" max="5" width="9.875" style="354" bestFit="1" customWidth="1"/>
    <col min="6" max="8" width="10.25" style="354" bestFit="1" customWidth="1"/>
    <col min="9" max="9" width="9" style="354" customWidth="1"/>
    <col min="10" max="10" width="10.25" style="354" bestFit="1" customWidth="1"/>
    <col min="11" max="11" width="9.125" style="354" bestFit="1" customWidth="1"/>
    <col min="12" max="12" width="9.375" style="354" customWidth="1"/>
    <col min="13" max="15" width="9.125" style="354" bestFit="1" customWidth="1"/>
    <col min="16" max="16" width="9.375" style="354" customWidth="1"/>
    <col min="17" max="19" width="9.125" style="354" bestFit="1" customWidth="1"/>
    <col min="20" max="20" width="9.375" style="354" customWidth="1"/>
    <col min="21" max="23" width="9.125" style="354" bestFit="1" customWidth="1"/>
    <col min="24" max="24" width="8.625" style="354" customWidth="1"/>
    <col min="25" max="27" width="9.125" style="354" bestFit="1" customWidth="1"/>
    <col min="28" max="31" width="9.125" style="354" customWidth="1"/>
    <col min="32" max="16384" width="9" style="354"/>
  </cols>
  <sheetData>
    <row r="1" spans="1:38">
      <c r="A1" s="371" t="s">
        <v>1036</v>
      </c>
    </row>
    <row r="2" spans="1:38">
      <c r="A2" s="354" t="s">
        <v>708</v>
      </c>
      <c r="B2" s="354" t="s">
        <v>709</v>
      </c>
      <c r="C2" s="354" t="s">
        <v>710</v>
      </c>
      <c r="D2" s="354" t="s">
        <v>711</v>
      </c>
      <c r="E2" s="354" t="s">
        <v>712</v>
      </c>
      <c r="F2" s="354" t="s">
        <v>713</v>
      </c>
      <c r="G2" s="354" t="s">
        <v>714</v>
      </c>
      <c r="H2" s="354" t="s">
        <v>715</v>
      </c>
      <c r="I2" s="354" t="s">
        <v>288</v>
      </c>
      <c r="J2" s="354" t="s">
        <v>289</v>
      </c>
      <c r="K2" s="354" t="s">
        <v>290</v>
      </c>
      <c r="L2" s="354" t="s">
        <v>291</v>
      </c>
      <c r="M2" s="354" t="s">
        <v>292</v>
      </c>
      <c r="N2" s="354" t="s">
        <v>293</v>
      </c>
      <c r="O2" s="354" t="s">
        <v>294</v>
      </c>
      <c r="P2" s="354" t="s">
        <v>295</v>
      </c>
      <c r="Q2" s="354" t="s">
        <v>296</v>
      </c>
      <c r="R2" s="354" t="s">
        <v>297</v>
      </c>
      <c r="S2" s="354" t="s">
        <v>298</v>
      </c>
      <c r="T2" s="354" t="s">
        <v>299</v>
      </c>
      <c r="U2" s="354" t="s">
        <v>300</v>
      </c>
      <c r="V2" s="354" t="s">
        <v>301</v>
      </c>
      <c r="W2" s="354" t="s">
        <v>302</v>
      </c>
      <c r="X2" s="354" t="s">
        <v>716</v>
      </c>
      <c r="Y2" s="354" t="s">
        <v>303</v>
      </c>
      <c r="Z2" s="354" t="s">
        <v>304</v>
      </c>
      <c r="AA2" s="354" t="s">
        <v>305</v>
      </c>
      <c r="AH2" s="354">
        <v>2018</v>
      </c>
      <c r="AI2" s="354">
        <v>2019</v>
      </c>
      <c r="AJ2" s="354">
        <v>2020</v>
      </c>
      <c r="AK2" s="354">
        <v>2021</v>
      </c>
      <c r="AL2" s="354">
        <v>2022</v>
      </c>
    </row>
    <row r="3" spans="1:38">
      <c r="A3" s="530" t="s">
        <v>718</v>
      </c>
      <c r="B3" s="530">
        <v>5.79</v>
      </c>
      <c r="C3" s="530">
        <v>5.89</v>
      </c>
      <c r="D3" s="530">
        <v>6.07</v>
      </c>
      <c r="E3" s="530">
        <v>6.06</v>
      </c>
      <c r="F3" s="530">
        <v>6.09</v>
      </c>
      <c r="G3" s="530">
        <v>6.03</v>
      </c>
      <c r="H3" s="530">
        <v>6.25</v>
      </c>
      <c r="I3" s="530">
        <v>6.44</v>
      </c>
      <c r="J3" s="531">
        <f>F3*(1+J4)</f>
        <v>6.5497949999999996</v>
      </c>
      <c r="K3" s="531">
        <v>6.44</v>
      </c>
      <c r="L3" s="531">
        <f>K3*(1+L5)</f>
        <v>6.5172800000000004</v>
      </c>
      <c r="M3" s="531">
        <f t="shared" ref="M3:O3" si="0">L3*(1+M5)</f>
        <v>6.5954873600000008</v>
      </c>
      <c r="N3" s="531">
        <f t="shared" si="0"/>
        <v>6.6746332083200013</v>
      </c>
      <c r="O3" s="531">
        <f t="shared" si="0"/>
        <v>6.7547288068198412</v>
      </c>
      <c r="P3" s="531">
        <f>O3*(1+P5)</f>
        <v>6.8050423751789673</v>
      </c>
      <c r="Q3" s="531">
        <f t="shared" ref="Q3:R3" si="1">P3*(1+Q5)</f>
        <v>6.8557307113834689</v>
      </c>
      <c r="R3" s="531">
        <f t="shared" si="1"/>
        <v>6.9067966069455071</v>
      </c>
      <c r="S3" s="354">
        <v>6.96</v>
      </c>
      <c r="T3" s="531">
        <f>S3*(1+T5)</f>
        <v>6.9936822833189947</v>
      </c>
      <c r="U3" s="531">
        <f t="shared" ref="U3:V3" si="2">T3*(1+U5)</f>
        <v>7.0275275689669519</v>
      </c>
      <c r="V3" s="531">
        <f t="shared" si="2"/>
        <v>7.0615366457787321</v>
      </c>
      <c r="W3" s="366">
        <v>7.1</v>
      </c>
      <c r="X3" s="531">
        <f>W3*(1+X5)</f>
        <v>7.1360967402852875</v>
      </c>
      <c r="Y3" s="531">
        <f t="shared" ref="Y3:Z3" si="3">X3*(1+Y5)</f>
        <v>7.1723769981282128</v>
      </c>
      <c r="Z3" s="531">
        <f t="shared" si="3"/>
        <v>7.2088417065408334</v>
      </c>
      <c r="AA3" s="354">
        <v>7.25</v>
      </c>
    </row>
    <row r="4" spans="1:38">
      <c r="A4" s="551" t="s">
        <v>719</v>
      </c>
      <c r="B4" s="532"/>
      <c r="C4" s="532"/>
      <c r="D4" s="532"/>
      <c r="E4" s="532"/>
      <c r="F4" s="532">
        <f>F3/B3-1</f>
        <v>5.1813471502590636E-2</v>
      </c>
      <c r="G4" s="532">
        <f t="shared" ref="G4:I4" si="4">G3/C3-1</f>
        <v>2.3769100169779289E-2</v>
      </c>
      <c r="H4" s="532">
        <f t="shared" si="4"/>
        <v>2.9654036243822013E-2</v>
      </c>
      <c r="I4" s="532">
        <f t="shared" si="4"/>
        <v>6.270627062706291E-2</v>
      </c>
      <c r="J4" s="533">
        <v>7.5499999999999998E-2</v>
      </c>
      <c r="K4" s="533">
        <v>7.5499999999999998E-2</v>
      </c>
      <c r="L4" s="532">
        <f t="shared" ref="L4:AA4" si="5">L3/H3-1</f>
        <v>4.2764800000000047E-2</v>
      </c>
      <c r="M4" s="532">
        <f t="shared" si="5"/>
        <v>2.4144000000000165E-2</v>
      </c>
      <c r="N4" s="532">
        <f t="shared" si="5"/>
        <v>1.9059864975927043E-2</v>
      </c>
      <c r="O4" s="532">
        <f t="shared" si="5"/>
        <v>4.8870932736000183E-2</v>
      </c>
      <c r="P4" s="532">
        <f t="shared" si="5"/>
        <v>4.4153753587227618E-2</v>
      </c>
      <c r="Q4" s="532">
        <f t="shared" si="5"/>
        <v>3.9457789421564193E-2</v>
      </c>
      <c r="R4" s="532">
        <f t="shared" si="5"/>
        <v>3.4782944827007389E-2</v>
      </c>
      <c r="S4" s="532">
        <f t="shared" si="5"/>
        <v>3.0389257518808055E-2</v>
      </c>
      <c r="T4" s="532">
        <f t="shared" si="5"/>
        <v>2.7720607417241361E-2</v>
      </c>
      <c r="U4" s="532">
        <f t="shared" si="5"/>
        <v>2.5058868969025649E-2</v>
      </c>
      <c r="V4" s="532">
        <f t="shared" si="5"/>
        <v>2.2404024273368295E-2</v>
      </c>
      <c r="W4" s="532">
        <f t="shared" si="5"/>
        <v>2.0114942528735691E-2</v>
      </c>
      <c r="X4" s="532">
        <f t="shared" si="5"/>
        <v>2.0363300933182726E-2</v>
      </c>
      <c r="Y4" s="532">
        <f t="shared" si="5"/>
        <v>2.0611719803264261E-2</v>
      </c>
      <c r="Z4" s="532">
        <f t="shared" si="5"/>
        <v>2.0860199153700965E-2</v>
      </c>
      <c r="AA4" s="532">
        <f t="shared" si="5"/>
        <v>2.1126760563380254E-2</v>
      </c>
      <c r="AB4" s="532"/>
      <c r="AC4" s="532"/>
      <c r="AD4" s="532"/>
      <c r="AE4" s="532"/>
    </row>
    <row r="5" spans="1:38">
      <c r="A5" s="551" t="s">
        <v>720</v>
      </c>
      <c r="B5" s="532"/>
      <c r="C5" s="532"/>
      <c r="D5" s="532"/>
      <c r="E5" s="532"/>
      <c r="F5" s="532"/>
      <c r="G5" s="532"/>
      <c r="H5" s="532"/>
      <c r="I5" s="532"/>
      <c r="J5" s="533"/>
      <c r="K5" s="532"/>
      <c r="L5" s="532">
        <v>1.2E-2</v>
      </c>
      <c r="M5" s="532">
        <v>1.2E-2</v>
      </c>
      <c r="N5" s="532">
        <v>1.2E-2</v>
      </c>
      <c r="O5" s="532">
        <v>1.2E-2</v>
      </c>
      <c r="P5" s="532">
        <v>7.4486437276841677E-3</v>
      </c>
      <c r="Q5" s="532">
        <v>7.4486437276841677E-3</v>
      </c>
      <c r="R5" s="532">
        <v>7.4486437276841677E-3</v>
      </c>
      <c r="S5" s="532">
        <f>(S3/O3)^(1/4)-1</f>
        <v>7.512239036782109E-3</v>
      </c>
      <c r="T5" s="532">
        <v>4.8394085228440353E-3</v>
      </c>
      <c r="U5" s="532">
        <v>4.8394085228440353E-3</v>
      </c>
      <c r="V5" s="532">
        <v>4.8394085228440353E-3</v>
      </c>
      <c r="W5" s="532">
        <f>(W3/S3)^(1/4)-1</f>
        <v>4.9912423819247209E-3</v>
      </c>
      <c r="X5" s="532">
        <v>5.0840479275053863E-3</v>
      </c>
      <c r="Y5" s="532">
        <v>5.0840479275053863E-3</v>
      </c>
      <c r="Z5" s="532">
        <v>5.0840479275053863E-3</v>
      </c>
      <c r="AA5" s="532">
        <f>(AA3/W3)^(1/4)-1</f>
        <v>5.2403540790115777E-3</v>
      </c>
      <c r="AB5" s="532"/>
      <c r="AC5" s="532"/>
      <c r="AD5" s="532"/>
      <c r="AE5" s="532"/>
    </row>
    <row r="6" spans="1:38">
      <c r="A6" s="530" t="s">
        <v>721</v>
      </c>
      <c r="B6" s="534">
        <v>1.44</v>
      </c>
      <c r="C6" s="534">
        <v>1.51</v>
      </c>
      <c r="D6" s="534">
        <v>1.8</v>
      </c>
      <c r="E6" s="534">
        <v>2</v>
      </c>
      <c r="F6" s="534">
        <v>2.14</v>
      </c>
      <c r="G6" s="534">
        <v>2.09</v>
      </c>
      <c r="H6" s="534">
        <v>2.2400000000000002</v>
      </c>
      <c r="I6" s="534">
        <v>2.2799999999999998</v>
      </c>
      <c r="J6" s="534">
        <f>F6*(1+J7)</f>
        <v>2.2499960000000003</v>
      </c>
      <c r="K6" s="534">
        <v>2.2799999999999998</v>
      </c>
      <c r="L6" s="531">
        <f>K6*(1+L8)</f>
        <v>2.3213608531958174</v>
      </c>
      <c r="M6" s="531">
        <f t="shared" ref="M6:N6" si="6">L6*(1+M8)</f>
        <v>2.3634720222587782</v>
      </c>
      <c r="N6" s="531">
        <f t="shared" si="6"/>
        <v>2.4063471184627554</v>
      </c>
      <c r="O6" s="354">
        <v>2.4500000000000002</v>
      </c>
      <c r="P6" s="531">
        <f>O6*(1+P8)</f>
        <v>2.4818726304247192</v>
      </c>
      <c r="Q6" s="531">
        <f t="shared" ref="Q6:R6" si="7">P6*(1+Q8)</f>
        <v>2.514159899449516</v>
      </c>
      <c r="R6" s="531">
        <f t="shared" si="7"/>
        <v>2.5468672012061702</v>
      </c>
      <c r="S6" s="354">
        <v>2.58</v>
      </c>
      <c r="T6" s="531">
        <f>S6*(1+T8)</f>
        <v>2.6094905023542223</v>
      </c>
      <c r="U6" s="531">
        <f t="shared" ref="U6:V6" si="8">T6*(1+U8)</f>
        <v>2.6393180937507332</v>
      </c>
      <c r="V6" s="531">
        <f t="shared" si="8"/>
        <v>2.6694866272613136</v>
      </c>
      <c r="W6" s="366">
        <v>2.7</v>
      </c>
      <c r="X6" s="531">
        <f>W6*(1+X8)</f>
        <v>2.7319291491295234</v>
      </c>
      <c r="Y6" s="531">
        <f t="shared" ref="Y6:Z6" si="9">X6*(1+Y8)</f>
        <v>2.7642358799494668</v>
      </c>
      <c r="Z6" s="531">
        <f t="shared" si="9"/>
        <v>2.7969246575939426</v>
      </c>
      <c r="AA6" s="354">
        <v>2.83</v>
      </c>
    </row>
    <row r="7" spans="1:38">
      <c r="A7" s="551" t="s">
        <v>719</v>
      </c>
      <c r="B7" s="532"/>
      <c r="C7" s="532"/>
      <c r="D7" s="532"/>
      <c r="E7" s="532"/>
      <c r="F7" s="532">
        <f>F6/B6-1</f>
        <v>0.48611111111111116</v>
      </c>
      <c r="G7" s="532">
        <f t="shared" ref="G7:I7" si="10">G6/C6-1</f>
        <v>0.38410596026490063</v>
      </c>
      <c r="H7" s="532">
        <f t="shared" si="10"/>
        <v>0.24444444444444446</v>
      </c>
      <c r="I7" s="532">
        <f t="shared" si="10"/>
        <v>0.1399999999999999</v>
      </c>
      <c r="J7" s="533">
        <v>5.1400000000000001E-2</v>
      </c>
      <c r="K7" s="533">
        <v>5.1400000000000001E-2</v>
      </c>
      <c r="L7" s="532">
        <f t="shared" ref="L7:AA7" si="11">L6/H6-1</f>
        <v>3.6321809462418475E-2</v>
      </c>
      <c r="M7" s="532">
        <f t="shared" si="11"/>
        <v>3.6610536078411471E-2</v>
      </c>
      <c r="N7" s="532">
        <f t="shared" si="11"/>
        <v>6.9489509520352488E-2</v>
      </c>
      <c r="O7" s="532">
        <f t="shared" si="11"/>
        <v>7.4561403508772051E-2</v>
      </c>
      <c r="P7" s="532">
        <f t="shared" si="11"/>
        <v>6.914555184642035E-2</v>
      </c>
      <c r="Q7" s="532">
        <f t="shared" si="11"/>
        <v>6.3756996389880971E-2</v>
      </c>
      <c r="R7" s="532">
        <f t="shared" si="11"/>
        <v>5.839559956469742E-2</v>
      </c>
      <c r="S7" s="532">
        <f t="shared" si="11"/>
        <v>5.3061224489795888E-2</v>
      </c>
      <c r="T7" s="532">
        <f t="shared" si="11"/>
        <v>5.1419992454513785E-2</v>
      </c>
      <c r="U7" s="532">
        <f t="shared" si="11"/>
        <v>4.9781318335648139E-2</v>
      </c>
      <c r="V7" s="532">
        <f t="shared" si="11"/>
        <v>4.8145198146598345E-2</v>
      </c>
      <c r="W7" s="532">
        <f t="shared" si="11"/>
        <v>4.6511627906976827E-2</v>
      </c>
      <c r="X7" s="532">
        <f t="shared" si="11"/>
        <v>4.69205182639445E-2</v>
      </c>
      <c r="Y7" s="532">
        <f t="shared" si="11"/>
        <v>4.73295683815107E-2</v>
      </c>
      <c r="Z7" s="532">
        <f t="shared" si="11"/>
        <v>4.7738778322096609E-2</v>
      </c>
      <c r="AA7" s="532">
        <f t="shared" si="11"/>
        <v>4.8148148148148051E-2</v>
      </c>
      <c r="AB7" s="532"/>
      <c r="AC7" s="532"/>
      <c r="AD7" s="532"/>
      <c r="AE7" s="532"/>
    </row>
    <row r="8" spans="1:38">
      <c r="A8" s="551" t="s">
        <v>720</v>
      </c>
      <c r="B8" s="532"/>
      <c r="C8" s="532"/>
      <c r="D8" s="532"/>
      <c r="E8" s="532"/>
      <c r="F8" s="532"/>
      <c r="G8" s="532"/>
      <c r="H8" s="532"/>
      <c r="I8" s="532"/>
      <c r="J8" s="533"/>
      <c r="K8" s="532"/>
      <c r="L8" s="532">
        <f t="shared" ref="L8:M8" si="12">M8</f>
        <v>1.8140725085884934E-2</v>
      </c>
      <c r="M8" s="532">
        <f t="shared" si="12"/>
        <v>1.8140725085884934E-2</v>
      </c>
      <c r="N8" s="532">
        <f>O8</f>
        <v>1.8140725085884934E-2</v>
      </c>
      <c r="O8" s="532">
        <f>(O6/K6)^(1/4)-1</f>
        <v>1.8140725085884934E-2</v>
      </c>
      <c r="P8" s="532">
        <f t="shared" ref="P8:Q8" si="13">Q8</f>
        <v>1.300923690804856E-2</v>
      </c>
      <c r="Q8" s="532">
        <f t="shared" si="13"/>
        <v>1.300923690804856E-2</v>
      </c>
      <c r="R8" s="532">
        <f>S8</f>
        <v>1.300923690804856E-2</v>
      </c>
      <c r="S8" s="532">
        <f>(S6/O6)^(1/4)-1</f>
        <v>1.300923690804856E-2</v>
      </c>
      <c r="T8" s="532">
        <f t="shared" ref="T8:U8" si="14">U8</f>
        <v>1.1430427269078391E-2</v>
      </c>
      <c r="U8" s="532">
        <f t="shared" si="14"/>
        <v>1.1430427269078391E-2</v>
      </c>
      <c r="V8" s="532">
        <f>W8</f>
        <v>1.1430427269078391E-2</v>
      </c>
      <c r="W8" s="532">
        <f>(W6/S6)^(1/4)-1</f>
        <v>1.1430427269078391E-2</v>
      </c>
      <c r="X8" s="532">
        <f t="shared" ref="X8:Y8" si="15">Y8</f>
        <v>1.1825610788712249E-2</v>
      </c>
      <c r="Y8" s="532">
        <f t="shared" si="15"/>
        <v>1.1825610788712249E-2</v>
      </c>
      <c r="Z8" s="532">
        <f>AA8</f>
        <v>1.1825610788712249E-2</v>
      </c>
      <c r="AA8" s="532">
        <f>(AA6/W6)^(1/4)-1</f>
        <v>1.1825610788712249E-2</v>
      </c>
      <c r="AB8" s="532"/>
      <c r="AC8" s="532"/>
      <c r="AD8" s="532"/>
      <c r="AE8" s="532"/>
    </row>
    <row r="9" spans="1:38">
      <c r="A9" s="530" t="s">
        <v>722</v>
      </c>
      <c r="B9" s="530">
        <v>1220</v>
      </c>
      <c r="C9" s="530">
        <v>1350</v>
      </c>
      <c r="D9" s="530">
        <v>1530</v>
      </c>
      <c r="E9" s="530">
        <v>1660</v>
      </c>
      <c r="F9" s="530">
        <v>1830</v>
      </c>
      <c r="G9" s="530">
        <v>1940</v>
      </c>
      <c r="H9" s="530">
        <v>2230</v>
      </c>
      <c r="I9" s="530">
        <v>2330</v>
      </c>
      <c r="J9" s="535">
        <f>10000*J3*J10</f>
        <v>2488.9220999999998</v>
      </c>
      <c r="K9" s="535">
        <v>2700</v>
      </c>
      <c r="L9" s="536">
        <f>K9*(1+L12)</f>
        <v>2834.5967447644002</v>
      </c>
      <c r="M9" s="536">
        <f t="shared" ref="M9:N9" si="16">L9*(1+M12)</f>
        <v>2975.9032242329386</v>
      </c>
      <c r="N9" s="536">
        <f t="shared" si="16"/>
        <v>3124.2539230165075</v>
      </c>
      <c r="O9" s="354">
        <v>3280</v>
      </c>
      <c r="P9" s="536">
        <f>O9*(1+P12)</f>
        <v>3455.4190566932898</v>
      </c>
      <c r="Q9" s="536">
        <f t="shared" ref="Q9:R9" si="17">P9*(1+Q12)</f>
        <v>3640.2197735851055</v>
      </c>
      <c r="R9" s="536">
        <f t="shared" si="17"/>
        <v>3834.9038951822276</v>
      </c>
      <c r="S9" s="354">
        <v>4040</v>
      </c>
      <c r="T9" s="536">
        <f>S9*(1+T12)</f>
        <v>4372.1580896189571</v>
      </c>
      <c r="U9" s="536">
        <f t="shared" ref="U9:V9" si="18">T9*(1+U12)</f>
        <v>4731.6253367872496</v>
      </c>
      <c r="V9" s="536">
        <f t="shared" si="18"/>
        <v>5120.6470280397025</v>
      </c>
      <c r="W9" s="354">
        <v>5541</v>
      </c>
      <c r="X9" s="536">
        <f>W9*(1+X12)</f>
        <v>6040.4918730438085</v>
      </c>
      <c r="Y9" s="536">
        <f t="shared" ref="Y9:Z9" si="19">X9*(1+Y12)</f>
        <v>6585.0102992796064</v>
      </c>
      <c r="Z9" s="536">
        <f t="shared" si="19"/>
        <v>7178.6141845710599</v>
      </c>
      <c r="AA9" s="354">
        <v>7826</v>
      </c>
    </row>
    <row r="10" spans="1:38">
      <c r="A10" s="551" t="s">
        <v>723</v>
      </c>
      <c r="B10" s="532">
        <f t="shared" ref="B10:I10" si="20">B9/B3/10000</f>
        <v>2.1070811744386873E-2</v>
      </c>
      <c r="C10" s="532">
        <f t="shared" si="20"/>
        <v>2.2920203735144314E-2</v>
      </c>
      <c r="D10" s="532">
        <f t="shared" si="20"/>
        <v>2.5205930807248762E-2</v>
      </c>
      <c r="E10" s="532">
        <f t="shared" si="20"/>
        <v>2.7392739273927394E-2</v>
      </c>
      <c r="F10" s="532">
        <f t="shared" si="20"/>
        <v>3.0049261083743839E-2</v>
      </c>
      <c r="G10" s="532">
        <f t="shared" si="20"/>
        <v>3.2172470978441128E-2</v>
      </c>
      <c r="H10" s="532">
        <f t="shared" si="20"/>
        <v>3.5680000000000003E-2</v>
      </c>
      <c r="I10" s="532">
        <f t="shared" si="20"/>
        <v>3.6180124223602485E-2</v>
      </c>
      <c r="J10" s="533">
        <v>3.7999999999999999E-2</v>
      </c>
      <c r="K10" s="533">
        <f>K9/10000/K3</f>
        <v>4.192546583850932E-2</v>
      </c>
      <c r="L10" s="532">
        <f>L9/L3/10000</f>
        <v>4.3493554746219278E-2</v>
      </c>
      <c r="M10" s="532">
        <f t="shared" ref="M10:AA10" si="21">M9/M3/10000</f>
        <v>4.5120293039769215E-2</v>
      </c>
      <c r="N10" s="532">
        <f t="shared" si="21"/>
        <v>4.680787431318461E-2</v>
      </c>
      <c r="O10" s="532">
        <f t="shared" si="21"/>
        <v>4.855857420490934E-2</v>
      </c>
      <c r="P10" s="532">
        <f t="shared" si="21"/>
        <v>5.0777333427000373E-2</v>
      </c>
      <c r="Q10" s="532">
        <f t="shared" si="21"/>
        <v>5.3097473148132429E-2</v>
      </c>
      <c r="R10" s="532">
        <f t="shared" si="21"/>
        <v>5.5523625689597261E-2</v>
      </c>
      <c r="S10" s="532">
        <f t="shared" si="21"/>
        <v>5.8045977011494256E-2</v>
      </c>
      <c r="T10" s="532">
        <f t="shared" si="21"/>
        <v>6.2515823746343541E-2</v>
      </c>
      <c r="U10" s="532">
        <f t="shared" si="21"/>
        <v>6.7329872282276923E-2</v>
      </c>
      <c r="V10" s="532">
        <f t="shared" si="21"/>
        <v>7.2514627975495086E-2</v>
      </c>
      <c r="W10" s="532">
        <f t="shared" si="21"/>
        <v>7.8042253521126773E-2</v>
      </c>
      <c r="X10" s="532">
        <f t="shared" si="21"/>
        <v>8.4647000914989293E-2</v>
      </c>
      <c r="Y10" s="532">
        <f t="shared" si="21"/>
        <v>9.1810710744821514E-2</v>
      </c>
      <c r="Z10" s="532">
        <f t="shared" si="21"/>
        <v>9.9580688227037265E-2</v>
      </c>
      <c r="AA10" s="532">
        <f t="shared" si="21"/>
        <v>0.10794482758620691</v>
      </c>
      <c r="AB10" s="532"/>
      <c r="AC10" s="532"/>
      <c r="AD10" s="532"/>
      <c r="AE10" s="532"/>
    </row>
    <row r="11" spans="1:38">
      <c r="A11" s="551" t="s">
        <v>719</v>
      </c>
      <c r="B11" s="532"/>
      <c r="C11" s="532"/>
      <c r="D11" s="532"/>
      <c r="E11" s="532"/>
      <c r="F11" s="532">
        <f>F9/B9-1</f>
        <v>0.5</v>
      </c>
      <c r="G11" s="532">
        <f t="shared" ref="G11:AA11" si="22">G9/C9-1</f>
        <v>0.43703703703703711</v>
      </c>
      <c r="H11" s="532">
        <f t="shared" si="22"/>
        <v>0.45751633986928097</v>
      </c>
      <c r="I11" s="532">
        <f t="shared" si="22"/>
        <v>0.40361445783132521</v>
      </c>
      <c r="J11" s="533">
        <f t="shared" si="22"/>
        <v>0.36006672131147521</v>
      </c>
      <c r="K11" s="532">
        <f t="shared" si="22"/>
        <v>0.39175257731958757</v>
      </c>
      <c r="L11" s="532">
        <f t="shared" si="22"/>
        <v>0.27111961648627814</v>
      </c>
      <c r="M11" s="532">
        <f t="shared" si="22"/>
        <v>0.2772116842201453</v>
      </c>
      <c r="N11" s="532">
        <f t="shared" si="22"/>
        <v>0.25526384414221237</v>
      </c>
      <c r="O11" s="532">
        <f t="shared" si="22"/>
        <v>0.21481481481481479</v>
      </c>
      <c r="P11" s="532">
        <f t="shared" si="22"/>
        <v>0.21901609570234992</v>
      </c>
      <c r="Q11" s="532">
        <f t="shared" si="22"/>
        <v>0.22323190617981181</v>
      </c>
      <c r="R11" s="532">
        <f t="shared" si="22"/>
        <v>0.22746229649591942</v>
      </c>
      <c r="S11" s="532">
        <f t="shared" si="22"/>
        <v>0.23170731707317072</v>
      </c>
      <c r="T11" s="532">
        <f t="shared" si="22"/>
        <v>0.26530473377748676</v>
      </c>
      <c r="U11" s="532">
        <f t="shared" si="22"/>
        <v>0.2998185909328388</v>
      </c>
      <c r="V11" s="532">
        <f t="shared" si="22"/>
        <v>0.33527388638676148</v>
      </c>
      <c r="W11" s="532">
        <f t="shared" si="22"/>
        <v>0.37153465346534653</v>
      </c>
      <c r="X11" s="532">
        <f t="shared" si="22"/>
        <v>0.38158130360978104</v>
      </c>
      <c r="Y11" s="532">
        <f t="shared" si="22"/>
        <v>0.39170154662980905</v>
      </c>
      <c r="Z11" s="532">
        <f t="shared" si="22"/>
        <v>0.40189592160176546</v>
      </c>
      <c r="AA11" s="532">
        <f t="shared" si="22"/>
        <v>0.41238043674427005</v>
      </c>
      <c r="AB11" s="532"/>
      <c r="AC11" s="532"/>
      <c r="AD11" s="532"/>
      <c r="AE11" s="532"/>
    </row>
    <row r="12" spans="1:38">
      <c r="A12" s="551" t="s">
        <v>720</v>
      </c>
      <c r="B12" s="532"/>
      <c r="C12" s="532"/>
      <c r="D12" s="532"/>
      <c r="E12" s="532"/>
      <c r="F12" s="532"/>
      <c r="G12" s="532"/>
      <c r="H12" s="532"/>
      <c r="I12" s="532"/>
      <c r="J12" s="532"/>
      <c r="K12" s="532"/>
      <c r="L12" s="532">
        <f t="shared" ref="L12:M12" si="23">M12</f>
        <v>4.9850646209037119E-2</v>
      </c>
      <c r="M12" s="532">
        <f t="shared" si="23"/>
        <v>4.9850646209037119E-2</v>
      </c>
      <c r="N12" s="532">
        <f>O12</f>
        <v>4.9850646209037119E-2</v>
      </c>
      <c r="O12" s="532">
        <f>(O9/K9)^(1/4)-1</f>
        <v>4.9850646209037119E-2</v>
      </c>
      <c r="P12" s="532">
        <f t="shared" ref="P12:Q12" si="24">Q12</f>
        <v>5.3481419723564017E-2</v>
      </c>
      <c r="Q12" s="532">
        <f t="shared" si="24"/>
        <v>5.3481419723564017E-2</v>
      </c>
      <c r="R12" s="532">
        <f>S12</f>
        <v>5.3481419723564017E-2</v>
      </c>
      <c r="S12" s="532">
        <f>(S9/O9)^(1/4)-1</f>
        <v>5.3481419723564017E-2</v>
      </c>
      <c r="T12" s="532">
        <v>8.2217348915583521E-2</v>
      </c>
      <c r="U12" s="532">
        <v>8.2217348915583521E-2</v>
      </c>
      <c r="V12" s="532">
        <v>8.2217348915583521E-2</v>
      </c>
      <c r="W12" s="532">
        <f>(W9/S9)^(1/4)-1</f>
        <v>8.2185464259437735E-2</v>
      </c>
      <c r="X12" s="532">
        <v>9.0144716304603634E-2</v>
      </c>
      <c r="Y12" s="532">
        <v>9.0144716304603634E-2</v>
      </c>
      <c r="Z12" s="532">
        <v>9.0144716304603634E-2</v>
      </c>
      <c r="AA12" s="532">
        <f>(AA9/W9)^(1/4)-1</f>
        <v>9.0154177488784404E-2</v>
      </c>
      <c r="AB12" s="532"/>
      <c r="AC12" s="532"/>
      <c r="AD12" s="532"/>
      <c r="AE12" s="532"/>
    </row>
    <row r="13" spans="1:38">
      <c r="A13" s="530" t="s">
        <v>724</v>
      </c>
      <c r="B13" s="530">
        <v>290</v>
      </c>
      <c r="C13" s="530">
        <v>420</v>
      </c>
      <c r="D13" s="530">
        <v>620</v>
      </c>
      <c r="E13" s="530">
        <v>710</v>
      </c>
      <c r="F13" s="530">
        <v>800</v>
      </c>
      <c r="G13" s="530">
        <v>830</v>
      </c>
      <c r="H13" s="530">
        <v>960</v>
      </c>
      <c r="I13" s="530">
        <v>950</v>
      </c>
      <c r="J13" s="535">
        <f ca="1">J6*J14*10000</f>
        <v>937.49833333333356</v>
      </c>
      <c r="K13" s="535">
        <v>1020</v>
      </c>
      <c r="L13" s="536">
        <f>K13*(1+L16)</f>
        <v>1074.6918323209159</v>
      </c>
      <c r="M13" s="536">
        <f t="shared" ref="M13" si="25">L13*(1+M16)</f>
        <v>1132.3162102522426</v>
      </c>
      <c r="N13" s="536">
        <f t="shared" ref="N13" si="26">M13*(1+N16)</f>
        <v>1193.0303752575078</v>
      </c>
      <c r="O13" s="354">
        <v>1257</v>
      </c>
      <c r="P13" s="536">
        <f>O13*(1+P16)</f>
        <v>1302.9216823319321</v>
      </c>
      <c r="Q13" s="536">
        <f t="shared" ref="Q13" si="27">P13*(1+Q16)</f>
        <v>1350.521010573327</v>
      </c>
      <c r="R13" s="536">
        <f t="shared" ref="R13" si="28">Q13*(1+R16)</f>
        <v>1399.8592737635802</v>
      </c>
      <c r="S13" s="354">
        <v>1451</v>
      </c>
      <c r="T13" s="536">
        <f>S13*(1+T16)</f>
        <v>1499.0591607250944</v>
      </c>
      <c r="U13" s="536">
        <f t="shared" ref="U13" si="29">T13*(1+U16)</f>
        <v>1548.7101084450892</v>
      </c>
      <c r="V13" s="536">
        <f t="shared" ref="V13" si="30">U13*(1+V16)</f>
        <v>1600.005565383987</v>
      </c>
      <c r="W13" s="354">
        <v>1653</v>
      </c>
      <c r="X13" s="536">
        <f>W13*(1+X16)</f>
        <v>1706.8145452499245</v>
      </c>
      <c r="Y13" s="536">
        <f t="shared" ref="Y13" si="31">X13*(1+Y16)</f>
        <v>1762.3810598165196</v>
      </c>
      <c r="Z13" s="536">
        <f t="shared" ref="Z13" si="32">Y13*(1+Z16)</f>
        <v>1819.7565802588101</v>
      </c>
      <c r="AA13" s="354">
        <v>1879</v>
      </c>
    </row>
    <row r="14" spans="1:38" ht="17.25">
      <c r="A14" s="551" t="s">
        <v>723</v>
      </c>
      <c r="B14" s="533">
        <f t="shared" ref="B14:AA14" si="33">B13/B6/10000</f>
        <v>2.013888888888889E-2</v>
      </c>
      <c r="C14" s="533">
        <f t="shared" si="33"/>
        <v>2.781456953642384E-2</v>
      </c>
      <c r="D14" s="533">
        <f t="shared" si="33"/>
        <v>3.4444444444444444E-2</v>
      </c>
      <c r="E14" s="533">
        <f t="shared" si="33"/>
        <v>3.5499999999999997E-2</v>
      </c>
      <c r="F14" s="533">
        <f t="shared" si="33"/>
        <v>3.7383177570093455E-2</v>
      </c>
      <c r="G14" s="533">
        <f t="shared" si="33"/>
        <v>3.9712918660287082E-2</v>
      </c>
      <c r="H14" s="533">
        <f t="shared" si="33"/>
        <v>4.2857142857142858E-2</v>
      </c>
      <c r="I14" s="533">
        <f t="shared" si="33"/>
        <v>4.1666666666666671E-2</v>
      </c>
      <c r="J14" s="533">
        <f t="shared" ca="1" si="33"/>
        <v>4.1666666666666671E-2</v>
      </c>
      <c r="K14" s="533">
        <f t="shared" si="33"/>
        <v>4.4736842105263165E-2</v>
      </c>
      <c r="L14" s="533">
        <f t="shared" si="33"/>
        <v>4.6295767882937613E-2</v>
      </c>
      <c r="M14" s="533">
        <f t="shared" si="33"/>
        <v>4.7909016886524609E-2</v>
      </c>
      <c r="N14" s="533">
        <f t="shared" si="33"/>
        <v>4.9578482094455693E-2</v>
      </c>
      <c r="O14" s="533">
        <f t="shared" si="33"/>
        <v>5.1306122448979592E-2</v>
      </c>
      <c r="P14" s="533">
        <f t="shared" si="33"/>
        <v>5.2497524101749127E-2</v>
      </c>
      <c r="Q14" s="533">
        <f t="shared" si="33"/>
        <v>5.3716591807427529E-2</v>
      </c>
      <c r="R14" s="533">
        <f t="shared" si="33"/>
        <v>5.4963968011391452E-2</v>
      </c>
      <c r="S14" s="533">
        <f t="shared" si="33"/>
        <v>5.6240310077519381E-2</v>
      </c>
      <c r="T14" s="533">
        <f t="shared" si="33"/>
        <v>5.7446430993815759E-2</v>
      </c>
      <c r="U14" s="533">
        <f t="shared" si="33"/>
        <v>5.8678418191125209E-2</v>
      </c>
      <c r="V14" s="533">
        <f t="shared" si="33"/>
        <v>5.9936826393675133E-2</v>
      </c>
      <c r="W14" s="533">
        <f t="shared" si="33"/>
        <v>6.122222222222222E-2</v>
      </c>
      <c r="X14" s="533">
        <f t="shared" si="33"/>
        <v>6.2476530395884092E-2</v>
      </c>
      <c r="Y14" s="533">
        <f t="shared" si="33"/>
        <v>6.3756536574901046E-2</v>
      </c>
      <c r="Z14" s="533">
        <f t="shared" si="33"/>
        <v>6.5062767254669557E-2</v>
      </c>
      <c r="AA14" s="533">
        <f t="shared" si="33"/>
        <v>6.6395759717314484E-2</v>
      </c>
      <c r="AB14" s="533"/>
      <c r="AC14" s="533"/>
      <c r="AD14" s="533"/>
      <c r="AE14" s="533"/>
      <c r="AF14" s="372"/>
    </row>
    <row r="15" spans="1:38">
      <c r="A15" s="551" t="s">
        <v>725</v>
      </c>
      <c r="B15" s="532"/>
      <c r="C15" s="532"/>
      <c r="D15" s="532"/>
      <c r="E15" s="532"/>
      <c r="F15" s="532">
        <f>F13/B13-1</f>
        <v>1.7586206896551726</v>
      </c>
      <c r="G15" s="532">
        <f t="shared" ref="G15:AA15" si="34">G13/C13-1</f>
        <v>0.97619047619047628</v>
      </c>
      <c r="H15" s="532">
        <f t="shared" si="34"/>
        <v>0.54838709677419351</v>
      </c>
      <c r="I15" s="532">
        <f t="shared" si="34"/>
        <v>0.3380281690140845</v>
      </c>
      <c r="J15" s="533">
        <f t="shared" ca="1" si="34"/>
        <v>0.17187291666666704</v>
      </c>
      <c r="K15" s="532">
        <f>K13/G13-1</f>
        <v>0.22891566265060237</v>
      </c>
      <c r="L15" s="532">
        <f t="shared" si="34"/>
        <v>0.11947065866762063</v>
      </c>
      <c r="M15" s="532">
        <f t="shared" si="34"/>
        <v>0.19191180026551846</v>
      </c>
      <c r="N15" s="532">
        <f t="shared" ca="1" si="34"/>
        <v>0.27256799595111181</v>
      </c>
      <c r="O15" s="532">
        <f t="shared" si="34"/>
        <v>0.23235294117647065</v>
      </c>
      <c r="P15" s="532">
        <f t="shared" si="34"/>
        <v>0.21236771616485495</v>
      </c>
      <c r="Q15" s="532">
        <f t="shared" si="34"/>
        <v>0.19270659409925384</v>
      </c>
      <c r="R15" s="532">
        <f t="shared" si="34"/>
        <v>0.17336431896080584</v>
      </c>
      <c r="S15" s="532">
        <f t="shared" si="34"/>
        <v>0.1543357199681783</v>
      </c>
      <c r="T15" s="532">
        <f t="shared" si="34"/>
        <v>0.15053666007163313</v>
      </c>
      <c r="U15" s="532">
        <f t="shared" si="34"/>
        <v>0.1467501033453944</v>
      </c>
      <c r="V15" s="532">
        <f t="shared" si="34"/>
        <v>0.14297600864000071</v>
      </c>
      <c r="W15" s="532">
        <f t="shared" si="34"/>
        <v>0.13921433494141966</v>
      </c>
      <c r="X15" s="532">
        <f t="shared" si="34"/>
        <v>0.13859051728441374</v>
      </c>
      <c r="Y15" s="532">
        <f t="shared" si="34"/>
        <v>0.13796704122113401</v>
      </c>
      <c r="Z15" s="532">
        <f t="shared" si="34"/>
        <v>0.13734390656452811</v>
      </c>
      <c r="AA15" s="532">
        <f t="shared" si="34"/>
        <v>0.13672111312764668</v>
      </c>
      <c r="AB15" s="532"/>
      <c r="AC15" s="532"/>
      <c r="AD15" s="532"/>
      <c r="AE15" s="532"/>
    </row>
    <row r="16" spans="1:38">
      <c r="A16" s="551" t="s">
        <v>726</v>
      </c>
      <c r="B16" s="532"/>
      <c r="C16" s="532"/>
      <c r="D16" s="532"/>
      <c r="E16" s="532"/>
      <c r="F16" s="532"/>
      <c r="G16" s="532"/>
      <c r="H16" s="532"/>
      <c r="I16" s="532"/>
      <c r="J16" s="532"/>
      <c r="K16" s="532"/>
      <c r="L16" s="532">
        <f t="shared" ref="L16:M16" si="35">M16</f>
        <v>5.361944345187819E-2</v>
      </c>
      <c r="M16" s="532">
        <f t="shared" si="35"/>
        <v>5.361944345187819E-2</v>
      </c>
      <c r="N16" s="532">
        <f>O16</f>
        <v>5.361944345187819E-2</v>
      </c>
      <c r="O16" s="532">
        <f>(O13/K13)^(1/4)-1</f>
        <v>5.361944345187819E-2</v>
      </c>
      <c r="P16" s="532">
        <f t="shared" ref="P16:Q16" si="36">Q16</f>
        <v>3.653276239612735E-2</v>
      </c>
      <c r="Q16" s="532">
        <f t="shared" si="36"/>
        <v>3.653276239612735E-2</v>
      </c>
      <c r="R16" s="532">
        <f>S16</f>
        <v>3.653276239612735E-2</v>
      </c>
      <c r="S16" s="532">
        <f>(S13/O13)^(1/4)-1</f>
        <v>3.653276239612735E-2</v>
      </c>
      <c r="T16" s="532">
        <f t="shared" ref="T16:U16" si="37">U16</f>
        <v>3.3121406426667388E-2</v>
      </c>
      <c r="U16" s="532">
        <f t="shared" si="37"/>
        <v>3.3121406426667388E-2</v>
      </c>
      <c r="V16" s="532">
        <f>W16</f>
        <v>3.3121406426667388E-2</v>
      </c>
      <c r="W16" s="532">
        <f>(W13/S13)^(1/4)-1</f>
        <v>3.3121406426667388E-2</v>
      </c>
      <c r="X16" s="532">
        <f t="shared" ref="X16:Y16" si="38">Y16</f>
        <v>3.2555683756760212E-2</v>
      </c>
      <c r="Y16" s="532">
        <f t="shared" si="38"/>
        <v>3.2555683756760212E-2</v>
      </c>
      <c r="Z16" s="532">
        <f>AA16</f>
        <v>3.2555683756760212E-2</v>
      </c>
      <c r="AA16" s="532">
        <f>(AA13/W13)^(1/4)-1</f>
        <v>3.2555683756760212E-2</v>
      </c>
      <c r="AB16" s="532"/>
      <c r="AC16" s="532"/>
      <c r="AD16" s="532"/>
      <c r="AE16" s="532"/>
    </row>
    <row r="17" spans="1:38">
      <c r="A17" s="530" t="s">
        <v>727</v>
      </c>
      <c r="B17" s="530">
        <v>8.6</v>
      </c>
      <c r="C17" s="530">
        <v>9.3000000000000007</v>
      </c>
      <c r="D17" s="530">
        <v>9.5</v>
      </c>
      <c r="E17" s="530">
        <v>8.6999999999999993</v>
      </c>
      <c r="F17" s="530">
        <v>8.5</v>
      </c>
      <c r="G17" s="530">
        <v>8.6999999999999993</v>
      </c>
      <c r="H17" s="530">
        <v>8.4</v>
      </c>
      <c r="I17" s="530">
        <v>8.6999999999999993</v>
      </c>
      <c r="J17" s="537">
        <f>I17*(1+J19)</f>
        <v>8.4998999999999985</v>
      </c>
      <c r="K17" s="537">
        <f>J17*(1+K19)</f>
        <v>8.4998999999999985</v>
      </c>
      <c r="L17" s="354">
        <v>8.5</v>
      </c>
      <c r="M17" s="354">
        <v>8.5</v>
      </c>
      <c r="N17" s="354">
        <v>8.5</v>
      </c>
      <c r="O17" s="354">
        <v>8.5</v>
      </c>
      <c r="P17" s="354">
        <v>8.5</v>
      </c>
      <c r="Q17" s="354">
        <v>8.5</v>
      </c>
      <c r="R17" s="354">
        <v>8.5</v>
      </c>
      <c r="S17" s="354">
        <v>8.5</v>
      </c>
      <c r="T17" s="354">
        <v>8.5</v>
      </c>
      <c r="U17" s="354">
        <v>8.5</v>
      </c>
      <c r="V17" s="354">
        <v>8.5</v>
      </c>
      <c r="W17" s="354">
        <v>8.5</v>
      </c>
      <c r="X17" s="354">
        <v>8.5</v>
      </c>
      <c r="Y17" s="354">
        <v>8.5</v>
      </c>
      <c r="Z17" s="354">
        <v>8.5</v>
      </c>
      <c r="AA17" s="354">
        <v>8.5</v>
      </c>
    </row>
    <row r="18" spans="1:38">
      <c r="A18" s="551" t="s">
        <v>728</v>
      </c>
      <c r="B18" s="532"/>
      <c r="C18" s="538"/>
      <c r="D18" s="538"/>
      <c r="E18" s="538"/>
      <c r="F18" s="532"/>
      <c r="G18" s="532"/>
      <c r="H18" s="532"/>
      <c r="I18" s="532"/>
      <c r="J18" s="532"/>
      <c r="K18" s="532"/>
      <c r="O18" s="358"/>
      <c r="S18" s="358"/>
      <c r="W18" s="358"/>
      <c r="AA18" s="358"/>
      <c r="AB18" s="358"/>
      <c r="AC18" s="358"/>
      <c r="AD18" s="358"/>
      <c r="AE18" s="358"/>
    </row>
    <row r="19" spans="1:38">
      <c r="A19" s="551" t="s">
        <v>729</v>
      </c>
      <c r="B19" s="532"/>
      <c r="C19" s="532">
        <f>C17/B17-1</f>
        <v>8.1395348837209447E-2</v>
      </c>
      <c r="D19" s="532">
        <f t="shared" ref="D19:I19" si="39">D17/C17-1</f>
        <v>2.1505376344086002E-2</v>
      </c>
      <c r="E19" s="532">
        <f t="shared" si="39"/>
        <v>-8.4210526315789513E-2</v>
      </c>
      <c r="F19" s="532">
        <f t="shared" si="39"/>
        <v>-2.2988505747126409E-2</v>
      </c>
      <c r="G19" s="532">
        <f t="shared" si="39"/>
        <v>2.3529411764705799E-2</v>
      </c>
      <c r="H19" s="532">
        <f t="shared" si="39"/>
        <v>-3.4482758620689502E-2</v>
      </c>
      <c r="I19" s="532">
        <f t="shared" si="39"/>
        <v>3.5714285714285587E-2</v>
      </c>
      <c r="J19" s="539">
        <v>-2.3E-2</v>
      </c>
      <c r="K19" s="539">
        <v>0</v>
      </c>
      <c r="O19" s="357"/>
      <c r="S19" s="357"/>
      <c r="W19" s="357"/>
      <c r="AA19" s="357"/>
      <c r="AB19" s="357"/>
      <c r="AC19" s="357"/>
      <c r="AD19" s="357"/>
      <c r="AE19" s="357"/>
    </row>
    <row r="20" spans="1:38">
      <c r="A20" s="530" t="s">
        <v>1037</v>
      </c>
      <c r="B20" s="540">
        <v>7.3836065573770471</v>
      </c>
      <c r="C20" s="540">
        <v>9.9747530864197529</v>
      </c>
      <c r="D20" s="540">
        <v>6.8174291938997813</v>
      </c>
      <c r="E20" s="540">
        <v>4.2081325301204826</v>
      </c>
      <c r="F20" s="540">
        <v>5.2238615664845174</v>
      </c>
      <c r="G20" s="540">
        <v>9.6506872852233681</v>
      </c>
      <c r="H20" s="540">
        <v>10.750336322869956</v>
      </c>
      <c r="I20" s="540">
        <v>10.217167381974248</v>
      </c>
      <c r="J20" s="540">
        <v>11.26</v>
      </c>
      <c r="K20" s="540">
        <v>11.75</v>
      </c>
      <c r="L20" s="534">
        <f>H20*(1+L21)</f>
        <v>12.900403587443947</v>
      </c>
      <c r="M20" s="534">
        <f t="shared" ref="M20:AA20" si="40">I20*(1+M21)</f>
        <v>12.260600858369097</v>
      </c>
      <c r="N20" s="534">
        <f t="shared" si="40"/>
        <v>13.511999999999999</v>
      </c>
      <c r="O20" s="534">
        <f t="shared" si="40"/>
        <v>14.1</v>
      </c>
      <c r="P20" s="534">
        <f t="shared" si="40"/>
        <v>14.190443946188342</v>
      </c>
      <c r="Q20" s="534">
        <f t="shared" si="40"/>
        <v>13.486660944206008</v>
      </c>
      <c r="R20" s="534">
        <f t="shared" si="40"/>
        <v>14.863199999999999</v>
      </c>
      <c r="S20" s="534">
        <f t="shared" si="40"/>
        <v>15.510000000000002</v>
      </c>
      <c r="T20" s="534">
        <f t="shared" si="40"/>
        <v>15.609488340807177</v>
      </c>
      <c r="U20" s="534">
        <f t="shared" si="40"/>
        <v>14.835327038626611</v>
      </c>
      <c r="V20" s="534">
        <f t="shared" si="40"/>
        <v>16.349520000000002</v>
      </c>
      <c r="W20" s="534">
        <f t="shared" si="40"/>
        <v>17.061000000000003</v>
      </c>
      <c r="X20" s="534">
        <f t="shared" si="40"/>
        <v>16.389962757847538</v>
      </c>
      <c r="Y20" s="534">
        <f t="shared" si="40"/>
        <v>15.577093390557941</v>
      </c>
      <c r="Z20" s="534">
        <f t="shared" si="40"/>
        <v>17.166996000000001</v>
      </c>
      <c r="AA20" s="534">
        <f t="shared" si="40"/>
        <v>17.914050000000003</v>
      </c>
      <c r="AB20" s="534"/>
      <c r="AC20" s="534"/>
      <c r="AD20" s="534"/>
      <c r="AE20" s="534"/>
      <c r="AH20" s="366">
        <f>SUM(H20:K20)</f>
        <v>43.977503704844203</v>
      </c>
      <c r="AI20" s="366">
        <f>SUM(L20:O20)</f>
        <v>52.773004445813044</v>
      </c>
      <c r="AJ20" s="366">
        <f>SUM(P20:S20)</f>
        <v>58.050304890394358</v>
      </c>
    </row>
    <row r="21" spans="1:38">
      <c r="A21" s="551" t="s">
        <v>728</v>
      </c>
      <c r="B21" s="532"/>
      <c r="C21" s="532"/>
      <c r="D21" s="532"/>
      <c r="E21" s="532"/>
      <c r="F21" s="532">
        <f>F20/B20-1</f>
        <v>-0.29250542727452122</v>
      </c>
      <c r="G21" s="532">
        <f t="shared" ref="G21:K21" si="41">G20/C20-1</f>
        <v>-3.2488603816929418E-2</v>
      </c>
      <c r="H21" s="532">
        <f t="shared" si="41"/>
        <v>0.576890058864026</v>
      </c>
      <c r="I21" s="532">
        <f t="shared" si="41"/>
        <v>1.4279576056226824</v>
      </c>
      <c r="J21" s="532">
        <f t="shared" si="41"/>
        <v>1.1554935667212942</v>
      </c>
      <c r="K21" s="532">
        <f t="shared" si="41"/>
        <v>0.21752986629159476</v>
      </c>
      <c r="L21" s="532">
        <v>0.2</v>
      </c>
      <c r="M21" s="532">
        <v>0.2</v>
      </c>
      <c r="N21" s="532">
        <v>0.2</v>
      </c>
      <c r="O21" s="532">
        <v>0.2</v>
      </c>
      <c r="P21" s="532">
        <v>0.1</v>
      </c>
      <c r="Q21" s="532">
        <v>0.1</v>
      </c>
      <c r="R21" s="532">
        <v>0.1</v>
      </c>
      <c r="S21" s="532">
        <v>0.1</v>
      </c>
      <c r="T21" s="532">
        <v>0.1</v>
      </c>
      <c r="U21" s="532">
        <v>0.1</v>
      </c>
      <c r="V21" s="532">
        <v>0.1</v>
      </c>
      <c r="W21" s="532">
        <v>0.1</v>
      </c>
      <c r="X21" s="532">
        <v>0.05</v>
      </c>
      <c r="Y21" s="532">
        <v>0.05</v>
      </c>
      <c r="Z21" s="532">
        <v>0.05</v>
      </c>
      <c r="AA21" s="532">
        <v>0.05</v>
      </c>
      <c r="AB21" s="532"/>
      <c r="AC21" s="532"/>
      <c r="AD21" s="532"/>
      <c r="AE21" s="532"/>
    </row>
    <row r="22" spans="1:38">
      <c r="A22" s="551" t="s">
        <v>729</v>
      </c>
      <c r="B22" s="532"/>
      <c r="C22" s="532">
        <f>C20/B20-1</f>
        <v>0.35093236738811084</v>
      </c>
      <c r="D22" s="532">
        <f t="shared" ref="D22:K22" si="42">D20/C20-1</f>
        <v>-0.31653153367962039</v>
      </c>
      <c r="E22" s="532">
        <f t="shared" si="42"/>
        <v>-0.38273909263540151</v>
      </c>
      <c r="F22" s="532">
        <f t="shared" si="42"/>
        <v>0.24137287243064875</v>
      </c>
      <c r="G22" s="532">
        <f t="shared" si="42"/>
        <v>0.84742401045630222</v>
      </c>
      <c r="H22" s="532">
        <f t="shared" si="42"/>
        <v>0.11394515283178985</v>
      </c>
      <c r="I22" s="532">
        <f t="shared" si="42"/>
        <v>-4.9595559141853096E-2</v>
      </c>
      <c r="J22" s="532">
        <f t="shared" si="42"/>
        <v>0.10206670587246913</v>
      </c>
      <c r="K22" s="532">
        <f t="shared" si="42"/>
        <v>4.3516873889875685E-2</v>
      </c>
      <c r="L22" s="534"/>
    </row>
    <row r="23" spans="1:38">
      <c r="A23" s="530" t="s">
        <v>730</v>
      </c>
      <c r="B23" s="537">
        <v>100.7</v>
      </c>
      <c r="C23" s="537">
        <v>99</v>
      </c>
      <c r="D23" s="537">
        <v>74.5</v>
      </c>
      <c r="E23" s="537">
        <v>81.599999999999994</v>
      </c>
      <c r="F23" s="537">
        <v>90.8</v>
      </c>
      <c r="G23" s="537">
        <v>101.9</v>
      </c>
      <c r="H23" s="537">
        <v>99.5</v>
      </c>
      <c r="I23" s="537">
        <v>111.8</v>
      </c>
      <c r="J23" s="537">
        <v>118.5</v>
      </c>
      <c r="K23" s="537">
        <v>126.7</v>
      </c>
      <c r="L23" s="534">
        <f>H23*(1+L24)</f>
        <v>114.425</v>
      </c>
      <c r="M23" s="534">
        <f t="shared" ref="M23:AA23" si="43">I23*(1+M24)</f>
        <v>128.57</v>
      </c>
      <c r="N23" s="534">
        <f t="shared" si="43"/>
        <v>136.27499999999998</v>
      </c>
      <c r="O23" s="534">
        <f t="shared" si="43"/>
        <v>145.70499999999998</v>
      </c>
      <c r="P23" s="534">
        <f t="shared" si="43"/>
        <v>125.86750000000001</v>
      </c>
      <c r="Q23" s="534">
        <f t="shared" si="43"/>
        <v>141.42699999999999</v>
      </c>
      <c r="R23" s="534">
        <f t="shared" si="43"/>
        <v>149.90249999999997</v>
      </c>
      <c r="S23" s="534">
        <f t="shared" si="43"/>
        <v>160.27549999999999</v>
      </c>
      <c r="T23" s="534">
        <f t="shared" si="43"/>
        <v>132.160875</v>
      </c>
      <c r="U23" s="534">
        <f t="shared" si="43"/>
        <v>148.49834999999999</v>
      </c>
      <c r="V23" s="534">
        <f t="shared" si="43"/>
        <v>157.39762499999998</v>
      </c>
      <c r="W23" s="534">
        <f t="shared" si="43"/>
        <v>168.289275</v>
      </c>
      <c r="X23" s="534">
        <f t="shared" si="43"/>
        <v>138.76891875000001</v>
      </c>
      <c r="Y23" s="534">
        <f t="shared" si="43"/>
        <v>155.92326749999998</v>
      </c>
      <c r="Z23" s="534">
        <f t="shared" si="43"/>
        <v>165.26750624999997</v>
      </c>
      <c r="AA23" s="534">
        <f t="shared" si="43"/>
        <v>176.70373875000001</v>
      </c>
      <c r="AB23" s="534"/>
      <c r="AC23" s="534"/>
      <c r="AD23" s="534"/>
      <c r="AE23" s="534"/>
      <c r="AH23" s="354">
        <f>SUM(H23:K23)</f>
        <v>456.5</v>
      </c>
      <c r="AI23" s="367">
        <f>SUM(L23:O23)</f>
        <v>524.97499999999991</v>
      </c>
      <c r="AJ23" s="367">
        <f>SUM(P23:S23)</f>
        <v>577.47249999999997</v>
      </c>
    </row>
    <row r="24" spans="1:38">
      <c r="A24" s="551" t="s">
        <v>728</v>
      </c>
      <c r="B24" s="538"/>
      <c r="C24" s="538"/>
      <c r="D24" s="538"/>
      <c r="E24" s="538"/>
      <c r="F24" s="538"/>
      <c r="G24" s="538"/>
      <c r="H24" s="538"/>
      <c r="I24" s="538"/>
      <c r="J24" s="538"/>
      <c r="K24" s="538"/>
      <c r="L24" s="532">
        <v>0.15</v>
      </c>
      <c r="M24" s="532">
        <v>0.15</v>
      </c>
      <c r="N24" s="532">
        <v>0.15</v>
      </c>
      <c r="O24" s="532">
        <v>0.15</v>
      </c>
      <c r="P24" s="532">
        <v>0.1</v>
      </c>
      <c r="Q24" s="532">
        <v>0.1</v>
      </c>
      <c r="R24" s="532">
        <v>0.1</v>
      </c>
      <c r="S24" s="532">
        <v>0.1</v>
      </c>
      <c r="T24" s="532">
        <v>0.05</v>
      </c>
      <c r="U24" s="532">
        <v>0.05</v>
      </c>
      <c r="V24" s="532">
        <v>0.05</v>
      </c>
      <c r="W24" s="532">
        <v>0.05</v>
      </c>
      <c r="X24" s="532">
        <v>0.05</v>
      </c>
      <c r="Y24" s="532">
        <v>0.05</v>
      </c>
      <c r="Z24" s="532">
        <v>0.05</v>
      </c>
      <c r="AA24" s="532">
        <v>0.05</v>
      </c>
      <c r="AB24" s="532"/>
      <c r="AC24" s="532"/>
      <c r="AD24" s="532"/>
      <c r="AE24" s="532"/>
    </row>
    <row r="25" spans="1:38">
      <c r="A25" s="551" t="s">
        <v>729</v>
      </c>
      <c r="B25" s="532"/>
      <c r="C25" s="532">
        <f t="shared" ref="C25:K25" si="44">C23/B23-1</f>
        <v>-1.688182720953324E-2</v>
      </c>
      <c r="D25" s="532">
        <f t="shared" si="44"/>
        <v>-0.24747474747474751</v>
      </c>
      <c r="E25" s="532">
        <f t="shared" si="44"/>
        <v>9.5302013422818632E-2</v>
      </c>
      <c r="F25" s="532">
        <f t="shared" si="44"/>
        <v>0.11274509803921573</v>
      </c>
      <c r="G25" s="532">
        <f t="shared" si="44"/>
        <v>0.12224669603524241</v>
      </c>
      <c r="H25" s="532">
        <f t="shared" si="44"/>
        <v>-2.3552502453385693E-2</v>
      </c>
      <c r="I25" s="532">
        <f t="shared" si="44"/>
        <v>0.12361809045226124</v>
      </c>
      <c r="J25" s="532">
        <f t="shared" si="44"/>
        <v>5.9928443649373886E-2</v>
      </c>
      <c r="K25" s="532">
        <f t="shared" si="44"/>
        <v>6.9198312236286919E-2</v>
      </c>
    </row>
    <row r="26" spans="1:38">
      <c r="A26" s="375" t="s">
        <v>731</v>
      </c>
      <c r="B26" s="530">
        <v>5.85</v>
      </c>
      <c r="C26" s="530">
        <v>7.49</v>
      </c>
      <c r="D26" s="530">
        <v>7.19</v>
      </c>
      <c r="E26" s="530">
        <v>6.45</v>
      </c>
      <c r="F26" s="530">
        <v>7.37</v>
      </c>
      <c r="G26" s="530">
        <v>10.48</v>
      </c>
      <c r="H26" s="530">
        <v>12.54</v>
      </c>
      <c r="I26" s="530">
        <v>12.99</v>
      </c>
      <c r="J26" s="531">
        <f>J28+J31</f>
        <v>14.62637336708425</v>
      </c>
      <c r="K26" s="531">
        <v>15.2</v>
      </c>
      <c r="AI26" s="367"/>
      <c r="AJ26" s="367"/>
    </row>
    <row r="27" spans="1:38">
      <c r="A27" s="552" t="s">
        <v>725</v>
      </c>
      <c r="B27" s="532"/>
      <c r="C27" s="532"/>
      <c r="D27" s="532"/>
      <c r="E27" s="532"/>
      <c r="F27" s="532">
        <f>F26/B26-1</f>
        <v>0.25982905982906002</v>
      </c>
      <c r="G27" s="532">
        <f t="shared" ref="G27:K27" si="45">G26/C26-1</f>
        <v>0.39919893190921241</v>
      </c>
      <c r="H27" s="532">
        <f t="shared" si="45"/>
        <v>0.74408901251738513</v>
      </c>
      <c r="I27" s="532">
        <f t="shared" si="45"/>
        <v>1.0139534883720929</v>
      </c>
      <c r="J27" s="532">
        <f t="shared" si="45"/>
        <v>0.98458254641577336</v>
      </c>
      <c r="K27" s="532">
        <f t="shared" si="45"/>
        <v>0.45038167938931295</v>
      </c>
      <c r="AI27" s="367"/>
      <c r="AJ27" s="367"/>
    </row>
    <row r="28" spans="1:38">
      <c r="A28" s="530" t="s">
        <v>732</v>
      </c>
      <c r="B28" s="534">
        <f>B9*B17*3/10000</f>
        <v>3.1476000000000002</v>
      </c>
      <c r="C28" s="534">
        <f t="shared" ref="C28:J28" si="46">(B9+C9)/2*(B17+C17)/2*3/10000</f>
        <v>3.4502249999999992</v>
      </c>
      <c r="D28" s="534">
        <f t="shared" si="46"/>
        <v>4.0608000000000004</v>
      </c>
      <c r="E28" s="534">
        <f t="shared" si="46"/>
        <v>4.3543500000000002</v>
      </c>
      <c r="F28" s="534">
        <f t="shared" si="46"/>
        <v>4.5021000000000004</v>
      </c>
      <c r="G28" s="534">
        <f t="shared" si="46"/>
        <v>4.8632999999999997</v>
      </c>
      <c r="H28" s="534">
        <f t="shared" si="46"/>
        <v>5.3480249999999998</v>
      </c>
      <c r="I28" s="534">
        <f t="shared" si="46"/>
        <v>5.8482000000000003</v>
      </c>
      <c r="J28" s="531">
        <f t="shared" si="46"/>
        <v>6.21637336708425</v>
      </c>
      <c r="K28" s="617">
        <v>6.95</v>
      </c>
      <c r="L28" s="366">
        <f>(L9+K9)/2*L17*3/10000</f>
        <v>7.0566108495746098</v>
      </c>
      <c r="M28" s="366">
        <f t="shared" ref="M28:AA28" si="47">(M9+L9)/2*M17*3/10000</f>
        <v>7.4083874604716069</v>
      </c>
      <c r="N28" s="366">
        <f t="shared" si="47"/>
        <v>7.777700362743043</v>
      </c>
      <c r="O28" s="366">
        <f t="shared" si="47"/>
        <v>8.1654237518460473</v>
      </c>
      <c r="P28" s="366">
        <f t="shared" si="47"/>
        <v>8.5876592972839454</v>
      </c>
      <c r="Q28" s="366">
        <f t="shared" si="47"/>
        <v>9.0469395086049538</v>
      </c>
      <c r="R28" s="366">
        <f t="shared" si="47"/>
        <v>9.5307826776783511</v>
      </c>
      <c r="S28" s="366">
        <f t="shared" si="47"/>
        <v>10.040502466357339</v>
      </c>
      <c r="T28" s="366">
        <f t="shared" si="47"/>
        <v>10.725501564264169</v>
      </c>
      <c r="U28" s="366">
        <f t="shared" si="47"/>
        <v>11.607323868667915</v>
      </c>
      <c r="V28" s="366">
        <f t="shared" si="47"/>
        <v>12.561647265154365</v>
      </c>
      <c r="W28" s="366">
        <f t="shared" si="47"/>
        <v>13.593599960750621</v>
      </c>
      <c r="X28" s="366">
        <f t="shared" si="47"/>
        <v>14.766402138130855</v>
      </c>
      <c r="Y28" s="366">
        <f t="shared" si="47"/>
        <v>16.097515269712353</v>
      </c>
      <c r="Z28" s="366">
        <f t="shared" si="47"/>
        <v>17.548621216909599</v>
      </c>
      <c r="AA28" s="366">
        <f t="shared" si="47"/>
        <v>19.130883085328097</v>
      </c>
      <c r="AB28" s="366"/>
      <c r="AC28" s="366"/>
      <c r="AD28" s="366"/>
      <c r="AE28" s="366"/>
      <c r="AH28" s="366">
        <f>SUM(H28:K28)</f>
        <v>24.362598367084249</v>
      </c>
      <c r="AI28" s="366">
        <f>SUM(L28:O28)</f>
        <v>30.408122424635309</v>
      </c>
      <c r="AJ28" s="366">
        <f>SUM(P28:S28)</f>
        <v>37.205883949924591</v>
      </c>
      <c r="AK28" s="366">
        <f>SUM(T28:W28)</f>
        <v>48.488072658837069</v>
      </c>
      <c r="AL28" s="366">
        <f>SUM(X28:AA28)</f>
        <v>67.543421710080906</v>
      </c>
    </row>
    <row r="29" spans="1:38">
      <c r="A29" s="552" t="s">
        <v>725</v>
      </c>
      <c r="B29" s="532"/>
      <c r="C29" s="532"/>
      <c r="D29" s="532"/>
      <c r="E29" s="532"/>
      <c r="F29" s="532">
        <f>F28/B28-1</f>
        <v>0.43032786885245899</v>
      </c>
      <c r="G29" s="532">
        <f t="shared" ref="G29:K29" si="48">G28/C28-1</f>
        <v>0.40956024607090868</v>
      </c>
      <c r="H29" s="532">
        <f t="shared" si="48"/>
        <v>0.31698803191489344</v>
      </c>
      <c r="I29" s="532">
        <f t="shared" si="48"/>
        <v>0.34307072238106717</v>
      </c>
      <c r="J29" s="532">
        <f t="shared" si="48"/>
        <v>0.38077194355617361</v>
      </c>
      <c r="K29" s="532">
        <f t="shared" si="48"/>
        <v>0.42907079555034655</v>
      </c>
      <c r="AH29" s="366"/>
      <c r="AI29" s="366"/>
      <c r="AJ29" s="366"/>
      <c r="AK29" s="366"/>
      <c r="AL29" s="366"/>
    </row>
    <row r="30" spans="1:38">
      <c r="A30" s="552" t="s">
        <v>717</v>
      </c>
      <c r="B30" s="532">
        <f t="shared" ref="B30:K30" si="49">B28/B37</f>
        <v>0.21339661016949155</v>
      </c>
      <c r="C30" s="532">
        <f t="shared" si="49"/>
        <v>0.17242503748125934</v>
      </c>
      <c r="D30" s="532">
        <f t="shared" si="49"/>
        <v>0.19291211401425179</v>
      </c>
      <c r="E30" s="532">
        <f t="shared" si="49"/>
        <v>0.18295588235294119</v>
      </c>
      <c r="F30" s="532">
        <f t="shared" si="49"/>
        <v>0.15471134020618557</v>
      </c>
      <c r="G30" s="532">
        <f t="shared" si="49"/>
        <v>0.13561907417735639</v>
      </c>
      <c r="H30" s="532">
        <f t="shared" si="49"/>
        <v>0.12993258017492712</v>
      </c>
      <c r="I30" s="532">
        <f t="shared" si="49"/>
        <v>0.129873417721519</v>
      </c>
      <c r="J30" s="532">
        <f t="shared" si="49"/>
        <v>0.12511223794011928</v>
      </c>
      <c r="K30" s="532">
        <f t="shared" si="49"/>
        <v>0.12877524550676303</v>
      </c>
      <c r="AH30" s="366"/>
      <c r="AI30" s="366"/>
      <c r="AJ30" s="366"/>
      <c r="AK30" s="366"/>
      <c r="AL30" s="366"/>
    </row>
    <row r="31" spans="1:38" s="364" customFormat="1">
      <c r="A31" s="542" t="s">
        <v>733</v>
      </c>
      <c r="B31" s="534">
        <f t="shared" ref="B31:I31" si="50">B26-B28</f>
        <v>2.7023999999999995</v>
      </c>
      <c r="C31" s="534">
        <f t="shared" si="50"/>
        <v>4.0397750000000006</v>
      </c>
      <c r="D31" s="534">
        <f t="shared" si="50"/>
        <v>3.1292</v>
      </c>
      <c r="E31" s="534">
        <f t="shared" si="50"/>
        <v>2.09565</v>
      </c>
      <c r="F31" s="534">
        <f t="shared" si="50"/>
        <v>2.8678999999999997</v>
      </c>
      <c r="G31" s="534">
        <f t="shared" si="50"/>
        <v>5.6167000000000007</v>
      </c>
      <c r="H31" s="534">
        <f t="shared" si="50"/>
        <v>7.1919749999999993</v>
      </c>
      <c r="I31" s="534">
        <f t="shared" si="50"/>
        <v>7.1417999999999999</v>
      </c>
      <c r="J31" s="534">
        <v>8.41</v>
      </c>
      <c r="K31" s="618">
        <v>8.25</v>
      </c>
      <c r="L31" s="534">
        <f>L20*L9*3/10000</f>
        <v>10.970232604534679</v>
      </c>
      <c r="M31" s="534">
        <f t="shared" ref="M31:AA31" si="51">M20*M9*3/10000</f>
        <v>10.945908487636119</v>
      </c>
      <c r="N31" s="534">
        <f t="shared" si="51"/>
        <v>12.664475702339713</v>
      </c>
      <c r="O31" s="534">
        <f t="shared" si="51"/>
        <v>13.8744</v>
      </c>
      <c r="P31" s="534">
        <f t="shared" si="51"/>
        <v>14.710179130379137</v>
      </c>
      <c r="Q31" s="534">
        <f t="shared" si="51"/>
        <v>14.728322954621003</v>
      </c>
      <c r="R31" s="534">
        <f t="shared" si="51"/>
        <v>17.099683072461744</v>
      </c>
      <c r="S31" s="534">
        <f t="shared" si="51"/>
        <v>18.798120000000001</v>
      </c>
      <c r="T31" s="534">
        <f t="shared" si="51"/>
        <v>20.474145217221871</v>
      </c>
      <c r="U31" s="534">
        <f t="shared" si="51"/>
        <v>21.058562788647187</v>
      </c>
      <c r="V31" s="534">
        <f t="shared" si="51"/>
        <v>25.116036299362705</v>
      </c>
      <c r="W31" s="534">
        <f t="shared" si="51"/>
        <v>28.360500300000002</v>
      </c>
      <c r="X31" s="534">
        <f t="shared" si="51"/>
        <v>29.701031051480619</v>
      </c>
      <c r="Y31" s="534">
        <f t="shared" si="51"/>
        <v>30.772596122899301</v>
      </c>
      <c r="Z31" s="534">
        <f t="shared" si="51"/>
        <v>36.970572297622397</v>
      </c>
      <c r="AA31" s="534">
        <f t="shared" si="51"/>
        <v>42.058606590000004</v>
      </c>
      <c r="AB31" s="534"/>
      <c r="AC31" s="534"/>
      <c r="AD31" s="534"/>
      <c r="AE31" s="534"/>
      <c r="AH31" s="366">
        <f>SUM(H31:K31)</f>
        <v>30.993774999999999</v>
      </c>
      <c r="AI31" s="366">
        <f>SUM(L31:O31)</f>
        <v>48.455016794510513</v>
      </c>
      <c r="AJ31" s="366">
        <f>SUM(P31:S31)</f>
        <v>65.336305157461879</v>
      </c>
      <c r="AK31" s="366">
        <f>SUM(T31:W31)</f>
        <v>95.009244605231757</v>
      </c>
      <c r="AL31" s="366">
        <f>SUM(X31:AA31)</f>
        <v>139.50280606200232</v>
      </c>
    </row>
    <row r="32" spans="1:38">
      <c r="A32" s="552" t="s">
        <v>485</v>
      </c>
      <c r="B32" s="532"/>
      <c r="C32" s="532"/>
      <c r="D32" s="532"/>
      <c r="E32" s="532"/>
      <c r="F32" s="532">
        <f>F31/B31-1</f>
        <v>6.1241859088217998E-2</v>
      </c>
      <c r="G32" s="532">
        <f t="shared" ref="G32:J32" si="52">G31/C31-1</f>
        <v>0.39034971007048669</v>
      </c>
      <c r="H32" s="532">
        <f t="shared" si="52"/>
        <v>1.2983430269717497</v>
      </c>
      <c r="I32" s="532">
        <f t="shared" si="52"/>
        <v>2.407916398253525</v>
      </c>
      <c r="J32" s="532">
        <f t="shared" si="52"/>
        <v>1.9324592907702502</v>
      </c>
      <c r="K32" s="532">
        <f>K31/G31-1</f>
        <v>0.46883401285452297</v>
      </c>
      <c r="AH32" s="366"/>
      <c r="AI32" s="366"/>
      <c r="AJ32" s="366"/>
      <c r="AK32" s="366"/>
      <c r="AL32" s="366"/>
    </row>
    <row r="33" spans="1:38">
      <c r="A33" s="552" t="s">
        <v>486</v>
      </c>
      <c r="B33" s="532">
        <f>B31/B37</f>
        <v>0.18321355932203387</v>
      </c>
      <c r="C33" s="532">
        <f t="shared" ref="C33:K33" si="53">C31/C37</f>
        <v>0.20188780609695156</v>
      </c>
      <c r="D33" s="532">
        <f t="shared" si="53"/>
        <v>0.14865558194774348</v>
      </c>
      <c r="E33" s="532">
        <f t="shared" si="53"/>
        <v>8.8052521008403356E-2</v>
      </c>
      <c r="F33" s="532">
        <f t="shared" si="53"/>
        <v>9.8553264604810981E-2</v>
      </c>
      <c r="G33" s="532">
        <f t="shared" si="53"/>
        <v>0.1566285554935862</v>
      </c>
      <c r="H33" s="532">
        <f t="shared" si="53"/>
        <v>0.17473214285714286</v>
      </c>
      <c r="I33" s="532">
        <f t="shared" si="53"/>
        <v>0.15860093271152564</v>
      </c>
      <c r="J33" s="532">
        <f t="shared" si="53"/>
        <v>0.16926169953815498</v>
      </c>
      <c r="K33" s="532">
        <f t="shared" si="53"/>
        <v>0.15286270150083381</v>
      </c>
      <c r="AH33" s="366"/>
      <c r="AI33" s="366"/>
      <c r="AJ33" s="366"/>
      <c r="AK33" s="366"/>
      <c r="AL33" s="366"/>
    </row>
    <row r="34" spans="1:38">
      <c r="A34" s="530" t="s">
        <v>734</v>
      </c>
      <c r="B34" s="530">
        <v>8.9</v>
      </c>
      <c r="C34" s="530">
        <v>12.52</v>
      </c>
      <c r="D34" s="530">
        <v>13.86</v>
      </c>
      <c r="E34" s="530">
        <v>17.350000000000001</v>
      </c>
      <c r="F34" s="530">
        <v>21.73</v>
      </c>
      <c r="G34" s="530">
        <v>25.38</v>
      </c>
      <c r="H34" s="530">
        <v>28.62</v>
      </c>
      <c r="I34" s="530">
        <v>32.04</v>
      </c>
      <c r="J34" s="534">
        <v>35.06</v>
      </c>
      <c r="K34" s="617">
        <v>38.770000000000003</v>
      </c>
      <c r="L34" s="534">
        <f>AVERAGE(K23:L23)*AVERAGE(K13:L13)*3/10000*0.95</f>
        <v>35.987132974872132</v>
      </c>
      <c r="M34" s="534">
        <f t="shared" ref="M34:O34" si="54">AVERAGE(L23:M23)*AVERAGE(L13:M13)*3/10000*0.95</f>
        <v>38.210799250485863</v>
      </c>
      <c r="N34" s="534">
        <f t="shared" si="54"/>
        <v>43.879769671302242</v>
      </c>
      <c r="O34" s="534">
        <f t="shared" si="54"/>
        <v>49.223744021576728</v>
      </c>
      <c r="P34" s="534">
        <f>AVERAGE(O23:P23)*P13*3/10000*0.97</f>
        <v>51.483385142675395</v>
      </c>
      <c r="Q34" s="534">
        <f t="shared" ref="Q34:AA34" si="55">AVERAGE(P23:Q23)*Q13*3/10000*0.97</f>
        <v>52.523584966930706</v>
      </c>
      <c r="R34" s="534">
        <f t="shared" si="55"/>
        <v>59.337853984054433</v>
      </c>
      <c r="S34" s="534">
        <f t="shared" si="55"/>
        <v>65.484934448999994</v>
      </c>
      <c r="T34" s="534">
        <f t="shared" si="55"/>
        <v>63.784206610019901</v>
      </c>
      <c r="U34" s="534">
        <f t="shared" si="55"/>
        <v>63.242997813343301</v>
      </c>
      <c r="V34" s="534">
        <f t="shared" si="55"/>
        <v>71.212830683355605</v>
      </c>
      <c r="W34" s="534">
        <f t="shared" si="55"/>
        <v>78.331444849349978</v>
      </c>
      <c r="X34" s="534">
        <f t="shared" si="55"/>
        <v>76.255297438612402</v>
      </c>
      <c r="Y34" s="534">
        <f t="shared" si="55"/>
        <v>75.566869454585159</v>
      </c>
      <c r="Z34" s="534">
        <f t="shared" si="55"/>
        <v>85.043152999272266</v>
      </c>
      <c r="AA34" s="534">
        <f t="shared" si="55"/>
        <v>93.493057541152481</v>
      </c>
      <c r="AB34" s="534"/>
      <c r="AC34" s="534"/>
      <c r="AD34" s="534"/>
      <c r="AE34" s="534"/>
      <c r="AH34" s="366">
        <f>SUM(H34:K34)</f>
        <v>134.49</v>
      </c>
      <c r="AI34" s="366">
        <f>SUM(L34:O34)</f>
        <v>167.30144591823696</v>
      </c>
      <c r="AJ34" s="366">
        <f>SUM(P34:S34)</f>
        <v>228.8297585426605</v>
      </c>
      <c r="AK34" s="366">
        <f>SUM(T34:W34)</f>
        <v>276.5714799560688</v>
      </c>
      <c r="AL34" s="366">
        <f>SUM(X34:AA34)</f>
        <v>330.35837743362231</v>
      </c>
    </row>
    <row r="35" spans="1:38">
      <c r="A35" s="552" t="s">
        <v>485</v>
      </c>
      <c r="B35" s="532"/>
      <c r="C35" s="532"/>
      <c r="D35" s="532"/>
      <c r="E35" s="532"/>
      <c r="F35" s="532">
        <f>F34/B34-1</f>
        <v>1.4415730337078649</v>
      </c>
      <c r="G35" s="532">
        <f t="shared" ref="G35:K35" si="56">G34/C34-1</f>
        <v>1.0271565495207668</v>
      </c>
      <c r="H35" s="532">
        <f t="shared" si="56"/>
        <v>1.0649350649350651</v>
      </c>
      <c r="I35" s="532">
        <f t="shared" si="56"/>
        <v>0.84668587896253578</v>
      </c>
      <c r="J35" s="532">
        <f t="shared" si="56"/>
        <v>0.61343764381040033</v>
      </c>
      <c r="K35" s="532">
        <f t="shared" si="56"/>
        <v>0.52758077226162348</v>
      </c>
      <c r="AH35" s="366"/>
      <c r="AI35" s="366"/>
      <c r="AJ35" s="366"/>
      <c r="AK35" s="366"/>
      <c r="AL35" s="366"/>
    </row>
    <row r="36" spans="1:38">
      <c r="A36" s="552" t="s">
        <v>486</v>
      </c>
      <c r="B36" s="532">
        <f t="shared" ref="B36:K36" si="57">B34/B37</f>
        <v>0.60338983050847461</v>
      </c>
      <c r="C36" s="532">
        <f t="shared" si="57"/>
        <v>0.62568715642178918</v>
      </c>
      <c r="D36" s="532">
        <f t="shared" si="57"/>
        <v>0.65843230403800468</v>
      </c>
      <c r="E36" s="532">
        <f t="shared" si="57"/>
        <v>0.72899159663865554</v>
      </c>
      <c r="F36" s="532">
        <f t="shared" si="57"/>
        <v>0.74673539518900345</v>
      </c>
      <c r="G36" s="532">
        <f t="shared" si="57"/>
        <v>0.70775237032905747</v>
      </c>
      <c r="H36" s="532">
        <f t="shared" si="57"/>
        <v>0.69533527696793007</v>
      </c>
      <c r="I36" s="532">
        <f t="shared" si="57"/>
        <v>0.7115256495669553</v>
      </c>
      <c r="J36" s="532">
        <f t="shared" si="57"/>
        <v>0.70562606252172577</v>
      </c>
      <c r="K36" s="532">
        <f t="shared" si="57"/>
        <v>0.7183620529924033</v>
      </c>
      <c r="AH36" s="366"/>
      <c r="AI36" s="366"/>
      <c r="AJ36" s="366"/>
      <c r="AK36" s="366"/>
      <c r="AL36" s="366"/>
    </row>
    <row r="37" spans="1:38" s="546" customFormat="1" ht="15">
      <c r="A37" s="544" t="s">
        <v>735</v>
      </c>
      <c r="B37" s="545">
        <f t="shared" ref="B37:I37" si="58">B26+B34</f>
        <v>14.75</v>
      </c>
      <c r="C37" s="545">
        <f t="shared" si="58"/>
        <v>20.009999999999998</v>
      </c>
      <c r="D37" s="545">
        <f t="shared" si="58"/>
        <v>21.05</v>
      </c>
      <c r="E37" s="545">
        <f t="shared" si="58"/>
        <v>23.8</v>
      </c>
      <c r="F37" s="545">
        <f t="shared" si="58"/>
        <v>29.1</v>
      </c>
      <c r="G37" s="545">
        <f t="shared" si="58"/>
        <v>35.86</v>
      </c>
      <c r="H37" s="545">
        <f t="shared" si="58"/>
        <v>41.16</v>
      </c>
      <c r="I37" s="545">
        <f t="shared" si="58"/>
        <v>45.03</v>
      </c>
      <c r="J37" s="545">
        <f>J28+J31+J34</f>
        <v>49.686373367084251</v>
      </c>
      <c r="K37" s="545">
        <f>K28+K31+K34</f>
        <v>53.97</v>
      </c>
      <c r="L37" s="545">
        <v>63.41916878211309</v>
      </c>
      <c r="M37" s="545">
        <v>66.924624949107255</v>
      </c>
      <c r="N37" s="545">
        <v>71.726153683210384</v>
      </c>
      <c r="O37" s="545">
        <v>72.267795986014434</v>
      </c>
      <c r="P37" s="545">
        <f t="shared" ref="P37:AA37" si="59">P28+P31+P34</f>
        <v>74.781223570338483</v>
      </c>
      <c r="Q37" s="545">
        <f t="shared" si="59"/>
        <v>76.298847430156655</v>
      </c>
      <c r="R37" s="545">
        <f t="shared" si="59"/>
        <v>85.968319734194523</v>
      </c>
      <c r="S37" s="545">
        <f t="shared" si="59"/>
        <v>94.323556915357329</v>
      </c>
      <c r="T37" s="545">
        <f t="shared" si="59"/>
        <v>94.983853391505932</v>
      </c>
      <c r="U37" s="545">
        <f t="shared" si="59"/>
        <v>95.908884470658393</v>
      </c>
      <c r="V37" s="545">
        <f t="shared" si="59"/>
        <v>108.89051424787267</v>
      </c>
      <c r="W37" s="545">
        <f t="shared" si="59"/>
        <v>120.2855451101006</v>
      </c>
      <c r="X37" s="545">
        <f t="shared" si="59"/>
        <v>120.72273062822387</v>
      </c>
      <c r="Y37" s="545">
        <f t="shared" si="59"/>
        <v>122.43698084719682</v>
      </c>
      <c r="Z37" s="545">
        <f t="shared" si="59"/>
        <v>139.56234651380424</v>
      </c>
      <c r="AA37" s="545">
        <f t="shared" si="59"/>
        <v>154.6825472164806</v>
      </c>
      <c r="AB37" s="545">
        <f>X37*(1+AB38)</f>
        <v>149.69618597899759</v>
      </c>
      <c r="AC37" s="545">
        <f t="shared" ref="AC37:AE37" si="60">Y37*(1+AC38)</f>
        <v>151.82185625052406</v>
      </c>
      <c r="AD37" s="545">
        <f t="shared" si="60"/>
        <v>173.05730967711727</v>
      </c>
      <c r="AE37" s="545">
        <f t="shared" si="60"/>
        <v>191.80635854843595</v>
      </c>
      <c r="AH37" s="547">
        <f>SUM(H37:K37)</f>
        <v>189.84637336708425</v>
      </c>
      <c r="AI37" s="547">
        <f>SUM(L37:O37)</f>
        <v>274.33774340044516</v>
      </c>
      <c r="AJ37" s="547">
        <f>SUM(P37:S37)</f>
        <v>331.37194765004699</v>
      </c>
      <c r="AK37" s="547">
        <f>SUM(T37:W37)</f>
        <v>420.06879722013758</v>
      </c>
      <c r="AL37" s="547">
        <f>SUM(X37:AA37)</f>
        <v>537.40460520570559</v>
      </c>
    </row>
    <row r="38" spans="1:38">
      <c r="A38" s="553" t="s">
        <v>736</v>
      </c>
      <c r="B38" s="533"/>
      <c r="C38" s="533"/>
      <c r="D38" s="533"/>
      <c r="E38" s="533"/>
      <c r="F38" s="533">
        <f>F37/B37-1</f>
        <v>0.9728813559322036</v>
      </c>
      <c r="G38" s="533">
        <f t="shared" ref="G38:K38" si="61">G37/C37-1</f>
        <v>0.79210394802598705</v>
      </c>
      <c r="H38" s="533">
        <f t="shared" si="61"/>
        <v>0.95534441805225634</v>
      </c>
      <c r="I38" s="533">
        <f t="shared" si="61"/>
        <v>0.89201680672268902</v>
      </c>
      <c r="J38" s="533">
        <f t="shared" si="61"/>
        <v>0.70743551089636592</v>
      </c>
      <c r="K38" s="533">
        <f t="shared" si="61"/>
        <v>0.50501952035694364</v>
      </c>
      <c r="L38" s="533">
        <f t="shared" ref="L38" si="62">L37/H37-1</f>
        <v>0.54079613173258245</v>
      </c>
      <c r="M38" s="533">
        <f t="shared" ref="M38" si="63">M37/I37-1</f>
        <v>0.48622307237635476</v>
      </c>
      <c r="N38" s="533">
        <f t="shared" ref="N38" si="64">N37/J37-1</f>
        <v>0.44357796358562229</v>
      </c>
      <c r="O38" s="533">
        <f t="shared" ref="O38" si="65">O37/K37-1</f>
        <v>0.33903642738585216</v>
      </c>
      <c r="P38" s="533">
        <f t="shared" ref="P38" si="66">P37/L37-1</f>
        <v>0.17915805278466501</v>
      </c>
      <c r="Q38" s="533">
        <f t="shared" ref="Q38" si="67">Q37/M37-1</f>
        <v>0.14007134874760996</v>
      </c>
      <c r="R38" s="533">
        <f t="shared" ref="R38" si="68">R37/N37-1</f>
        <v>0.1985630808238632</v>
      </c>
      <c r="S38" s="533">
        <f t="shared" ref="S38" si="69">S37/O37-1</f>
        <v>0.30519487454150696</v>
      </c>
      <c r="T38" s="533">
        <f t="shared" ref="T38" si="70">T37/P37-1</f>
        <v>0.27015644912743442</v>
      </c>
      <c r="U38" s="533">
        <f t="shared" ref="U38" si="71">U37/Q37-1</f>
        <v>0.2570161634283219</v>
      </c>
      <c r="V38" s="533">
        <f t="shared" ref="V38" si="72">V37/R37-1</f>
        <v>0.26663536736034033</v>
      </c>
      <c r="W38" s="533">
        <f t="shared" ref="W38" si="73">W37/S37-1</f>
        <v>0.27524394799955076</v>
      </c>
      <c r="X38" s="533">
        <f t="shared" ref="X38" si="74">X37/T37-1</f>
        <v>0.27098160705932872</v>
      </c>
      <c r="Y38" s="533">
        <f t="shared" ref="Y38" si="75">Y37/U37-1</f>
        <v>0.27659686089513658</v>
      </c>
      <c r="Z38" s="533">
        <f t="shared" ref="Z38" si="76">Z37/V37-1</f>
        <v>0.28167588772803298</v>
      </c>
      <c r="AA38" s="533">
        <f t="shared" ref="AA38" si="77">AA37/W37-1</f>
        <v>0.28596122730204621</v>
      </c>
      <c r="AB38" s="533">
        <v>0.24</v>
      </c>
      <c r="AC38" s="533">
        <v>0.24</v>
      </c>
      <c r="AD38" s="533">
        <v>0.24</v>
      </c>
      <c r="AE38" s="533">
        <v>0.24</v>
      </c>
      <c r="AI38" s="541">
        <f>AI37/AH37-1</f>
        <v>0.44505127243062792</v>
      </c>
      <c r="AJ38" s="541">
        <f t="shared" ref="AJ38:AL38" si="78">AJ37/AI37-1</f>
        <v>0.20789776697386531</v>
      </c>
      <c r="AK38" s="541">
        <f t="shared" si="78"/>
        <v>0.26766553475359633</v>
      </c>
      <c r="AL38" s="541">
        <f t="shared" si="78"/>
        <v>0.27932521711218183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F69"/>
  <sheetViews>
    <sheetView zoomScale="80" zoomScaleNormal="80" workbookViewId="0">
      <pane xSplit="2" ySplit="2" topLeftCell="Q3" activePane="bottomRight" state="frozen"/>
      <selection activeCell="E103" activeCellId="1" sqref="N81 E103"/>
      <selection pane="topRight" activeCell="E103" activeCellId="1" sqref="N81 E103"/>
      <selection pane="bottomLeft" activeCell="E103" activeCellId="1" sqref="N81 E103"/>
      <selection pane="bottomRight" activeCell="AF5" sqref="AF5"/>
    </sheetView>
  </sheetViews>
  <sheetFormatPr defaultColWidth="11" defaultRowHeight="16.5"/>
  <cols>
    <col min="1" max="1" width="22.375" style="375" customWidth="1"/>
    <col min="2" max="2" width="12.375" style="375" customWidth="1"/>
    <col min="3" max="3" width="12" style="375" customWidth="1"/>
    <col min="4" max="4" width="11" style="375"/>
    <col min="5" max="7" width="11.75" style="375" customWidth="1"/>
    <col min="8" max="16384" width="11" style="375"/>
  </cols>
  <sheetData>
    <row r="1" spans="1:32">
      <c r="A1" s="375" t="s">
        <v>953</v>
      </c>
    </row>
    <row r="2" spans="1:32">
      <c r="A2" s="373"/>
      <c r="B2" s="373"/>
      <c r="C2" s="374">
        <v>42856</v>
      </c>
      <c r="D2" s="374">
        <v>42887</v>
      </c>
      <c r="E2" s="374">
        <v>42918</v>
      </c>
      <c r="F2" s="374">
        <v>42949</v>
      </c>
      <c r="G2" s="374">
        <v>42980</v>
      </c>
      <c r="H2" s="374">
        <v>43011</v>
      </c>
      <c r="I2" s="374">
        <v>43042</v>
      </c>
      <c r="J2" s="374">
        <v>43073</v>
      </c>
      <c r="K2" s="374">
        <v>43104</v>
      </c>
      <c r="L2" s="374">
        <v>43135</v>
      </c>
      <c r="M2" s="374">
        <v>43166</v>
      </c>
      <c r="N2" s="374">
        <v>43197</v>
      </c>
      <c r="O2" s="374">
        <v>43228</v>
      </c>
      <c r="P2" s="374">
        <v>43259</v>
      </c>
      <c r="Q2" s="374">
        <v>43289</v>
      </c>
      <c r="R2" s="374">
        <v>43320</v>
      </c>
      <c r="S2" s="374">
        <v>43351</v>
      </c>
      <c r="T2" s="374">
        <v>43381</v>
      </c>
      <c r="U2" s="374">
        <v>43412</v>
      </c>
      <c r="V2" s="374">
        <v>43442</v>
      </c>
      <c r="W2" s="374">
        <v>43474</v>
      </c>
      <c r="X2" s="374">
        <v>43506</v>
      </c>
      <c r="Z2" s="375" t="s">
        <v>737</v>
      </c>
      <c r="AA2" s="375" t="s">
        <v>738</v>
      </c>
      <c r="AB2" s="375" t="s">
        <v>739</v>
      </c>
      <c r="AC2" s="375" t="s">
        <v>650</v>
      </c>
      <c r="AD2" s="375" t="s">
        <v>740</v>
      </c>
      <c r="AE2" s="375" t="s">
        <v>289</v>
      </c>
      <c r="AF2" s="375" t="s">
        <v>290</v>
      </c>
    </row>
    <row r="3" spans="1:32">
      <c r="A3" s="373" t="s">
        <v>741</v>
      </c>
      <c r="C3" s="376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</row>
    <row r="4" spans="1:32">
      <c r="A4" s="375" t="s">
        <v>742</v>
      </c>
      <c r="B4" s="375" t="s">
        <v>743</v>
      </c>
      <c r="C4" s="376">
        <v>91405</v>
      </c>
      <c r="D4" s="376">
        <v>92807</v>
      </c>
      <c r="E4" s="376">
        <v>93434</v>
      </c>
      <c r="F4" s="376">
        <v>94342</v>
      </c>
      <c r="G4" s="376">
        <v>96452</v>
      </c>
      <c r="H4" s="376">
        <v>96138</v>
      </c>
      <c r="I4" s="640">
        <v>96255</v>
      </c>
      <c r="J4" s="640">
        <v>99281</v>
      </c>
      <c r="K4" s="640">
        <v>98404</v>
      </c>
      <c r="L4" s="640">
        <v>99569</v>
      </c>
      <c r="M4" s="640">
        <v>101843</v>
      </c>
      <c r="N4" s="640">
        <v>102929</v>
      </c>
      <c r="O4" s="640">
        <v>103565</v>
      </c>
      <c r="P4" s="640">
        <v>104969</v>
      </c>
      <c r="Q4" s="640">
        <v>106033</v>
      </c>
      <c r="R4" s="640">
        <v>106487</v>
      </c>
      <c r="S4" s="640">
        <v>108117</v>
      </c>
      <c r="T4" s="640">
        <v>107965</v>
      </c>
      <c r="U4" s="640">
        <v>108454</v>
      </c>
      <c r="V4" s="640">
        <v>108712</v>
      </c>
      <c r="W4" s="640">
        <v>108812</v>
      </c>
      <c r="X4" s="640">
        <v>109014</v>
      </c>
      <c r="AA4" s="377">
        <f t="shared" ref="AA4:AA9" si="0">AVERAGE(E4:G4)/10000</f>
        <v>9.4742666666666668</v>
      </c>
      <c r="AB4" s="377">
        <f t="shared" ref="AB4:AB10" si="1">AVERAGE(H4:J4)/10000</f>
        <v>9.7224666666666675</v>
      </c>
      <c r="AC4" s="377">
        <f t="shared" ref="AC4:AC10" si="2">AVERAGE(K4:M4)/10000</f>
        <v>9.9938666666666673</v>
      </c>
      <c r="AD4" s="377">
        <f t="shared" ref="AD4:AD10" si="3">AVERAGE(N4:P4)/10000</f>
        <v>10.382099999999999</v>
      </c>
      <c r="AE4" s="377">
        <f t="shared" ref="AE4:AE16" si="4">AVERAGE(Q4:S4)/10000</f>
        <v>10.687900000000001</v>
      </c>
      <c r="AF4" s="377">
        <f>AVERAGE(T4:V4)/10000</f>
        <v>10.8377</v>
      </c>
    </row>
    <row r="5" spans="1:32">
      <c r="A5" s="375" t="s">
        <v>744</v>
      </c>
      <c r="B5" s="375" t="s">
        <v>307</v>
      </c>
      <c r="C5" s="376">
        <v>55171</v>
      </c>
      <c r="D5" s="376">
        <v>56511</v>
      </c>
      <c r="E5" s="376">
        <v>58394</v>
      </c>
      <c r="F5" s="376">
        <v>61078</v>
      </c>
      <c r="G5" s="376">
        <v>61067</v>
      </c>
      <c r="H5" s="376">
        <v>61855</v>
      </c>
      <c r="I5" s="640">
        <v>61417</v>
      </c>
      <c r="J5" s="640">
        <v>62671</v>
      </c>
      <c r="K5" s="640">
        <v>62439</v>
      </c>
      <c r="L5" s="640">
        <v>62815</v>
      </c>
      <c r="M5" s="640">
        <v>60223</v>
      </c>
      <c r="N5" s="640">
        <v>60201</v>
      </c>
      <c r="O5" s="640">
        <v>60826</v>
      </c>
      <c r="P5" s="640">
        <v>66205</v>
      </c>
      <c r="Q5" s="640">
        <v>68161</v>
      </c>
      <c r="R5" s="640">
        <v>69262</v>
      </c>
      <c r="S5" s="640">
        <v>67232</v>
      </c>
      <c r="T5" s="640">
        <v>66980</v>
      </c>
      <c r="U5" s="640">
        <v>67257</v>
      </c>
      <c r="V5" s="640">
        <v>68057</v>
      </c>
      <c r="W5" s="640">
        <v>70141</v>
      </c>
      <c r="X5" s="640">
        <v>70249</v>
      </c>
      <c r="AA5" s="377">
        <f t="shared" si="0"/>
        <v>6.0179666666666662</v>
      </c>
      <c r="AB5" s="377">
        <f t="shared" si="1"/>
        <v>6.1981000000000002</v>
      </c>
      <c r="AC5" s="377">
        <f t="shared" si="2"/>
        <v>6.1825666666666663</v>
      </c>
      <c r="AD5" s="377">
        <f t="shared" si="3"/>
        <v>6.2410666666666668</v>
      </c>
      <c r="AE5" s="377">
        <f t="shared" si="4"/>
        <v>6.8218333333333332</v>
      </c>
      <c r="AF5" s="377">
        <f t="shared" ref="AF5:AF16" si="5">AVERAGE(T5:V5)/10000</f>
        <v>6.7431333333333328</v>
      </c>
    </row>
    <row r="6" spans="1:32">
      <c r="A6" s="375" t="s">
        <v>742</v>
      </c>
      <c r="B6" s="375" t="s">
        <v>745</v>
      </c>
      <c r="C6" s="376">
        <v>49062</v>
      </c>
      <c r="D6" s="376">
        <v>50184</v>
      </c>
      <c r="E6" s="376">
        <v>54561</v>
      </c>
      <c r="F6" s="376">
        <v>56817</v>
      </c>
      <c r="G6" s="376">
        <v>53703</v>
      </c>
      <c r="H6" s="376">
        <v>54470</v>
      </c>
      <c r="I6" s="640">
        <v>55025</v>
      </c>
      <c r="J6" s="640">
        <v>57112</v>
      </c>
      <c r="K6" s="640">
        <v>58544</v>
      </c>
      <c r="L6" s="640">
        <v>58919</v>
      </c>
      <c r="M6" s="640">
        <v>58842</v>
      </c>
      <c r="N6" s="640">
        <v>59700</v>
      </c>
      <c r="O6" s="640">
        <v>60371</v>
      </c>
      <c r="P6" s="640">
        <v>60371</v>
      </c>
      <c r="Q6" s="640">
        <v>63519</v>
      </c>
      <c r="R6" s="640">
        <v>60095</v>
      </c>
      <c r="S6" s="640">
        <v>56271</v>
      </c>
      <c r="T6" s="640">
        <v>55883</v>
      </c>
      <c r="U6" s="640">
        <v>54414</v>
      </c>
      <c r="V6" s="640">
        <v>53179</v>
      </c>
      <c r="W6" s="640">
        <v>54360</v>
      </c>
      <c r="X6" s="640">
        <v>54612</v>
      </c>
      <c r="AA6" s="377">
        <f t="shared" si="0"/>
        <v>5.5026999999999999</v>
      </c>
      <c r="AB6" s="377">
        <f t="shared" si="1"/>
        <v>5.5535666666666668</v>
      </c>
      <c r="AC6" s="377">
        <f t="shared" si="2"/>
        <v>5.8768333333333338</v>
      </c>
      <c r="AD6" s="377">
        <f t="shared" si="3"/>
        <v>6.0147333333333339</v>
      </c>
      <c r="AE6" s="377">
        <f t="shared" si="4"/>
        <v>5.9961666666666664</v>
      </c>
      <c r="AF6" s="377">
        <f t="shared" si="5"/>
        <v>5.4492000000000003</v>
      </c>
    </row>
    <row r="7" spans="1:32">
      <c r="A7" s="375" t="s">
        <v>742</v>
      </c>
      <c r="B7" s="375" t="s">
        <v>746</v>
      </c>
      <c r="C7" s="376">
        <v>25623</v>
      </c>
      <c r="D7" s="376">
        <v>25756</v>
      </c>
      <c r="E7" s="376">
        <v>25166</v>
      </c>
      <c r="F7" s="376">
        <v>24285</v>
      </c>
      <c r="G7" s="376">
        <v>24057</v>
      </c>
      <c r="H7" s="376">
        <v>23820</v>
      </c>
      <c r="I7" s="640">
        <v>24968</v>
      </c>
      <c r="J7" s="640">
        <v>25119</v>
      </c>
      <c r="K7" s="640">
        <v>25388</v>
      </c>
      <c r="L7" s="640">
        <v>25283</v>
      </c>
      <c r="M7" s="640">
        <v>25888</v>
      </c>
      <c r="N7" s="640">
        <v>25902</v>
      </c>
      <c r="O7" s="640">
        <v>25713</v>
      </c>
      <c r="P7" s="640">
        <v>26540</v>
      </c>
      <c r="Q7" s="640">
        <v>26477</v>
      </c>
      <c r="R7" s="640">
        <v>26990</v>
      </c>
      <c r="S7" s="640">
        <v>27082</v>
      </c>
      <c r="T7" s="640">
        <v>26955</v>
      </c>
      <c r="U7" s="640">
        <v>27122</v>
      </c>
      <c r="V7" s="640">
        <v>26402</v>
      </c>
      <c r="W7" s="640">
        <v>26218</v>
      </c>
      <c r="X7" s="640">
        <v>25900</v>
      </c>
      <c r="AA7" s="377">
        <f t="shared" si="0"/>
        <v>2.4502666666666668</v>
      </c>
      <c r="AB7" s="377">
        <f t="shared" si="1"/>
        <v>2.4635666666666669</v>
      </c>
      <c r="AC7" s="377">
        <f t="shared" si="2"/>
        <v>2.5519666666666669</v>
      </c>
      <c r="AD7" s="377">
        <f t="shared" si="3"/>
        <v>2.6051666666666669</v>
      </c>
      <c r="AE7" s="377">
        <f t="shared" si="4"/>
        <v>2.6849666666666669</v>
      </c>
      <c r="AF7" s="377">
        <f t="shared" si="5"/>
        <v>2.6826333333333334</v>
      </c>
    </row>
    <row r="8" spans="1:32">
      <c r="A8" s="375" t="s">
        <v>744</v>
      </c>
      <c r="B8" s="375" t="s">
        <v>747</v>
      </c>
      <c r="C8" s="376">
        <v>9140</v>
      </c>
      <c r="D8" s="376">
        <v>9050</v>
      </c>
      <c r="E8" s="376">
        <v>8718</v>
      </c>
      <c r="F8" s="376">
        <v>8447</v>
      </c>
      <c r="G8" s="376">
        <v>8598</v>
      </c>
      <c r="H8" s="376">
        <v>8572</v>
      </c>
      <c r="I8" s="640">
        <v>8816</v>
      </c>
      <c r="J8" s="640">
        <v>8972</v>
      </c>
      <c r="K8" s="640">
        <v>8965</v>
      </c>
      <c r="L8" s="640">
        <v>8693</v>
      </c>
      <c r="M8" s="640">
        <v>8246</v>
      </c>
      <c r="N8" s="640">
        <v>7955</v>
      </c>
      <c r="O8" s="640">
        <v>7697</v>
      </c>
      <c r="P8" s="640">
        <v>7186</v>
      </c>
      <c r="Q8" s="640">
        <v>6850</v>
      </c>
      <c r="R8" s="640">
        <v>6926</v>
      </c>
      <c r="S8" s="640">
        <v>6753</v>
      </c>
      <c r="T8" s="640">
        <v>6461</v>
      </c>
      <c r="U8" s="640">
        <v>6281</v>
      </c>
      <c r="V8" s="640">
        <v>6233</v>
      </c>
      <c r="W8" s="640">
        <v>5138</v>
      </c>
      <c r="X8" s="640">
        <v>4416</v>
      </c>
      <c r="AA8" s="377">
        <f t="shared" si="0"/>
        <v>0.85876666666666657</v>
      </c>
      <c r="AB8" s="377">
        <f t="shared" si="1"/>
        <v>0.8786666666666666</v>
      </c>
      <c r="AC8" s="377">
        <f t="shared" si="2"/>
        <v>0.8634666666666666</v>
      </c>
      <c r="AD8" s="377">
        <f t="shared" si="3"/>
        <v>0.76126666666666665</v>
      </c>
      <c r="AE8" s="377">
        <f t="shared" si="4"/>
        <v>0.68430000000000002</v>
      </c>
      <c r="AF8" s="377">
        <f t="shared" si="5"/>
        <v>0.63249999999999995</v>
      </c>
    </row>
    <row r="9" spans="1:32">
      <c r="A9" s="375" t="s">
        <v>748</v>
      </c>
      <c r="B9" s="375" t="s">
        <v>749</v>
      </c>
      <c r="C9" s="376">
        <v>36026</v>
      </c>
      <c r="D9" s="376">
        <v>36447</v>
      </c>
      <c r="E9" s="376">
        <v>36676</v>
      </c>
      <c r="F9" s="376">
        <v>37604</v>
      </c>
      <c r="G9" s="376">
        <v>38111</v>
      </c>
      <c r="H9" s="376">
        <v>39529</v>
      </c>
      <c r="I9" s="640">
        <v>40513</v>
      </c>
      <c r="J9" s="640">
        <v>42610</v>
      </c>
      <c r="K9" s="640">
        <v>41487</v>
      </c>
      <c r="L9" s="640">
        <v>41090</v>
      </c>
      <c r="M9" s="640">
        <v>40562</v>
      </c>
      <c r="N9" s="640">
        <v>39410</v>
      </c>
      <c r="O9" s="640">
        <v>40018</v>
      </c>
      <c r="P9" s="640">
        <v>40690</v>
      </c>
      <c r="Q9" s="640">
        <v>41402</v>
      </c>
      <c r="R9" s="640">
        <v>41806</v>
      </c>
      <c r="S9" s="640">
        <v>42199</v>
      </c>
      <c r="T9" s="640">
        <v>43148</v>
      </c>
      <c r="U9" s="640">
        <v>43574</v>
      </c>
      <c r="V9" s="640">
        <v>44163</v>
      </c>
      <c r="W9" s="640">
        <v>43812</v>
      </c>
      <c r="X9" s="640">
        <v>43237</v>
      </c>
      <c r="AA9" s="377">
        <f t="shared" si="0"/>
        <v>3.7463666666666664</v>
      </c>
      <c r="AB9" s="377">
        <f t="shared" si="1"/>
        <v>4.0884</v>
      </c>
      <c r="AC9" s="377">
        <f t="shared" si="2"/>
        <v>4.1046333333333331</v>
      </c>
      <c r="AD9" s="377">
        <f t="shared" si="3"/>
        <v>4.0039333333333333</v>
      </c>
      <c r="AE9" s="377">
        <f t="shared" si="4"/>
        <v>4.1802333333333337</v>
      </c>
      <c r="AF9" s="377">
        <f t="shared" si="5"/>
        <v>4.3628333333333336</v>
      </c>
    </row>
    <row r="10" spans="1:32">
      <c r="A10" s="375" t="s">
        <v>750</v>
      </c>
      <c r="B10" s="375" t="s">
        <v>751</v>
      </c>
      <c r="C10" s="376"/>
      <c r="D10" s="376"/>
      <c r="E10" s="376"/>
      <c r="F10" s="376"/>
      <c r="G10" s="376"/>
      <c r="H10" s="376">
        <v>22</v>
      </c>
      <c r="I10" s="640">
        <v>21</v>
      </c>
      <c r="J10" s="640">
        <v>20</v>
      </c>
      <c r="K10" s="640">
        <v>24</v>
      </c>
      <c r="L10" s="640">
        <v>325</v>
      </c>
      <c r="M10" s="640">
        <v>181</v>
      </c>
      <c r="N10" s="640">
        <v>337</v>
      </c>
      <c r="O10" s="640">
        <v>526</v>
      </c>
      <c r="P10" s="640">
        <v>674</v>
      </c>
      <c r="Q10" s="640">
        <v>783</v>
      </c>
      <c r="R10" s="640">
        <v>846</v>
      </c>
      <c r="S10" s="640">
        <v>714</v>
      </c>
      <c r="T10" s="640">
        <v>907</v>
      </c>
      <c r="U10" s="640">
        <v>871</v>
      </c>
      <c r="V10" s="640">
        <v>891</v>
      </c>
      <c r="W10" s="640">
        <v>1130</v>
      </c>
      <c r="X10" s="640">
        <v>3339</v>
      </c>
      <c r="AA10" s="377"/>
      <c r="AB10" s="377">
        <f t="shared" si="1"/>
        <v>2.0999999999999999E-3</v>
      </c>
      <c r="AC10" s="377">
        <f t="shared" si="2"/>
        <v>1.7666666666666667E-2</v>
      </c>
      <c r="AD10" s="377">
        <f t="shared" si="3"/>
        <v>5.1233333333333339E-2</v>
      </c>
      <c r="AE10" s="377">
        <f t="shared" si="4"/>
        <v>7.8100000000000003E-2</v>
      </c>
      <c r="AF10" s="377">
        <f t="shared" si="5"/>
        <v>8.8966666666666666E-2</v>
      </c>
    </row>
    <row r="11" spans="1:32">
      <c r="C11" s="376"/>
      <c r="D11" s="376"/>
      <c r="E11" s="376"/>
      <c r="F11" s="376"/>
      <c r="G11" s="376"/>
      <c r="H11" s="376"/>
      <c r="I11" s="640"/>
      <c r="J11" s="640"/>
      <c r="K11" s="640"/>
      <c r="L11" s="640"/>
      <c r="M11" s="640"/>
      <c r="N11" s="640"/>
      <c r="O11" s="640"/>
      <c r="P11" s="640"/>
      <c r="Q11" s="640"/>
      <c r="R11" s="640"/>
      <c r="S11" s="640"/>
      <c r="T11" s="640"/>
      <c r="U11" s="640"/>
      <c r="V11" s="640"/>
      <c r="W11" s="640"/>
      <c r="X11" s="640"/>
      <c r="AA11" s="377"/>
      <c r="AB11" s="377"/>
      <c r="AC11" s="377"/>
      <c r="AD11" s="377"/>
      <c r="AE11" s="377"/>
      <c r="AF11" s="377"/>
    </row>
    <row r="12" spans="1:32">
      <c r="A12" s="375" t="s">
        <v>752</v>
      </c>
      <c r="B12" s="375" t="s">
        <v>753</v>
      </c>
      <c r="C12" s="376">
        <v>54169</v>
      </c>
      <c r="D12" s="376">
        <v>55645</v>
      </c>
      <c r="E12" s="376">
        <v>60625</v>
      </c>
      <c r="F12" s="376">
        <v>60959</v>
      </c>
      <c r="G12" s="376">
        <v>54148</v>
      </c>
      <c r="H12" s="376">
        <v>54864</v>
      </c>
      <c r="I12" s="640">
        <v>58118</v>
      </c>
      <c r="J12" s="640">
        <v>59943</v>
      </c>
      <c r="K12" s="640">
        <v>61556</v>
      </c>
      <c r="L12" s="640">
        <v>61856</v>
      </c>
      <c r="M12" s="640">
        <v>60120</v>
      </c>
      <c r="N12" s="640">
        <v>60181</v>
      </c>
      <c r="O12" s="640">
        <v>58406</v>
      </c>
      <c r="P12" s="640">
        <v>58161</v>
      </c>
      <c r="Q12" s="640">
        <v>60258</v>
      </c>
      <c r="R12" s="640">
        <v>64355</v>
      </c>
      <c r="S12" s="640">
        <v>57449</v>
      </c>
      <c r="T12" s="640">
        <v>55807</v>
      </c>
      <c r="U12" s="640">
        <v>54640</v>
      </c>
      <c r="V12" s="640">
        <v>54070</v>
      </c>
      <c r="W12" s="640">
        <v>57835</v>
      </c>
      <c r="X12" s="640">
        <v>59728</v>
      </c>
      <c r="AA12" s="377">
        <f t="shared" ref="AA12:AA15" si="6">AVERAGE(E12:G12)/10000</f>
        <v>5.8577333333333339</v>
      </c>
      <c r="AB12" s="377">
        <f t="shared" ref="AB12:AB16" si="7">AVERAGE(H12:J12)/10000</f>
        <v>5.7641666666666662</v>
      </c>
      <c r="AC12" s="377">
        <f t="shared" ref="AC12:AC16" si="8">AVERAGE(K12:M12)/10000</f>
        <v>6.1177333333333337</v>
      </c>
      <c r="AD12" s="377">
        <f t="shared" ref="AD12:AD16" si="9">AVERAGE(N12:P12)/10000</f>
        <v>5.8916000000000004</v>
      </c>
      <c r="AE12" s="377">
        <f t="shared" si="4"/>
        <v>6.0687333333333333</v>
      </c>
      <c r="AF12" s="377">
        <f t="shared" si="5"/>
        <v>5.4839000000000002</v>
      </c>
    </row>
    <row r="13" spans="1:32">
      <c r="A13" s="375" t="s">
        <v>754</v>
      </c>
      <c r="B13" s="375" t="s">
        <v>755</v>
      </c>
      <c r="C13" s="376">
        <v>30636</v>
      </c>
      <c r="D13" s="376">
        <v>30360</v>
      </c>
      <c r="E13" s="376">
        <v>31636</v>
      </c>
      <c r="F13" s="376">
        <v>36333</v>
      </c>
      <c r="G13" s="376">
        <v>35323</v>
      </c>
      <c r="H13" s="376">
        <v>34382</v>
      </c>
      <c r="I13" s="640">
        <v>36922</v>
      </c>
      <c r="J13" s="640">
        <v>40439</v>
      </c>
      <c r="K13" s="640">
        <v>40574</v>
      </c>
      <c r="L13" s="640">
        <v>43968</v>
      </c>
      <c r="M13" s="640">
        <v>46164</v>
      </c>
      <c r="N13" s="640">
        <v>45441</v>
      </c>
      <c r="O13" s="640">
        <v>44973</v>
      </c>
      <c r="P13" s="640">
        <v>50919</v>
      </c>
      <c r="Q13" s="640">
        <v>52092</v>
      </c>
      <c r="R13" s="640">
        <v>44474</v>
      </c>
      <c r="S13" s="640">
        <v>39519</v>
      </c>
      <c r="T13" s="640">
        <v>39095</v>
      </c>
      <c r="U13" s="640">
        <v>38740</v>
      </c>
      <c r="V13" s="640">
        <v>37277</v>
      </c>
      <c r="W13" s="640">
        <v>39115</v>
      </c>
      <c r="X13" s="640">
        <v>40464</v>
      </c>
      <c r="AA13" s="377">
        <f t="shared" si="6"/>
        <v>3.4430666666666663</v>
      </c>
      <c r="AB13" s="377">
        <f t="shared" si="7"/>
        <v>3.7247666666666666</v>
      </c>
      <c r="AC13" s="377">
        <f t="shared" si="8"/>
        <v>4.356866666666666</v>
      </c>
      <c r="AD13" s="377">
        <f t="shared" si="9"/>
        <v>4.7111000000000001</v>
      </c>
      <c r="AE13" s="377">
        <f t="shared" si="4"/>
        <v>4.5361666666666665</v>
      </c>
      <c r="AF13" s="377">
        <f t="shared" si="5"/>
        <v>3.8370666666666664</v>
      </c>
    </row>
    <row r="14" spans="1:32">
      <c r="C14" s="376"/>
      <c r="D14" s="376"/>
      <c r="E14" s="376"/>
      <c r="F14" s="376"/>
      <c r="G14" s="376"/>
      <c r="H14" s="376"/>
      <c r="I14" s="640"/>
      <c r="J14" s="640"/>
      <c r="K14" s="640"/>
      <c r="L14" s="640"/>
      <c r="M14" s="640"/>
      <c r="N14" s="640"/>
      <c r="O14" s="640"/>
      <c r="P14" s="640"/>
      <c r="Q14" s="640"/>
      <c r="R14" s="640"/>
      <c r="S14" s="640"/>
      <c r="T14" s="640"/>
      <c r="U14" s="640"/>
      <c r="V14" s="640"/>
      <c r="W14" s="640"/>
      <c r="X14" s="640"/>
      <c r="AA14" s="377"/>
      <c r="AB14" s="377"/>
      <c r="AC14" s="377"/>
      <c r="AD14" s="377"/>
      <c r="AE14" s="377"/>
      <c r="AF14" s="377"/>
    </row>
    <row r="15" spans="1:32">
      <c r="A15" s="375" t="s">
        <v>756</v>
      </c>
      <c r="B15" s="375" t="s">
        <v>757</v>
      </c>
      <c r="C15" s="376">
        <v>7940</v>
      </c>
      <c r="D15" s="376">
        <v>8457</v>
      </c>
      <c r="E15" s="376">
        <v>8713</v>
      </c>
      <c r="F15" s="376">
        <v>9271</v>
      </c>
      <c r="G15" s="376">
        <v>9892</v>
      </c>
      <c r="H15" s="376">
        <v>9977</v>
      </c>
      <c r="I15" s="640">
        <v>10091</v>
      </c>
      <c r="J15" s="640">
        <v>10537</v>
      </c>
      <c r="K15" s="640">
        <v>10530</v>
      </c>
      <c r="L15" s="640">
        <v>10621</v>
      </c>
      <c r="M15" s="640">
        <v>10858</v>
      </c>
      <c r="N15" s="640">
        <v>11758</v>
      </c>
      <c r="O15" s="640">
        <v>12433</v>
      </c>
      <c r="P15" s="640">
        <v>13139</v>
      </c>
      <c r="Q15" s="640">
        <v>13105</v>
      </c>
      <c r="R15" s="640">
        <v>13373</v>
      </c>
      <c r="S15" s="640">
        <v>13746</v>
      </c>
      <c r="T15" s="640">
        <v>13904</v>
      </c>
      <c r="U15" s="640">
        <v>14084</v>
      </c>
      <c r="V15" s="640">
        <v>14186</v>
      </c>
      <c r="W15" s="640">
        <v>14009</v>
      </c>
      <c r="X15" s="640">
        <v>14732</v>
      </c>
      <c r="AA15" s="377">
        <f t="shared" si="6"/>
        <v>0.92920000000000003</v>
      </c>
      <c r="AB15" s="377">
        <f t="shared" si="7"/>
        <v>1.0201666666666667</v>
      </c>
      <c r="AC15" s="377">
        <f t="shared" si="8"/>
        <v>1.0669666666666666</v>
      </c>
      <c r="AD15" s="377">
        <f t="shared" si="9"/>
        <v>1.2443333333333333</v>
      </c>
      <c r="AE15" s="377">
        <f t="shared" si="4"/>
        <v>1.3408</v>
      </c>
      <c r="AF15" s="377">
        <f t="shared" si="5"/>
        <v>1.4057999999999999</v>
      </c>
    </row>
    <row r="16" spans="1:32">
      <c r="A16" s="375" t="s">
        <v>758</v>
      </c>
      <c r="B16" s="375" t="s">
        <v>759</v>
      </c>
      <c r="C16" s="376"/>
      <c r="D16" s="376"/>
      <c r="E16" s="376"/>
      <c r="F16" s="376"/>
      <c r="G16" s="376"/>
      <c r="H16" s="376">
        <v>9505</v>
      </c>
      <c r="I16" s="640">
        <v>9641</v>
      </c>
      <c r="J16" s="640">
        <v>10443</v>
      </c>
      <c r="K16" s="640">
        <v>10504</v>
      </c>
      <c r="L16" s="640">
        <v>9802</v>
      </c>
      <c r="M16" s="640">
        <v>9846</v>
      </c>
      <c r="N16" s="640">
        <v>9519</v>
      </c>
      <c r="O16" s="640">
        <v>9480</v>
      </c>
      <c r="P16" s="640">
        <v>9575</v>
      </c>
      <c r="Q16" s="640">
        <v>9508</v>
      </c>
      <c r="R16" s="640">
        <v>9734</v>
      </c>
      <c r="S16" s="640">
        <v>9843</v>
      </c>
      <c r="T16" s="640">
        <v>10216</v>
      </c>
      <c r="U16" s="640">
        <v>10314</v>
      </c>
      <c r="V16" s="640">
        <v>10453</v>
      </c>
      <c r="W16" s="640">
        <v>10313</v>
      </c>
      <c r="X16" s="640">
        <v>10440</v>
      </c>
      <c r="AA16" s="377"/>
      <c r="AB16" s="377">
        <f t="shared" si="7"/>
        <v>0.98629999999999995</v>
      </c>
      <c r="AC16" s="377">
        <f t="shared" si="8"/>
        <v>1.0050666666666666</v>
      </c>
      <c r="AD16" s="377">
        <f t="shared" si="9"/>
        <v>0.95246666666666657</v>
      </c>
      <c r="AE16" s="377">
        <f t="shared" si="4"/>
        <v>0.96950000000000003</v>
      </c>
      <c r="AF16" s="377">
        <f t="shared" si="5"/>
        <v>1.0327666666666666</v>
      </c>
    </row>
    <row r="17" spans="1:32">
      <c r="C17" s="376"/>
      <c r="D17" s="376"/>
      <c r="E17" s="376"/>
      <c r="F17" s="376"/>
      <c r="G17" s="376"/>
      <c r="H17" s="376"/>
      <c r="I17" s="376"/>
      <c r="J17" s="376"/>
      <c r="K17" s="376"/>
      <c r="L17" s="376"/>
      <c r="M17" s="376"/>
      <c r="N17" s="376"/>
      <c r="O17" s="376"/>
      <c r="P17" s="376"/>
      <c r="AF17" s="377"/>
    </row>
    <row r="18" spans="1:32">
      <c r="C18" s="375" t="s">
        <v>738</v>
      </c>
      <c r="D18" s="375" t="s">
        <v>739</v>
      </c>
      <c r="E18" s="375" t="s">
        <v>650</v>
      </c>
      <c r="F18" s="375" t="s">
        <v>288</v>
      </c>
      <c r="G18" s="375" t="s">
        <v>289</v>
      </c>
    </row>
    <row r="19" spans="1:32">
      <c r="B19" s="380" t="s">
        <v>760</v>
      </c>
      <c r="C19" s="375">
        <v>26.341999999999999</v>
      </c>
      <c r="D19" s="375">
        <v>21.428000000000001</v>
      </c>
      <c r="E19" s="375">
        <v>21.106999999999999</v>
      </c>
      <c r="F19" s="375">
        <v>26.175000000000001</v>
      </c>
      <c r="G19" s="375">
        <f>71.244-F19-E19</f>
        <v>23.962000000000003</v>
      </c>
    </row>
    <row r="20" spans="1:32">
      <c r="B20" s="375" t="s">
        <v>761</v>
      </c>
      <c r="C20" s="381">
        <v>5.8577333333333339</v>
      </c>
      <c r="D20" s="381">
        <v>5.7641666666666662</v>
      </c>
      <c r="E20" s="381">
        <v>6.1177333333333337</v>
      </c>
      <c r="F20" s="381">
        <v>5.8916000000000004</v>
      </c>
      <c r="G20" s="381">
        <v>6.0687333333333333</v>
      </c>
    </row>
    <row r="21" spans="1:32">
      <c r="B21" s="375" t="s">
        <v>762</v>
      </c>
      <c r="C21" s="382">
        <f>C19/C20</f>
        <v>4.4969612819520624</v>
      </c>
      <c r="D21" s="382">
        <f t="shared" ref="D21:G21" si="10">D19/D20</f>
        <v>3.7174497614572797</v>
      </c>
      <c r="E21" s="382">
        <f t="shared" si="10"/>
        <v>3.4501340365712787</v>
      </c>
      <c r="F21" s="382">
        <f t="shared" si="10"/>
        <v>4.442765971892185</v>
      </c>
      <c r="G21" s="382">
        <f t="shared" si="10"/>
        <v>3.9484351484659079</v>
      </c>
      <c r="H21" s="382"/>
    </row>
    <row r="23" spans="1:32">
      <c r="B23" s="375" t="s">
        <v>763</v>
      </c>
      <c r="C23" s="377">
        <f>C21*AA6</f>
        <v>24.745428846197612</v>
      </c>
      <c r="D23" s="377">
        <f>D21*AB6</f>
        <v>20.645105080237101</v>
      </c>
      <c r="E23" s="377">
        <f>E21*AC6</f>
        <v>20.275862710589976</v>
      </c>
      <c r="F23" s="377">
        <f>F21*AD6</f>
        <v>26.722052583338989</v>
      </c>
      <c r="G23" s="377">
        <f>G21*AE6</f>
        <v>23.675475222726327</v>
      </c>
    </row>
    <row r="24" spans="1:32">
      <c r="D24" s="382"/>
      <c r="E24" s="382"/>
      <c r="F24" s="382"/>
    </row>
    <row r="25" spans="1:32">
      <c r="B25" s="375" t="s">
        <v>764</v>
      </c>
      <c r="D25" s="382">
        <v>7.3659999999999997</v>
      </c>
      <c r="E25" s="382">
        <v>4.62</v>
      </c>
      <c r="F25" s="382">
        <v>6.34</v>
      </c>
      <c r="G25" s="382">
        <v>6.44</v>
      </c>
    </row>
    <row r="26" spans="1:32">
      <c r="B26" s="375" t="s">
        <v>761</v>
      </c>
      <c r="D26" s="381">
        <v>0.98629999999999995</v>
      </c>
      <c r="E26" s="381">
        <v>1.0050666666666666</v>
      </c>
      <c r="F26" s="381">
        <v>0.95246666666666657</v>
      </c>
      <c r="G26" s="375">
        <v>0.97</v>
      </c>
    </row>
    <row r="27" spans="1:32">
      <c r="B27" s="375" t="s">
        <v>762</v>
      </c>
      <c r="D27" s="382">
        <f>D25/D26</f>
        <v>7.4683159282165672</v>
      </c>
      <c r="E27" s="382">
        <f t="shared" ref="E27:G27" si="11">E25/E26</f>
        <v>4.5967100026532242</v>
      </c>
      <c r="F27" s="382">
        <f t="shared" si="11"/>
        <v>6.6564009239168476</v>
      </c>
      <c r="G27" s="382">
        <f t="shared" si="11"/>
        <v>6.6391752577319592</v>
      </c>
    </row>
    <row r="28" spans="1:32">
      <c r="B28" s="375" t="s">
        <v>487</v>
      </c>
      <c r="D28" s="368">
        <v>0.71</v>
      </c>
      <c r="E28" s="368">
        <v>0.59</v>
      </c>
      <c r="F28" s="368">
        <v>0.67</v>
      </c>
      <c r="G28" s="444">
        <v>0.63600000000000001</v>
      </c>
    </row>
    <row r="30" spans="1:32">
      <c r="B30" s="375" t="s">
        <v>765</v>
      </c>
      <c r="D30" s="377">
        <f>D27*AA7</f>
        <v>18.299365575044781</v>
      </c>
      <c r="E30" s="377">
        <f>E27*AB7</f>
        <v>11.324301538869729</v>
      </c>
      <c r="F30" s="377">
        <f>F27*AC7</f>
        <v>16.986913277804998</v>
      </c>
      <c r="G30" s="377">
        <f>G27*AD7</f>
        <v>17.296158075601376</v>
      </c>
    </row>
    <row r="32" spans="1:32">
      <c r="A32" s="375" t="s">
        <v>766</v>
      </c>
      <c r="G32" s="383"/>
      <c r="J32" s="383"/>
      <c r="M32" s="383"/>
      <c r="P32" s="383"/>
      <c r="Z32" s="380" t="s">
        <v>767</v>
      </c>
    </row>
    <row r="33" spans="1:30">
      <c r="A33" s="375" t="s">
        <v>742</v>
      </c>
      <c r="B33" s="375" t="s">
        <v>743</v>
      </c>
      <c r="C33" s="376">
        <v>1994542</v>
      </c>
      <c r="D33" s="376">
        <v>1979405</v>
      </c>
      <c r="E33" s="376">
        <v>2001190</v>
      </c>
      <c r="F33" s="376">
        <v>2013007</v>
      </c>
      <c r="G33" s="376">
        <v>1999336</v>
      </c>
      <c r="H33" s="376">
        <v>2044102</v>
      </c>
      <c r="I33" s="640">
        <v>1971337</v>
      </c>
      <c r="J33" s="640">
        <v>2095952</v>
      </c>
      <c r="K33" s="640">
        <v>2165296</v>
      </c>
      <c r="L33" s="640">
        <v>1942932</v>
      </c>
      <c r="M33" s="640">
        <v>2224339</v>
      </c>
      <c r="N33" s="640">
        <v>2203508</v>
      </c>
      <c r="O33" s="640">
        <v>2352076</v>
      </c>
      <c r="P33" s="640">
        <v>2342371</v>
      </c>
      <c r="AA33" s="377">
        <f t="shared" ref="AA33:AA38" si="12">SUM(E33:G33)/10000</f>
        <v>601.35329999999999</v>
      </c>
      <c r="AB33" s="377">
        <f t="shared" ref="AB33:AB38" si="13">SUM(H33:J33)/10000</f>
        <v>611.13909999999998</v>
      </c>
      <c r="AC33" s="377">
        <f t="shared" ref="AC33:AC38" si="14">SUM(K33:M33)/10000</f>
        <v>633.25670000000002</v>
      </c>
      <c r="AD33" s="377">
        <f t="shared" ref="AD33:AD38" si="15">SUM(N33:P33)/10000</f>
        <v>689.79549999999995</v>
      </c>
    </row>
    <row r="34" spans="1:30">
      <c r="A34" s="375" t="s">
        <v>742</v>
      </c>
      <c r="B34" s="375" t="s">
        <v>307</v>
      </c>
      <c r="C34" s="376">
        <v>477067</v>
      </c>
      <c r="D34" s="376">
        <v>467886</v>
      </c>
      <c r="E34" s="376">
        <v>487337</v>
      </c>
      <c r="F34" s="376">
        <v>516671</v>
      </c>
      <c r="G34" s="376">
        <v>496067</v>
      </c>
      <c r="H34" s="376">
        <v>493828</v>
      </c>
      <c r="I34" s="640">
        <v>473910</v>
      </c>
      <c r="J34" s="640">
        <v>498732</v>
      </c>
      <c r="K34" s="640">
        <v>484448</v>
      </c>
      <c r="L34" s="640">
        <v>455565</v>
      </c>
      <c r="M34" s="640">
        <v>472082</v>
      </c>
      <c r="N34" s="640">
        <v>468075</v>
      </c>
      <c r="O34" s="640">
        <v>502832</v>
      </c>
      <c r="P34" s="640">
        <v>520885</v>
      </c>
      <c r="AA34" s="377">
        <f t="shared" si="12"/>
        <v>150.00749999999999</v>
      </c>
      <c r="AB34" s="377">
        <f t="shared" si="13"/>
        <v>146.64699999999999</v>
      </c>
      <c r="AC34" s="377">
        <f t="shared" si="14"/>
        <v>141.20949999999999</v>
      </c>
      <c r="AD34" s="377">
        <f t="shared" si="15"/>
        <v>149.17920000000001</v>
      </c>
    </row>
    <row r="35" spans="1:30">
      <c r="A35" s="384" t="s">
        <v>742</v>
      </c>
      <c r="B35" s="385" t="s">
        <v>768</v>
      </c>
      <c r="C35" s="386">
        <v>445130</v>
      </c>
      <c r="D35" s="386">
        <v>441494</v>
      </c>
      <c r="E35" s="386">
        <v>548140</v>
      </c>
      <c r="F35" s="386">
        <v>575349</v>
      </c>
      <c r="G35" s="386">
        <v>510583</v>
      </c>
      <c r="H35" s="386">
        <v>552635</v>
      </c>
      <c r="I35" s="640">
        <v>542470</v>
      </c>
      <c r="J35" s="640">
        <v>583581</v>
      </c>
      <c r="K35" s="640">
        <v>610257</v>
      </c>
      <c r="L35" s="640">
        <v>532248</v>
      </c>
      <c r="M35" s="640">
        <v>597635</v>
      </c>
      <c r="N35" s="640">
        <v>599516</v>
      </c>
      <c r="O35" s="640">
        <v>631356</v>
      </c>
      <c r="P35" s="640">
        <v>617184</v>
      </c>
      <c r="AA35" s="377">
        <f t="shared" si="12"/>
        <v>163.40719999999999</v>
      </c>
      <c r="AB35" s="377">
        <f t="shared" si="13"/>
        <v>167.86859999999999</v>
      </c>
      <c r="AC35" s="377">
        <f t="shared" si="14"/>
        <v>174.01400000000001</v>
      </c>
      <c r="AD35" s="377">
        <f t="shared" si="15"/>
        <v>184.8056</v>
      </c>
    </row>
    <row r="36" spans="1:30">
      <c r="A36" s="384" t="s">
        <v>742</v>
      </c>
      <c r="B36" s="385" t="s">
        <v>746</v>
      </c>
      <c r="C36" s="386">
        <v>109772</v>
      </c>
      <c r="D36" s="386">
        <v>113199</v>
      </c>
      <c r="E36" s="386">
        <v>112444</v>
      </c>
      <c r="F36" s="386">
        <v>108376</v>
      </c>
      <c r="G36" s="386">
        <v>103959</v>
      </c>
      <c r="H36" s="386">
        <v>106556</v>
      </c>
      <c r="I36" s="640">
        <v>109746</v>
      </c>
      <c r="J36" s="640">
        <v>112053</v>
      </c>
      <c r="K36" s="640">
        <v>111902</v>
      </c>
      <c r="L36" s="640">
        <v>97217</v>
      </c>
      <c r="M36" s="640">
        <v>115484</v>
      </c>
      <c r="N36" s="640">
        <v>121058</v>
      </c>
      <c r="O36" s="640">
        <v>139736</v>
      </c>
      <c r="P36" s="640">
        <v>140927</v>
      </c>
      <c r="AA36" s="377">
        <f t="shared" si="12"/>
        <v>32.477899999999998</v>
      </c>
      <c r="AB36" s="377">
        <f t="shared" si="13"/>
        <v>32.835500000000003</v>
      </c>
      <c r="AC36" s="377">
        <f t="shared" si="14"/>
        <v>32.460299999999997</v>
      </c>
      <c r="AD36" s="377">
        <f t="shared" si="15"/>
        <v>40.1721</v>
      </c>
    </row>
    <row r="37" spans="1:30">
      <c r="A37" s="375" t="s">
        <v>742</v>
      </c>
      <c r="B37" s="385" t="s">
        <v>747</v>
      </c>
      <c r="C37" s="386">
        <v>21799</v>
      </c>
      <c r="D37" s="386">
        <v>22397</v>
      </c>
      <c r="E37" s="386">
        <v>21521</v>
      </c>
      <c r="F37" s="386">
        <v>21530</v>
      </c>
      <c r="G37" s="386">
        <v>21093</v>
      </c>
      <c r="H37" s="386">
        <v>21417</v>
      </c>
      <c r="I37" s="640">
        <v>20637</v>
      </c>
      <c r="J37" s="640">
        <v>21277</v>
      </c>
      <c r="K37" s="640">
        <v>21284</v>
      </c>
      <c r="L37" s="640">
        <v>16830</v>
      </c>
      <c r="M37" s="640">
        <v>19670</v>
      </c>
      <c r="N37" s="640">
        <v>20967</v>
      </c>
      <c r="O37" s="640">
        <v>23970</v>
      </c>
      <c r="P37" s="640">
        <v>23342</v>
      </c>
      <c r="AA37" s="377">
        <f t="shared" si="12"/>
        <v>6.4143999999999997</v>
      </c>
      <c r="AB37" s="377">
        <f t="shared" si="13"/>
        <v>6.3331</v>
      </c>
      <c r="AC37" s="377">
        <f t="shared" si="14"/>
        <v>5.7784000000000004</v>
      </c>
      <c r="AD37" s="377">
        <f t="shared" si="15"/>
        <v>6.8278999999999996</v>
      </c>
    </row>
    <row r="38" spans="1:30">
      <c r="A38" s="384" t="s">
        <v>742</v>
      </c>
      <c r="B38" s="385" t="s">
        <v>769</v>
      </c>
      <c r="C38" s="386">
        <v>139984</v>
      </c>
      <c r="D38" s="386">
        <v>139593</v>
      </c>
      <c r="E38" s="386">
        <v>135720</v>
      </c>
      <c r="F38" s="386">
        <v>143563</v>
      </c>
      <c r="G38" s="386">
        <v>139875</v>
      </c>
      <c r="H38" s="386">
        <v>140672</v>
      </c>
      <c r="I38" s="640">
        <v>145163</v>
      </c>
      <c r="J38" s="640">
        <v>157636</v>
      </c>
      <c r="K38" s="640">
        <v>159118</v>
      </c>
      <c r="L38" s="640">
        <v>138307</v>
      </c>
      <c r="M38" s="640">
        <v>158490</v>
      </c>
      <c r="N38" s="640">
        <v>160287</v>
      </c>
      <c r="O38" s="640">
        <v>183512</v>
      </c>
      <c r="P38" s="640">
        <v>185169</v>
      </c>
      <c r="AA38" s="377">
        <f t="shared" si="12"/>
        <v>41.915799999999997</v>
      </c>
      <c r="AB38" s="377">
        <f t="shared" si="13"/>
        <v>44.347099999999998</v>
      </c>
      <c r="AC38" s="377">
        <f t="shared" si="14"/>
        <v>45.591500000000003</v>
      </c>
      <c r="AD38" s="377">
        <f t="shared" si="15"/>
        <v>52.896799999999999</v>
      </c>
    </row>
    <row r="39" spans="1:30" s="373" customFormat="1" ht="15">
      <c r="A39" s="373" t="s">
        <v>770</v>
      </c>
      <c r="B39" s="378"/>
      <c r="C39" s="379">
        <f t="shared" ref="C39:P39" si="16">SUM(C33:C38)</f>
        <v>3188294</v>
      </c>
      <c r="D39" s="379">
        <f t="shared" si="16"/>
        <v>3163974</v>
      </c>
      <c r="E39" s="379">
        <f t="shared" si="16"/>
        <v>3306352</v>
      </c>
      <c r="F39" s="379">
        <f t="shared" si="16"/>
        <v>3378496</v>
      </c>
      <c r="G39" s="379">
        <f t="shared" si="16"/>
        <v>3270913</v>
      </c>
      <c r="H39" s="379">
        <f t="shared" si="16"/>
        <v>3359210</v>
      </c>
      <c r="I39" s="641">
        <f t="shared" si="16"/>
        <v>3263263</v>
      </c>
      <c r="J39" s="641">
        <f t="shared" si="16"/>
        <v>3469231</v>
      </c>
      <c r="K39" s="641">
        <f t="shared" si="16"/>
        <v>3552305</v>
      </c>
      <c r="L39" s="641">
        <f t="shared" si="16"/>
        <v>3183099</v>
      </c>
      <c r="M39" s="641">
        <f t="shared" si="16"/>
        <v>3587700</v>
      </c>
      <c r="N39" s="641">
        <f t="shared" si="16"/>
        <v>3573411</v>
      </c>
      <c r="O39" s="641">
        <f t="shared" si="16"/>
        <v>3833482</v>
      </c>
      <c r="P39" s="641">
        <f t="shared" si="16"/>
        <v>3829878</v>
      </c>
    </row>
    <row r="40" spans="1:30">
      <c r="B40" s="385"/>
      <c r="C40" s="386"/>
      <c r="D40" s="386"/>
      <c r="F40" s="386"/>
      <c r="G40" s="386"/>
      <c r="H40" s="386"/>
      <c r="I40" s="640"/>
      <c r="J40" s="640"/>
      <c r="K40" s="640"/>
      <c r="L40" s="640"/>
      <c r="M40" s="640"/>
      <c r="N40" s="640"/>
      <c r="O40" s="640"/>
      <c r="P40" s="640"/>
    </row>
    <row r="41" spans="1:30">
      <c r="A41" s="375" t="s">
        <v>771</v>
      </c>
      <c r="B41" s="385" t="s">
        <v>772</v>
      </c>
      <c r="C41" s="386">
        <v>99714</v>
      </c>
      <c r="D41" s="386">
        <v>103772</v>
      </c>
      <c r="E41" s="386">
        <v>111577</v>
      </c>
      <c r="F41" s="386">
        <v>121439</v>
      </c>
      <c r="G41" s="386">
        <v>120304</v>
      </c>
      <c r="H41" s="386">
        <v>128260</v>
      </c>
      <c r="I41" s="640">
        <v>144968</v>
      </c>
      <c r="J41" s="640">
        <v>130915</v>
      </c>
      <c r="K41" s="640">
        <v>124898</v>
      </c>
      <c r="L41" s="640">
        <v>80423</v>
      </c>
      <c r="M41" s="640">
        <v>122331</v>
      </c>
      <c r="N41" s="640">
        <v>118087</v>
      </c>
      <c r="O41" s="640">
        <v>128530</v>
      </c>
      <c r="P41" s="640">
        <v>118094</v>
      </c>
    </row>
    <row r="42" spans="1:30">
      <c r="A42" s="384" t="s">
        <v>754</v>
      </c>
      <c r="B42" s="385" t="s">
        <v>755</v>
      </c>
      <c r="C42" s="386">
        <v>351414</v>
      </c>
      <c r="D42" s="386">
        <v>329343</v>
      </c>
      <c r="E42" s="386">
        <v>365103</v>
      </c>
      <c r="F42" s="386">
        <v>419226</v>
      </c>
      <c r="G42" s="386">
        <v>380129</v>
      </c>
      <c r="H42" s="386">
        <v>366532</v>
      </c>
      <c r="I42" s="640">
        <v>380413</v>
      </c>
      <c r="J42" s="640">
        <v>427599</v>
      </c>
      <c r="K42" s="640">
        <v>431949</v>
      </c>
      <c r="L42" s="640">
        <v>396937</v>
      </c>
      <c r="M42" s="640">
        <v>466213</v>
      </c>
      <c r="N42" s="640">
        <v>467593</v>
      </c>
      <c r="O42" s="640">
        <v>496217</v>
      </c>
      <c r="P42" s="640">
        <v>505644</v>
      </c>
    </row>
    <row r="43" spans="1:30">
      <c r="A43" s="375" t="s">
        <v>754</v>
      </c>
      <c r="B43" s="385" t="s">
        <v>773</v>
      </c>
      <c r="C43" s="386">
        <v>52991</v>
      </c>
      <c r="D43" s="386">
        <v>50358</v>
      </c>
      <c r="E43" s="386">
        <v>55892</v>
      </c>
      <c r="F43" s="386">
        <v>68074</v>
      </c>
      <c r="G43" s="386">
        <v>66267</v>
      </c>
      <c r="H43" s="386">
        <v>67995</v>
      </c>
      <c r="I43" s="640">
        <v>75420</v>
      </c>
      <c r="J43" s="640">
        <v>100950</v>
      </c>
      <c r="K43" s="640">
        <v>91121</v>
      </c>
      <c r="L43" s="640">
        <v>90809</v>
      </c>
      <c r="M43" s="640">
        <v>82648</v>
      </c>
      <c r="N43" s="640">
        <v>79267</v>
      </c>
      <c r="O43" s="640">
        <v>86218</v>
      </c>
      <c r="P43" s="640">
        <v>83056</v>
      </c>
    </row>
    <row r="44" spans="1:30">
      <c r="A44" s="375" t="s">
        <v>771</v>
      </c>
      <c r="B44" s="385" t="s">
        <v>774</v>
      </c>
      <c r="C44" s="386">
        <v>195832</v>
      </c>
      <c r="D44" s="386">
        <v>200946</v>
      </c>
      <c r="E44" s="386">
        <v>194160</v>
      </c>
      <c r="F44" s="386">
        <v>197349</v>
      </c>
      <c r="G44" s="386">
        <v>193738</v>
      </c>
      <c r="H44" s="386">
        <v>207822</v>
      </c>
      <c r="I44" s="640">
        <v>212633</v>
      </c>
      <c r="J44" s="640">
        <v>218168</v>
      </c>
      <c r="K44" s="640">
        <v>220736</v>
      </c>
      <c r="L44" s="640">
        <v>173853</v>
      </c>
      <c r="M44" s="640">
        <v>201946</v>
      </c>
      <c r="N44" s="640">
        <v>204663</v>
      </c>
      <c r="O44" s="640">
        <v>225820</v>
      </c>
      <c r="P44" s="640">
        <v>224919</v>
      </c>
    </row>
    <row r="45" spans="1:30">
      <c r="A45" s="373" t="s">
        <v>775</v>
      </c>
      <c r="B45" s="373"/>
      <c r="C45" s="387">
        <f>SUM(C41:C44)</f>
        <v>699951</v>
      </c>
      <c r="D45" s="387">
        <f t="shared" ref="D45:P45" si="17">SUM(D41:D44)</f>
        <v>684419</v>
      </c>
      <c r="E45" s="387">
        <f t="shared" si="17"/>
        <v>726732</v>
      </c>
      <c r="F45" s="387">
        <f t="shared" si="17"/>
        <v>806088</v>
      </c>
      <c r="G45" s="387">
        <f t="shared" si="17"/>
        <v>760438</v>
      </c>
      <c r="H45" s="387">
        <f t="shared" si="17"/>
        <v>770609</v>
      </c>
      <c r="I45" s="641">
        <f t="shared" si="17"/>
        <v>813434</v>
      </c>
      <c r="J45" s="641">
        <f t="shared" si="17"/>
        <v>877632</v>
      </c>
      <c r="K45" s="641">
        <f t="shared" si="17"/>
        <v>868704</v>
      </c>
      <c r="L45" s="641">
        <f t="shared" si="17"/>
        <v>742022</v>
      </c>
      <c r="M45" s="641">
        <f t="shared" si="17"/>
        <v>873138</v>
      </c>
      <c r="N45" s="641">
        <f t="shared" si="17"/>
        <v>869610</v>
      </c>
      <c r="O45" s="641">
        <f t="shared" si="17"/>
        <v>936785</v>
      </c>
      <c r="P45" s="641">
        <f t="shared" si="17"/>
        <v>931713</v>
      </c>
    </row>
    <row r="46" spans="1:30">
      <c r="I46" s="640"/>
      <c r="J46" s="640"/>
      <c r="K46" s="640"/>
      <c r="L46" s="640"/>
      <c r="M46" s="640"/>
      <c r="N46" s="640"/>
      <c r="O46" s="640"/>
      <c r="P46" s="640"/>
    </row>
    <row r="47" spans="1:30">
      <c r="A47" s="375" t="s">
        <v>776</v>
      </c>
      <c r="B47" s="375" t="s">
        <v>777</v>
      </c>
      <c r="C47" s="376">
        <v>137449</v>
      </c>
      <c r="D47" s="376">
        <v>138744</v>
      </c>
      <c r="E47" s="376">
        <v>157231</v>
      </c>
      <c r="F47" s="376">
        <v>177231</v>
      </c>
      <c r="G47" s="376">
        <v>174323</v>
      </c>
      <c r="H47" s="376">
        <v>182149</v>
      </c>
      <c r="I47" s="640">
        <v>191701</v>
      </c>
      <c r="J47" s="640">
        <v>212810</v>
      </c>
      <c r="K47" s="640">
        <v>231419</v>
      </c>
      <c r="L47" s="640">
        <v>205707</v>
      </c>
      <c r="M47" s="640">
        <v>235483</v>
      </c>
      <c r="N47" s="640">
        <v>250335</v>
      </c>
      <c r="O47" s="640">
        <v>283598</v>
      </c>
      <c r="P47" s="640">
        <v>272268</v>
      </c>
    </row>
    <row r="48" spans="1:30">
      <c r="A48" s="375" t="s">
        <v>776</v>
      </c>
      <c r="B48" s="375" t="s">
        <v>778</v>
      </c>
      <c r="C48" s="376">
        <v>2053</v>
      </c>
      <c r="D48" s="376">
        <v>4286</v>
      </c>
      <c r="E48" s="376">
        <v>8914</v>
      </c>
      <c r="F48" s="376">
        <v>15656</v>
      </c>
      <c r="G48" s="376">
        <v>18182</v>
      </c>
      <c r="H48" s="376">
        <v>24011</v>
      </c>
      <c r="I48" s="640">
        <v>26103</v>
      </c>
      <c r="J48" s="640">
        <v>32873</v>
      </c>
      <c r="K48" s="640">
        <v>49185</v>
      </c>
      <c r="L48" s="640">
        <v>68054</v>
      </c>
      <c r="M48" s="640">
        <v>101003</v>
      </c>
      <c r="N48" s="640">
        <v>123967</v>
      </c>
      <c r="O48" s="640">
        <v>116235</v>
      </c>
      <c r="P48" s="640">
        <v>123470</v>
      </c>
    </row>
    <row r="49" spans="1:17">
      <c r="A49" s="375" t="s">
        <v>779</v>
      </c>
      <c r="B49" s="375" t="s">
        <v>780</v>
      </c>
      <c r="C49" s="376">
        <v>3751</v>
      </c>
      <c r="D49" s="376">
        <v>5120</v>
      </c>
      <c r="E49" s="376">
        <v>6993</v>
      </c>
      <c r="F49" s="376">
        <v>12345</v>
      </c>
      <c r="G49" s="376">
        <v>14352</v>
      </c>
      <c r="H49" s="376">
        <v>15808</v>
      </c>
      <c r="I49" s="640">
        <v>16792</v>
      </c>
      <c r="J49" s="640">
        <v>18480</v>
      </c>
      <c r="K49" s="640">
        <v>22497</v>
      </c>
      <c r="L49" s="640">
        <v>23813</v>
      </c>
      <c r="M49" s="640">
        <v>28399</v>
      </c>
      <c r="N49" s="640">
        <v>24903</v>
      </c>
      <c r="O49" s="640">
        <v>30866</v>
      </c>
      <c r="P49" s="640">
        <v>33438</v>
      </c>
    </row>
    <row r="50" spans="1:17">
      <c r="A50" s="375" t="s">
        <v>781</v>
      </c>
      <c r="B50" s="375" t="s">
        <v>782</v>
      </c>
      <c r="C50" s="376">
        <v>61392</v>
      </c>
      <c r="D50" s="376">
        <v>64114</v>
      </c>
      <c r="E50" s="376">
        <v>76575</v>
      </c>
      <c r="F50" s="376">
        <v>90519</v>
      </c>
      <c r="G50" s="376">
        <v>98074</v>
      </c>
      <c r="H50" s="376">
        <v>111546</v>
      </c>
      <c r="I50" s="640">
        <v>118715</v>
      </c>
      <c r="J50" s="640">
        <v>136197</v>
      </c>
      <c r="K50" s="640">
        <v>167784</v>
      </c>
      <c r="L50" s="640">
        <v>150063</v>
      </c>
      <c r="M50" s="640">
        <v>171334</v>
      </c>
      <c r="N50" s="640">
        <v>158064</v>
      </c>
      <c r="O50" s="640">
        <v>158323</v>
      </c>
      <c r="P50" s="640">
        <v>152366</v>
      </c>
    </row>
    <row r="51" spans="1:17">
      <c r="A51" s="373" t="s">
        <v>783</v>
      </c>
      <c r="B51" s="373"/>
      <c r="C51" s="387">
        <f>SUM(C47:C50)</f>
        <v>204645</v>
      </c>
      <c r="D51" s="387">
        <f t="shared" ref="D51:P51" si="18">SUM(D47:D50)</f>
        <v>212264</v>
      </c>
      <c r="E51" s="387">
        <f t="shared" si="18"/>
        <v>249713</v>
      </c>
      <c r="F51" s="387">
        <f t="shared" si="18"/>
        <v>295751</v>
      </c>
      <c r="G51" s="387">
        <f t="shared" si="18"/>
        <v>304931</v>
      </c>
      <c r="H51" s="387">
        <f t="shared" si="18"/>
        <v>333514</v>
      </c>
      <c r="I51" s="641">
        <f t="shared" si="18"/>
        <v>353311</v>
      </c>
      <c r="J51" s="641">
        <f t="shared" si="18"/>
        <v>400360</v>
      </c>
      <c r="K51" s="641">
        <f t="shared" si="18"/>
        <v>470885</v>
      </c>
      <c r="L51" s="641">
        <f t="shared" si="18"/>
        <v>447637</v>
      </c>
      <c r="M51" s="641">
        <f t="shared" si="18"/>
        <v>536219</v>
      </c>
      <c r="N51" s="641">
        <f t="shared" si="18"/>
        <v>557269</v>
      </c>
      <c r="O51" s="641">
        <f t="shared" si="18"/>
        <v>589022</v>
      </c>
      <c r="P51" s="641">
        <f t="shared" si="18"/>
        <v>581542</v>
      </c>
    </row>
    <row r="52" spans="1:17">
      <c r="I52" s="641"/>
      <c r="J52" s="641"/>
      <c r="K52" s="641"/>
      <c r="L52" s="641"/>
      <c r="M52" s="641"/>
      <c r="N52" s="641"/>
      <c r="O52" s="641"/>
      <c r="P52" s="641"/>
    </row>
    <row r="53" spans="1:17">
      <c r="A53" s="375" t="s">
        <v>784</v>
      </c>
      <c r="B53" s="375" t="s">
        <v>785</v>
      </c>
      <c r="C53" s="376">
        <v>142478</v>
      </c>
      <c r="D53" s="376">
        <v>144686</v>
      </c>
      <c r="E53" s="376">
        <v>137754</v>
      </c>
      <c r="F53" s="376">
        <v>145509</v>
      </c>
      <c r="G53" s="376">
        <v>140012</v>
      </c>
      <c r="H53" s="376">
        <v>148645</v>
      </c>
      <c r="I53" s="640">
        <v>145331</v>
      </c>
      <c r="J53" s="640">
        <v>154259</v>
      </c>
      <c r="K53" s="640">
        <v>159087</v>
      </c>
      <c r="L53" s="640">
        <v>140609</v>
      </c>
      <c r="M53" s="640">
        <v>155365</v>
      </c>
      <c r="N53" s="640">
        <v>168526</v>
      </c>
      <c r="O53" s="640">
        <v>186954</v>
      </c>
      <c r="P53" s="640">
        <v>183538</v>
      </c>
    </row>
    <row r="54" spans="1:17">
      <c r="A54" s="375" t="s">
        <v>786</v>
      </c>
      <c r="B54" s="375" t="s">
        <v>787</v>
      </c>
      <c r="C54" s="376">
        <v>636799</v>
      </c>
      <c r="D54" s="376">
        <v>637799</v>
      </c>
      <c r="E54" s="376">
        <v>757378</v>
      </c>
      <c r="F54" s="376">
        <v>768643</v>
      </c>
      <c r="G54" s="376">
        <v>613339</v>
      </c>
      <c r="H54" s="376">
        <v>633544</v>
      </c>
      <c r="I54" s="640">
        <v>660393</v>
      </c>
      <c r="J54" s="640">
        <v>679992</v>
      </c>
      <c r="K54" s="640">
        <v>697203</v>
      </c>
      <c r="L54" s="640">
        <v>606624</v>
      </c>
      <c r="M54" s="640">
        <v>647481</v>
      </c>
      <c r="N54" s="640">
        <v>638811</v>
      </c>
      <c r="O54" s="640">
        <v>623731</v>
      </c>
      <c r="P54" s="640">
        <v>615739</v>
      </c>
    </row>
    <row r="55" spans="1:17">
      <c r="A55" s="375" t="s">
        <v>786</v>
      </c>
      <c r="B55" s="375" t="s">
        <v>788</v>
      </c>
      <c r="C55" s="376"/>
      <c r="D55" s="376"/>
      <c r="E55" s="376"/>
      <c r="F55" s="376"/>
      <c r="G55" s="376"/>
      <c r="H55" s="376"/>
      <c r="I55" s="640"/>
      <c r="J55" s="640"/>
      <c r="K55" s="640"/>
      <c r="L55" s="640"/>
      <c r="M55" s="640"/>
      <c r="N55" s="640"/>
      <c r="O55" s="640"/>
      <c r="P55" s="640"/>
    </row>
    <row r="56" spans="1:17">
      <c r="A56" s="373" t="s">
        <v>789</v>
      </c>
      <c r="B56" s="373"/>
      <c r="C56" s="387">
        <f>SUM(C53:C55)</f>
        <v>779277</v>
      </c>
      <c r="D56" s="387">
        <f t="shared" ref="D56:P56" si="19">SUM(D53:D55)</f>
        <v>782485</v>
      </c>
      <c r="E56" s="387">
        <f t="shared" si="19"/>
        <v>895132</v>
      </c>
      <c r="F56" s="387">
        <f t="shared" si="19"/>
        <v>914152</v>
      </c>
      <c r="G56" s="387">
        <f t="shared" si="19"/>
        <v>753351</v>
      </c>
      <c r="H56" s="387">
        <f t="shared" si="19"/>
        <v>782189</v>
      </c>
      <c r="I56" s="641">
        <f t="shared" si="19"/>
        <v>805724</v>
      </c>
      <c r="J56" s="641">
        <f t="shared" si="19"/>
        <v>834251</v>
      </c>
      <c r="K56" s="641">
        <f t="shared" si="19"/>
        <v>856290</v>
      </c>
      <c r="L56" s="641">
        <f t="shared" si="19"/>
        <v>747233</v>
      </c>
      <c r="M56" s="641">
        <f t="shared" si="19"/>
        <v>802846</v>
      </c>
      <c r="N56" s="641">
        <f t="shared" si="19"/>
        <v>807337</v>
      </c>
      <c r="O56" s="641">
        <f t="shared" si="19"/>
        <v>810685</v>
      </c>
      <c r="P56" s="641">
        <f t="shared" si="19"/>
        <v>799277</v>
      </c>
    </row>
    <row r="57" spans="1:17">
      <c r="I57" s="640"/>
      <c r="J57" s="640"/>
      <c r="K57" s="640"/>
      <c r="L57" s="640"/>
      <c r="M57" s="640"/>
      <c r="N57" s="640"/>
      <c r="O57" s="640"/>
      <c r="P57" s="640"/>
    </row>
    <row r="58" spans="1:17">
      <c r="A58" s="375" t="s">
        <v>756</v>
      </c>
      <c r="B58" s="375" t="s">
        <v>790</v>
      </c>
      <c r="C58" s="376">
        <v>169149</v>
      </c>
      <c r="D58" s="376">
        <v>167191</v>
      </c>
      <c r="E58" s="376">
        <v>174037</v>
      </c>
      <c r="F58" s="376">
        <v>193206</v>
      </c>
      <c r="G58" s="376">
        <v>186712</v>
      </c>
      <c r="H58" s="376">
        <v>186592</v>
      </c>
      <c r="I58" s="640">
        <v>183728</v>
      </c>
      <c r="J58" s="640">
        <v>203101</v>
      </c>
      <c r="K58" s="640">
        <v>199382</v>
      </c>
      <c r="L58" s="640">
        <v>173295</v>
      </c>
      <c r="M58" s="640">
        <v>191173</v>
      </c>
      <c r="N58" s="640">
        <v>202400</v>
      </c>
      <c r="O58" s="640">
        <v>210819</v>
      </c>
      <c r="P58" s="640">
        <v>211262</v>
      </c>
    </row>
    <row r="59" spans="1:17">
      <c r="A59" s="375" t="s">
        <v>756</v>
      </c>
      <c r="B59" s="375" t="s">
        <v>757</v>
      </c>
      <c r="C59" s="376">
        <v>17172</v>
      </c>
      <c r="D59" s="376">
        <v>17326</v>
      </c>
      <c r="E59" s="376">
        <v>18521</v>
      </c>
      <c r="F59" s="376">
        <v>20115</v>
      </c>
      <c r="G59" s="376">
        <v>21006</v>
      </c>
      <c r="H59" s="376">
        <v>21696</v>
      </c>
      <c r="I59" s="640">
        <v>22975</v>
      </c>
      <c r="J59" s="640">
        <v>25390</v>
      </c>
      <c r="K59" s="640">
        <v>24981</v>
      </c>
      <c r="L59" s="640">
        <v>21582</v>
      </c>
      <c r="M59" s="640">
        <v>28260</v>
      </c>
      <c r="N59" s="640">
        <v>31096</v>
      </c>
      <c r="O59" s="640">
        <v>37358</v>
      </c>
      <c r="P59" s="640">
        <v>40278</v>
      </c>
    </row>
    <row r="60" spans="1:17" s="373" customFormat="1" ht="15">
      <c r="A60" s="373" t="s">
        <v>791</v>
      </c>
      <c r="C60" s="387">
        <f>SUM(C58:C59)</f>
        <v>186321</v>
      </c>
      <c r="D60" s="387">
        <f t="shared" ref="D60:P60" si="20">SUM(D58:D59)</f>
        <v>184517</v>
      </c>
      <c r="E60" s="387">
        <f t="shared" si="20"/>
        <v>192558</v>
      </c>
      <c r="F60" s="387">
        <f t="shared" si="20"/>
        <v>213321</v>
      </c>
      <c r="G60" s="387">
        <f t="shared" si="20"/>
        <v>207718</v>
      </c>
      <c r="H60" s="387">
        <f t="shared" si="20"/>
        <v>208288</v>
      </c>
      <c r="I60" s="641">
        <f t="shared" si="20"/>
        <v>206703</v>
      </c>
      <c r="J60" s="641">
        <f t="shared" si="20"/>
        <v>228491</v>
      </c>
      <c r="K60" s="641">
        <f t="shared" si="20"/>
        <v>224363</v>
      </c>
      <c r="L60" s="641">
        <f t="shared" si="20"/>
        <v>194877</v>
      </c>
      <c r="M60" s="641">
        <f t="shared" si="20"/>
        <v>219433</v>
      </c>
      <c r="N60" s="641">
        <f t="shared" si="20"/>
        <v>233496</v>
      </c>
      <c r="O60" s="641">
        <f t="shared" si="20"/>
        <v>248177</v>
      </c>
      <c r="P60" s="641">
        <f t="shared" si="20"/>
        <v>251540</v>
      </c>
    </row>
    <row r="62" spans="1:17">
      <c r="A62" s="375" t="s">
        <v>792</v>
      </c>
      <c r="C62" s="383">
        <f>C60+C56+C51+C45+C39</f>
        <v>5058488</v>
      </c>
      <c r="D62" s="383">
        <f t="shared" ref="D62:P62" si="21">D60+D56+D51+D45+D39</f>
        <v>5027659</v>
      </c>
      <c r="E62" s="383">
        <f t="shared" si="21"/>
        <v>5370487</v>
      </c>
      <c r="F62" s="383">
        <f t="shared" si="21"/>
        <v>5607808</v>
      </c>
      <c r="G62" s="383">
        <f t="shared" si="21"/>
        <v>5297351</v>
      </c>
      <c r="H62" s="383">
        <f t="shared" si="21"/>
        <v>5453810</v>
      </c>
      <c r="I62" s="640">
        <f t="shared" si="21"/>
        <v>5442435</v>
      </c>
      <c r="J62" s="640">
        <f t="shared" si="21"/>
        <v>5809965</v>
      </c>
      <c r="K62" s="640">
        <f t="shared" si="21"/>
        <v>5972547</v>
      </c>
      <c r="L62" s="640">
        <f t="shared" si="21"/>
        <v>5314868</v>
      </c>
      <c r="M62" s="640">
        <f t="shared" si="21"/>
        <v>6019336</v>
      </c>
      <c r="N62" s="640">
        <f t="shared" si="21"/>
        <v>6041123</v>
      </c>
      <c r="O62" s="640">
        <f t="shared" si="21"/>
        <v>6418151</v>
      </c>
      <c r="P62" s="640">
        <f t="shared" si="21"/>
        <v>6393950</v>
      </c>
      <c r="Q62" s="383"/>
    </row>
    <row r="63" spans="1:17">
      <c r="A63" s="380" t="s">
        <v>793</v>
      </c>
      <c r="B63" s="375" t="s">
        <v>742</v>
      </c>
      <c r="C63" s="369">
        <f>C39/C62</f>
        <v>0.63028596687389593</v>
      </c>
      <c r="D63" s="369">
        <f t="shared" ref="D63:P63" si="22">D39/D62</f>
        <v>0.62931356323091925</v>
      </c>
      <c r="E63" s="369">
        <f t="shared" si="22"/>
        <v>0.61565217456070553</v>
      </c>
      <c r="F63" s="369">
        <f t="shared" si="22"/>
        <v>0.6024628517952112</v>
      </c>
      <c r="G63" s="369">
        <f t="shared" si="22"/>
        <v>0.61746201072951368</v>
      </c>
      <c r="H63" s="369">
        <f t="shared" si="22"/>
        <v>0.61593821566941276</v>
      </c>
      <c r="I63" s="369">
        <f t="shared" si="22"/>
        <v>0.59959613665574329</v>
      </c>
      <c r="J63" s="369">
        <f t="shared" si="22"/>
        <v>0.59711736645573599</v>
      </c>
      <c r="K63" s="369">
        <f t="shared" si="22"/>
        <v>0.59477221359664478</v>
      </c>
      <c r="L63" s="369">
        <f t="shared" si="22"/>
        <v>0.59890462002066658</v>
      </c>
      <c r="M63" s="369">
        <f t="shared" si="22"/>
        <v>0.59602919657583497</v>
      </c>
      <c r="N63" s="369">
        <f t="shared" si="22"/>
        <v>0.59151435916798911</v>
      </c>
      <c r="O63" s="369">
        <f t="shared" si="22"/>
        <v>0.59728759887388128</v>
      </c>
      <c r="P63" s="369">
        <f t="shared" si="22"/>
        <v>0.59898466519131366</v>
      </c>
    </row>
    <row r="64" spans="1:17">
      <c r="B64" s="375" t="s">
        <v>754</v>
      </c>
      <c r="C64" s="369">
        <f>C45/C62</f>
        <v>0.13837158455253823</v>
      </c>
      <c r="D64" s="369">
        <f t="shared" ref="D64:P64" si="23">D45/D62</f>
        <v>0.13613075190660306</v>
      </c>
      <c r="E64" s="369">
        <f t="shared" si="23"/>
        <v>0.13531957157702831</v>
      </c>
      <c r="F64" s="369">
        <f t="shared" si="23"/>
        <v>0.14374386569582981</v>
      </c>
      <c r="G64" s="369">
        <f t="shared" si="23"/>
        <v>0.14355061614758019</v>
      </c>
      <c r="H64" s="369">
        <f t="shared" si="23"/>
        <v>0.14129736826182063</v>
      </c>
      <c r="I64" s="369">
        <f t="shared" si="23"/>
        <v>0.1494614083585748</v>
      </c>
      <c r="J64" s="369">
        <f t="shared" si="23"/>
        <v>0.15105633166464857</v>
      </c>
      <c r="K64" s="369">
        <f t="shared" si="23"/>
        <v>0.14544950420649683</v>
      </c>
      <c r="L64" s="369">
        <f t="shared" si="23"/>
        <v>0.13961249837249015</v>
      </c>
      <c r="M64" s="369">
        <f t="shared" si="23"/>
        <v>0.14505553436458773</v>
      </c>
      <c r="N64" s="369">
        <f t="shared" si="23"/>
        <v>0.14394840164651507</v>
      </c>
      <c r="O64" s="369">
        <f t="shared" si="23"/>
        <v>0.14595870368272731</v>
      </c>
      <c r="P64" s="369">
        <f t="shared" si="23"/>
        <v>0.14571790520726624</v>
      </c>
    </row>
    <row r="65" spans="2:16">
      <c r="B65" s="375" t="s">
        <v>781</v>
      </c>
      <c r="C65" s="369">
        <f>C51/C62</f>
        <v>4.0455764647459876E-2</v>
      </c>
      <c r="D65" s="369">
        <f t="shared" ref="D65:P65" si="24">D51/D62</f>
        <v>4.2219251544307203E-2</v>
      </c>
      <c r="E65" s="369">
        <f t="shared" si="24"/>
        <v>4.6497272966120204E-2</v>
      </c>
      <c r="F65" s="369">
        <f t="shared" si="24"/>
        <v>5.2739145134783505E-2</v>
      </c>
      <c r="G65" s="369">
        <f t="shared" si="24"/>
        <v>5.7562921543239255E-2</v>
      </c>
      <c r="H65" s="369">
        <f t="shared" si="24"/>
        <v>6.1152478725881539E-2</v>
      </c>
      <c r="I65" s="369">
        <f t="shared" si="24"/>
        <v>6.4917817116786874E-2</v>
      </c>
      <c r="J65" s="369">
        <f t="shared" si="24"/>
        <v>6.8909193084639928E-2</v>
      </c>
      <c r="K65" s="369">
        <f t="shared" si="24"/>
        <v>7.8841572950367741E-2</v>
      </c>
      <c r="L65" s="369">
        <f t="shared" si="24"/>
        <v>8.4223540452933163E-2</v>
      </c>
      <c r="M65" s="369">
        <f t="shared" si="24"/>
        <v>8.9082749326503785E-2</v>
      </c>
      <c r="N65" s="369">
        <f t="shared" si="24"/>
        <v>9.2245928447409531E-2</v>
      </c>
      <c r="O65" s="369">
        <f t="shared" si="24"/>
        <v>9.1774406678808276E-2</v>
      </c>
      <c r="P65" s="369">
        <f t="shared" si="24"/>
        <v>9.0951915482604645E-2</v>
      </c>
    </row>
    <row r="66" spans="2:16">
      <c r="B66" s="375" t="s">
        <v>794</v>
      </c>
      <c r="C66" s="369">
        <f>C56/C62</f>
        <v>0.15405334558468856</v>
      </c>
      <c r="D66" s="369">
        <f t="shared" ref="D66:P66" si="25">D56/D62</f>
        <v>0.15563605248486423</v>
      </c>
      <c r="E66" s="369">
        <f t="shared" si="25"/>
        <v>0.16667613197834757</v>
      </c>
      <c r="F66" s="369">
        <f t="shared" si="25"/>
        <v>0.16301414028440345</v>
      </c>
      <c r="G66" s="369">
        <f t="shared" si="25"/>
        <v>0.14221277766944271</v>
      </c>
      <c r="H66" s="369">
        <f t="shared" si="25"/>
        <v>0.1434206545515887</v>
      </c>
      <c r="I66" s="369">
        <f t="shared" si="25"/>
        <v>0.14804476305183251</v>
      </c>
      <c r="J66" s="369">
        <f t="shared" si="25"/>
        <v>0.14358967739048342</v>
      </c>
      <c r="K66" s="369">
        <f t="shared" si="25"/>
        <v>0.14337099398296907</v>
      </c>
      <c r="L66" s="369">
        <f t="shared" si="25"/>
        <v>0.14059295546004152</v>
      </c>
      <c r="M66" s="369">
        <f t="shared" si="25"/>
        <v>0.13337783436578388</v>
      </c>
      <c r="N66" s="369">
        <f t="shared" si="25"/>
        <v>0.1336402188798341</v>
      </c>
      <c r="O66" s="369">
        <f t="shared" si="25"/>
        <v>0.12631130055992762</v>
      </c>
      <c r="P66" s="369">
        <f t="shared" si="25"/>
        <v>0.12500520022834086</v>
      </c>
    </row>
    <row r="67" spans="2:16">
      <c r="B67" s="375" t="s">
        <v>756</v>
      </c>
      <c r="C67" s="369">
        <f>C60/C62</f>
        <v>3.6833338341417436E-2</v>
      </c>
      <c r="D67" s="369">
        <f t="shared" ref="D67:P67" si="26">D60/D62</f>
        <v>3.6700380833306318E-2</v>
      </c>
      <c r="E67" s="369">
        <f t="shared" si="26"/>
        <v>3.5854848917798332E-2</v>
      </c>
      <c r="F67" s="369">
        <f t="shared" si="26"/>
        <v>3.8039997089771974E-2</v>
      </c>
      <c r="G67" s="369">
        <f t="shared" si="26"/>
        <v>3.9211673910224183E-2</v>
      </c>
      <c r="H67" s="369">
        <f t="shared" si="26"/>
        <v>3.8191282791296362E-2</v>
      </c>
      <c r="I67" s="369">
        <f t="shared" si="26"/>
        <v>3.7979874817062581E-2</v>
      </c>
      <c r="J67" s="369">
        <f t="shared" si="26"/>
        <v>3.9327431404492109E-2</v>
      </c>
      <c r="K67" s="369">
        <f t="shared" si="26"/>
        <v>3.7565715263521579E-2</v>
      </c>
      <c r="L67" s="369">
        <f t="shared" si="26"/>
        <v>3.6666385693868597E-2</v>
      </c>
      <c r="M67" s="369">
        <f t="shared" si="26"/>
        <v>3.6454685367289678E-2</v>
      </c>
      <c r="N67" s="369">
        <f t="shared" si="26"/>
        <v>3.8651091858252183E-2</v>
      </c>
      <c r="O67" s="369">
        <f t="shared" si="26"/>
        <v>3.8667990204655514E-2</v>
      </c>
      <c r="P67" s="369">
        <f t="shared" si="26"/>
        <v>3.9340313890474592E-2</v>
      </c>
    </row>
    <row r="69" spans="2:16">
      <c r="B69" s="375" t="s">
        <v>795</v>
      </c>
      <c r="C69" s="369">
        <f>C33/C62</f>
        <v>0.39429608214944861</v>
      </c>
      <c r="D69" s="369">
        <f t="shared" ref="D69:P69" si="27">D33/D62</f>
        <v>0.39370311311884915</v>
      </c>
      <c r="E69" s="369">
        <f t="shared" si="27"/>
        <v>0.3726272868736113</v>
      </c>
      <c r="F69" s="369">
        <f t="shared" si="27"/>
        <v>0.35896503589281231</v>
      </c>
      <c r="G69" s="369">
        <f t="shared" si="27"/>
        <v>0.37742184725913008</v>
      </c>
      <c r="H69" s="369">
        <f t="shared" si="27"/>
        <v>0.37480256921308225</v>
      </c>
      <c r="I69" s="369">
        <f t="shared" si="27"/>
        <v>0.36221599339266342</v>
      </c>
      <c r="J69" s="369">
        <f t="shared" si="27"/>
        <v>0.36075122655644226</v>
      </c>
      <c r="K69" s="369">
        <f t="shared" si="27"/>
        <v>0.36254147518638197</v>
      </c>
      <c r="L69" s="369">
        <f t="shared" si="27"/>
        <v>0.36556542890623062</v>
      </c>
      <c r="M69" s="369">
        <f t="shared" si="27"/>
        <v>0.36953228728218529</v>
      </c>
      <c r="N69" s="369">
        <f t="shared" si="27"/>
        <v>0.36475138811111774</v>
      </c>
      <c r="O69" s="369">
        <f t="shared" si="27"/>
        <v>0.36647252456353863</v>
      </c>
      <c r="P69" s="369">
        <f t="shared" si="27"/>
        <v>0.36634177621032382</v>
      </c>
    </row>
  </sheetData>
  <phoneticPr fontId="7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R121"/>
  <sheetViews>
    <sheetView showGridLines="0" zoomScale="85" zoomScaleNormal="85" workbookViewId="0">
      <pane xSplit="3" ySplit="3" topLeftCell="D16" activePane="bottomRight" state="frozen"/>
      <selection pane="topRight" activeCell="D1" sqref="D1"/>
      <selection pane="bottomLeft" activeCell="A4" sqref="A4"/>
      <selection pane="bottomRight" activeCell="P33" sqref="P33"/>
    </sheetView>
  </sheetViews>
  <sheetFormatPr defaultRowHeight="13.5"/>
  <cols>
    <col min="1" max="1" width="4.125" customWidth="1"/>
    <col min="2" max="2" width="1" customWidth="1"/>
    <col min="3" max="3" width="44.875" customWidth="1"/>
    <col min="4" max="4" width="11.625" customWidth="1"/>
    <col min="5" max="14" width="12.5" customWidth="1"/>
    <col min="15" max="15" width="1" customWidth="1"/>
  </cols>
  <sheetData>
    <row r="1" spans="2:18" s="25" customFormat="1" ht="12" customHeight="1"/>
    <row r="2" spans="2:18" s="19" customFormat="1" ht="12" customHeight="1">
      <c r="C2" s="46"/>
      <c r="G2" s="47"/>
    </row>
    <row r="3" spans="2:18" s="19" customFormat="1" ht="12" customHeight="1">
      <c r="C3" s="49"/>
      <c r="D3" s="50"/>
      <c r="E3" s="50"/>
      <c r="F3" s="50"/>
      <c r="G3" s="50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2:18" s="11" customFormat="1" ht="23.1" customHeight="1">
      <c r="C4" s="12"/>
      <c r="D4" s="13"/>
      <c r="E4" s="13"/>
      <c r="F4" s="13"/>
      <c r="G4" s="1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2:18" s="11" customFormat="1" ht="6" customHeight="1">
      <c r="B5" s="19"/>
      <c r="C5" s="49"/>
      <c r="D5" s="50"/>
      <c r="E5" s="50"/>
      <c r="F5" s="50"/>
      <c r="G5" s="50"/>
      <c r="H5" s="51"/>
      <c r="I5" s="51"/>
      <c r="J5" s="51"/>
      <c r="K5" s="51"/>
      <c r="L5" s="51"/>
      <c r="M5" s="51"/>
      <c r="N5" s="51"/>
      <c r="O5" s="51"/>
      <c r="P5" s="14"/>
      <c r="Q5" s="14"/>
      <c r="R5" s="14"/>
    </row>
    <row r="6" spans="2:18" s="75" customFormat="1" ht="24.95" customHeight="1">
      <c r="B6" s="89"/>
      <c r="C6" s="189" t="s">
        <v>105</v>
      </c>
      <c r="D6" s="154">
        <v>2014</v>
      </c>
      <c r="E6" s="154">
        <v>2015</v>
      </c>
      <c r="F6" s="154">
        <v>2016</v>
      </c>
      <c r="G6" s="154">
        <v>2017</v>
      </c>
      <c r="H6" s="154">
        <v>2018</v>
      </c>
      <c r="I6" s="154" t="s">
        <v>3</v>
      </c>
      <c r="J6" s="154" t="s">
        <v>38</v>
      </c>
      <c r="K6" s="154" t="s">
        <v>128</v>
      </c>
      <c r="L6" s="154" t="s">
        <v>151</v>
      </c>
      <c r="M6" s="154" t="s">
        <v>152</v>
      </c>
      <c r="N6" s="154" t="s">
        <v>1062</v>
      </c>
      <c r="O6" s="89"/>
    </row>
    <row r="7" spans="2:18" s="75" customFormat="1" ht="24.95" customHeight="1">
      <c r="B7" s="89"/>
      <c r="C7" s="168" t="s">
        <v>88</v>
      </c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89"/>
    </row>
    <row r="8" spans="2:18" s="75" customFormat="1" ht="24.95" customHeight="1">
      <c r="B8" s="89"/>
      <c r="C8" s="169" t="s">
        <v>796</v>
      </c>
      <c r="D8" s="170">
        <f>IS!E11/BS!D12</f>
        <v>17.204010462074979</v>
      </c>
      <c r="E8" s="170">
        <f>IS!F11/BS!E12</f>
        <v>14.567766605296701</v>
      </c>
      <c r="F8" s="170">
        <f>IS!G11/BS!F12</f>
        <v>14.966312056737589</v>
      </c>
      <c r="G8" s="170">
        <f>IS!H11/BS!G12</f>
        <v>14.367031240558342</v>
      </c>
      <c r="H8" s="170">
        <f>IS!I11/BS!H12</f>
        <v>10.9998944665283</v>
      </c>
      <c r="I8" s="170">
        <f>AVERAGE(D8:G8)</f>
        <v>15.276280091166901</v>
      </c>
      <c r="J8" s="171">
        <v>10</v>
      </c>
      <c r="K8" s="171">
        <v>10</v>
      </c>
      <c r="L8" s="171">
        <v>10</v>
      </c>
      <c r="M8" s="171">
        <v>10</v>
      </c>
      <c r="N8" s="171">
        <v>10</v>
      </c>
      <c r="O8" s="89" t="s">
        <v>4</v>
      </c>
    </row>
    <row r="9" spans="2:18" s="75" customFormat="1" ht="24.95" customHeight="1">
      <c r="B9" s="89"/>
      <c r="C9" s="169" t="s">
        <v>797</v>
      </c>
      <c r="D9" s="170">
        <f>-IS!E13/BS!D13</f>
        <v>3.9560481804202974</v>
      </c>
      <c r="E9" s="170">
        <f>-IS!F13/BS!E13</f>
        <v>3.6528033693077124</v>
      </c>
      <c r="F9" s="170">
        <f>-IS!G13/BS!F13</f>
        <v>4.7768097464230062</v>
      </c>
      <c r="G9" s="170">
        <f>-IS!H13/BS!G13</f>
        <v>7.0622443015780245</v>
      </c>
      <c r="H9" s="170">
        <f>-IS!I13/BS!H13</f>
        <v>9.2224030173579195</v>
      </c>
      <c r="I9" s="170">
        <f>AVERAGE(D9:G9)</f>
        <v>4.86197639943226</v>
      </c>
      <c r="J9" s="171">
        <v>10</v>
      </c>
      <c r="K9" s="171">
        <v>10</v>
      </c>
      <c r="L9" s="171">
        <v>10</v>
      </c>
      <c r="M9" s="171">
        <v>10</v>
      </c>
      <c r="N9" s="171">
        <v>10</v>
      </c>
      <c r="O9" s="89"/>
    </row>
    <row r="10" spans="2:18" s="76" customFormat="1" ht="24.95" customHeight="1">
      <c r="B10" s="90"/>
      <c r="C10" s="633"/>
      <c r="D10" s="634"/>
      <c r="E10" s="634"/>
      <c r="F10" s="634"/>
      <c r="G10" s="634"/>
      <c r="H10" s="634"/>
      <c r="I10" s="634"/>
      <c r="J10" s="634"/>
      <c r="K10" s="634"/>
      <c r="L10" s="634"/>
      <c r="M10" s="634"/>
      <c r="N10" s="649"/>
      <c r="O10" s="90"/>
    </row>
    <row r="11" spans="2:18" s="75" customFormat="1" ht="24.95" customHeight="1">
      <c r="B11" s="89"/>
      <c r="C11" s="168" t="s">
        <v>104</v>
      </c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89"/>
    </row>
    <row r="12" spans="2:18" s="76" customFormat="1" ht="24.95" customHeight="1">
      <c r="B12" s="90"/>
      <c r="C12" s="633"/>
      <c r="D12" s="634"/>
      <c r="E12" s="634"/>
      <c r="F12" s="634"/>
      <c r="G12" s="634"/>
      <c r="H12" s="634"/>
      <c r="I12" s="634"/>
      <c r="J12" s="634"/>
      <c r="K12" s="634"/>
      <c r="L12" s="634"/>
      <c r="M12" s="634"/>
      <c r="N12" s="649"/>
      <c r="O12" s="90"/>
    </row>
    <row r="13" spans="2:18" s="75" customFormat="1" ht="24.95" customHeight="1">
      <c r="B13" s="89"/>
      <c r="C13" s="168" t="s">
        <v>103</v>
      </c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89"/>
    </row>
    <row r="14" spans="2:18" s="75" customFormat="1" ht="24.95" customHeight="1">
      <c r="B14" s="89"/>
      <c r="C14" s="169" t="s">
        <v>805</v>
      </c>
      <c r="D14" s="170">
        <f>-IS!E13/BS!D36</f>
        <v>3.5555683519520902</v>
      </c>
      <c r="E14" s="170">
        <f>-IS!F13/BS!E36</f>
        <v>2.6516560509554141</v>
      </c>
      <c r="F14" s="170">
        <f>-IS!G13/BS!F36</f>
        <v>2.4601101667092253</v>
      </c>
      <c r="G14" s="170">
        <f>-IS!H13/BS!G36</f>
        <v>2.412598582409903</v>
      </c>
      <c r="H14" s="170">
        <f>-IS!I13/BS!H36</f>
        <v>2.3130114463958771</v>
      </c>
      <c r="I14" s="170">
        <f>AVERAGE(D14:G14)</f>
        <v>2.7699832880066584</v>
      </c>
      <c r="J14" s="171">
        <v>2.2999999999999998</v>
      </c>
      <c r="K14" s="171">
        <v>2.2999999999999998</v>
      </c>
      <c r="L14" s="171">
        <v>2.2999999999999998</v>
      </c>
      <c r="M14" s="171">
        <v>2.2999999999999998</v>
      </c>
      <c r="N14" s="171">
        <v>2.2999999999999998</v>
      </c>
      <c r="O14" s="89"/>
    </row>
    <row r="15" spans="2:18" s="75" customFormat="1" ht="24.95" customHeight="1">
      <c r="B15" s="89"/>
      <c r="C15" s="169" t="s">
        <v>806</v>
      </c>
      <c r="D15" s="170">
        <f>-(IS!E13+IS!E22+IS!E23)/BS!D37</f>
        <v>2.7623803796475448</v>
      </c>
      <c r="E15" s="170">
        <f>-(IS!F13+IS!F22+IS!F23)/BS!E37</f>
        <v>0.94658043561874106</v>
      </c>
      <c r="F15" s="170">
        <f>-(IS!G13+IS!G22+IS!G23)/BS!F37</f>
        <v>4.8883246299046617</v>
      </c>
      <c r="G15" s="170">
        <f>-(IS!H13+IS!H22+IS!H23)/BS!G37</f>
        <v>5.8280841232630038</v>
      </c>
      <c r="H15" s="170">
        <f>-(IS!I13+IS!I22+IS!I23)/BS!H37</f>
        <v>7.0936869296349663</v>
      </c>
      <c r="I15" s="170">
        <f>AVERAGE(D15:G15)</f>
        <v>3.6063423921084876</v>
      </c>
      <c r="J15" s="228">
        <v>7.5</v>
      </c>
      <c r="K15" s="228">
        <v>7.5</v>
      </c>
      <c r="L15" s="228">
        <v>7.5</v>
      </c>
      <c r="M15" s="228">
        <v>7.5</v>
      </c>
      <c r="N15" s="228">
        <v>7.5</v>
      </c>
      <c r="O15" s="89"/>
    </row>
    <row r="16" spans="2:18" s="76" customFormat="1" ht="24.95" customHeight="1">
      <c r="B16" s="90"/>
      <c r="C16" s="633"/>
      <c r="D16" s="634"/>
      <c r="E16" s="634"/>
      <c r="F16" s="634"/>
      <c r="G16" s="634"/>
      <c r="H16" s="634"/>
      <c r="I16" s="634"/>
      <c r="J16" s="634"/>
      <c r="K16" s="634"/>
      <c r="L16" s="634"/>
      <c r="M16" s="634"/>
      <c r="N16" s="649"/>
      <c r="O16" s="90"/>
    </row>
    <row r="17" spans="2:18" s="75" customFormat="1" ht="24.95" customHeight="1">
      <c r="B17" s="89"/>
      <c r="C17" s="168" t="s">
        <v>118</v>
      </c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89"/>
    </row>
    <row r="18" spans="2:18" ht="6" customHeight="1"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21" spans="2:18" s="11" customFormat="1" ht="6" customHeight="1">
      <c r="B21" s="19"/>
      <c r="C21" s="49"/>
      <c r="D21" s="50"/>
      <c r="E21" s="50"/>
      <c r="F21" s="50"/>
      <c r="G21" s="50"/>
      <c r="H21" s="51"/>
      <c r="I21" s="51"/>
      <c r="J21" s="51"/>
      <c r="K21" s="51"/>
      <c r="L21" s="51"/>
      <c r="M21" s="51"/>
      <c r="N21" s="51"/>
      <c r="O21" s="51"/>
      <c r="P21" s="14"/>
      <c r="Q21" s="14"/>
      <c r="R21" s="14"/>
    </row>
    <row r="22" spans="2:18" s="75" customFormat="1" ht="24.95" customHeight="1">
      <c r="B22" s="89"/>
      <c r="C22" s="189" t="s">
        <v>113</v>
      </c>
      <c r="D22" s="154">
        <v>2014</v>
      </c>
      <c r="E22" s="154">
        <v>2015</v>
      </c>
      <c r="F22" s="154">
        <v>2016</v>
      </c>
      <c r="G22" s="154">
        <v>2017</v>
      </c>
      <c r="H22" s="154" t="s">
        <v>37</v>
      </c>
      <c r="I22" s="154" t="s">
        <v>3</v>
      </c>
      <c r="J22" s="154" t="s">
        <v>38</v>
      </c>
      <c r="K22" s="154" t="s">
        <v>128</v>
      </c>
      <c r="L22" s="154" t="s">
        <v>151</v>
      </c>
      <c r="M22" s="154" t="s">
        <v>152</v>
      </c>
      <c r="N22" s="154" t="s">
        <v>1062</v>
      </c>
      <c r="O22" s="89"/>
    </row>
    <row r="23" spans="2:18" s="75" customFormat="1" ht="24.95" customHeight="1">
      <c r="B23" s="89"/>
      <c r="C23" s="168" t="s">
        <v>114</v>
      </c>
      <c r="D23" s="71">
        <f>BS!D52</f>
        <v>0</v>
      </c>
      <c r="E23" s="71">
        <f>BS!E52</f>
        <v>0</v>
      </c>
      <c r="F23" s="71">
        <f>BS!F52</f>
        <v>0</v>
      </c>
      <c r="G23" s="71">
        <f>BS!G52</f>
        <v>0</v>
      </c>
      <c r="H23" s="71">
        <f>BS!H52</f>
        <v>0</v>
      </c>
      <c r="I23" s="77"/>
      <c r="J23" s="188">
        <v>0</v>
      </c>
      <c r="K23" s="188">
        <v>0</v>
      </c>
      <c r="L23" s="188">
        <v>0</v>
      </c>
      <c r="M23" s="188">
        <v>0</v>
      </c>
      <c r="N23" s="188">
        <v>0</v>
      </c>
      <c r="O23" s="89"/>
    </row>
    <row r="24" spans="2:18" s="75" customFormat="1" ht="24.95" customHeight="1">
      <c r="B24" s="89"/>
      <c r="C24" s="651"/>
      <c r="D24" s="652"/>
      <c r="E24" s="652"/>
      <c r="F24" s="652"/>
      <c r="G24" s="652"/>
      <c r="H24" s="652"/>
      <c r="I24" s="652"/>
      <c r="J24" s="652"/>
      <c r="K24" s="652"/>
      <c r="L24" s="652"/>
      <c r="M24" s="652"/>
      <c r="N24" s="652"/>
      <c r="O24" s="89"/>
    </row>
    <row r="25" spans="2:18" s="75" customFormat="1" ht="24.95" customHeight="1">
      <c r="B25" s="89"/>
      <c r="C25" s="168" t="s">
        <v>115</v>
      </c>
      <c r="D25" s="71">
        <f>CS!F18</f>
        <v>1802</v>
      </c>
      <c r="E25" s="71">
        <f>CS!G18</f>
        <v>2756</v>
      </c>
      <c r="F25" s="71">
        <f>CS!H18</f>
        <v>4313</v>
      </c>
      <c r="G25" s="71">
        <f>CS!I18</f>
        <v>6137</v>
      </c>
      <c r="H25" s="71">
        <f>CS!J18</f>
        <v>0</v>
      </c>
      <c r="I25" s="77"/>
      <c r="J25" s="71">
        <f ca="1">IS!J11*资产负债假设!J26</f>
        <v>10475.827374940243</v>
      </c>
      <c r="K25" s="71">
        <f ca="1">IS!K11*资产负债假设!K26</f>
        <v>12770.124181085122</v>
      </c>
      <c r="L25" s="71">
        <f ca="1">IS!L11*资产负债假设!L26</f>
        <v>15188.365926371062</v>
      </c>
      <c r="M25" s="71">
        <f ca="1">IS!M11*资产负债假设!M26</f>
        <v>17897.563221022036</v>
      </c>
      <c r="N25" s="71">
        <f ca="1">IS!N11*资产负债假设!N26</f>
        <v>20949.861336253216</v>
      </c>
      <c r="O25" s="89"/>
    </row>
    <row r="26" spans="2:18" s="75" customFormat="1" ht="24.95" customHeight="1">
      <c r="B26" s="89"/>
      <c r="C26" s="169" t="s">
        <v>221</v>
      </c>
      <c r="D26" s="55">
        <f>D25/(IS!E11+IS!E13)</f>
        <v>3.7495578351609479E-2</v>
      </c>
      <c r="E26" s="55">
        <f>E25/IS!F11</f>
        <v>2.6792918736571945E-2</v>
      </c>
      <c r="F26" s="55">
        <f>F25/IS!G11</f>
        <v>2.8386578736063393E-2</v>
      </c>
      <c r="G26" s="55">
        <f>G25/IS!H11</f>
        <v>2.5811742934051144E-2</v>
      </c>
      <c r="H26" s="55">
        <f>H25/IS!I11</f>
        <v>0</v>
      </c>
      <c r="I26" s="55">
        <f>AVERAGE(D26:G26)</f>
        <v>2.9621704689573987E-2</v>
      </c>
      <c r="J26" s="72">
        <v>2.7E-2</v>
      </c>
      <c r="K26" s="72">
        <v>2.7E-2</v>
      </c>
      <c r="L26" s="72">
        <v>2.7E-2</v>
      </c>
      <c r="M26" s="72">
        <v>2.7E-2</v>
      </c>
      <c r="N26" s="72">
        <v>2.7E-2</v>
      </c>
      <c r="O26" s="89"/>
    </row>
    <row r="27" spans="2:18" s="75" customFormat="1" ht="24.95" customHeight="1">
      <c r="B27" s="89"/>
      <c r="C27" s="651"/>
      <c r="D27" s="652"/>
      <c r="E27" s="652"/>
      <c r="F27" s="652"/>
      <c r="G27" s="652"/>
      <c r="H27" s="652"/>
      <c r="I27" s="652"/>
      <c r="J27" s="652"/>
      <c r="K27" s="652"/>
      <c r="L27" s="652"/>
      <c r="M27" s="652"/>
      <c r="N27" s="652"/>
      <c r="O27" s="89"/>
    </row>
    <row r="28" spans="2:18" s="75" customFormat="1" ht="24.95" customHeight="1">
      <c r="B28" s="89"/>
      <c r="C28" s="168" t="s">
        <v>116</v>
      </c>
      <c r="D28" s="71">
        <f>CS!F84</f>
        <v>0</v>
      </c>
      <c r="E28" s="71">
        <f>CS!G84</f>
        <v>0</v>
      </c>
      <c r="F28" s="71">
        <f>CS!H84</f>
        <v>0</v>
      </c>
      <c r="G28" s="71">
        <f>CS!I84</f>
        <v>0</v>
      </c>
      <c r="H28" s="71">
        <f>CS!J84</f>
        <v>0</v>
      </c>
      <c r="I28" s="77"/>
      <c r="J28" s="188">
        <v>0</v>
      </c>
      <c r="K28" s="188">
        <v>0</v>
      </c>
      <c r="L28" s="188">
        <v>0</v>
      </c>
      <c r="M28" s="188">
        <v>0</v>
      </c>
      <c r="N28" s="188">
        <v>0</v>
      </c>
      <c r="O28" s="89"/>
    </row>
    <row r="29" spans="2:18" s="75" customFormat="1" ht="24.95" customHeight="1">
      <c r="B29" s="89"/>
      <c r="C29" s="651"/>
      <c r="D29" s="652"/>
      <c r="E29" s="652"/>
      <c r="F29" s="652"/>
      <c r="G29" s="652"/>
      <c r="H29" s="652"/>
      <c r="I29" s="652"/>
      <c r="J29" s="652"/>
      <c r="K29" s="652"/>
      <c r="L29" s="652"/>
      <c r="M29" s="652"/>
      <c r="N29" s="652"/>
      <c r="O29" s="89"/>
    </row>
    <row r="30" spans="2:18" s="75" customFormat="1" ht="24.95" customHeight="1">
      <c r="B30" s="89"/>
      <c r="C30" s="168" t="s">
        <v>811</v>
      </c>
      <c r="D30" s="221"/>
      <c r="E30" s="221"/>
      <c r="F30" s="221"/>
      <c r="G30" s="221"/>
      <c r="H30" s="221"/>
      <c r="I30" s="220"/>
      <c r="J30" s="221"/>
      <c r="K30" s="221"/>
      <c r="L30" s="221"/>
      <c r="M30" s="221"/>
      <c r="N30" s="221"/>
      <c r="O30" s="89"/>
    </row>
    <row r="31" spans="2:18" s="75" customFormat="1" ht="24.95" customHeight="1">
      <c r="B31" s="89"/>
      <c r="C31" s="169" t="s">
        <v>153</v>
      </c>
      <c r="D31" s="71"/>
      <c r="E31" s="71"/>
      <c r="F31" s="71"/>
      <c r="G31" s="71"/>
      <c r="H31" s="71"/>
      <c r="I31" s="77"/>
      <c r="J31" s="188">
        <v>9504.7271259999998</v>
      </c>
      <c r="K31" s="188">
        <v>9504.7271259999998</v>
      </c>
      <c r="L31" s="188">
        <v>9504.7271259999998</v>
      </c>
      <c r="M31" s="188">
        <v>9504.7271259999998</v>
      </c>
      <c r="N31" s="188">
        <v>9504.7271259999998</v>
      </c>
      <c r="O31" s="89"/>
    </row>
    <row r="32" spans="2:18" s="75" customFormat="1" ht="24.95" hidden="1" customHeight="1">
      <c r="B32" s="89"/>
      <c r="C32" s="169" t="s">
        <v>154</v>
      </c>
      <c r="D32" s="71"/>
      <c r="E32" s="71"/>
      <c r="F32" s="71"/>
      <c r="G32" s="71"/>
      <c r="H32" s="188">
        <v>130</v>
      </c>
      <c r="I32" s="77"/>
      <c r="J32" s="188">
        <v>130</v>
      </c>
      <c r="K32" s="188">
        <v>130</v>
      </c>
      <c r="L32" s="188">
        <v>130</v>
      </c>
      <c r="M32" s="188">
        <v>130</v>
      </c>
      <c r="N32" s="650"/>
      <c r="O32" s="89"/>
    </row>
    <row r="33" spans="2:18" s="75" customFormat="1" ht="24.95" customHeight="1">
      <c r="B33" s="89"/>
      <c r="C33" s="651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89"/>
    </row>
    <row r="34" spans="2:18" s="75" customFormat="1" ht="24.95" customHeight="1">
      <c r="B34" s="89"/>
      <c r="C34" s="168" t="s">
        <v>809</v>
      </c>
      <c r="D34" s="71">
        <f>IS!E43</f>
        <v>2662.44</v>
      </c>
      <c r="E34" s="71">
        <f>IS!F43</f>
        <v>3704.21</v>
      </c>
      <c r="F34" s="71">
        <f>IS!G43</f>
        <v>5171.3999999999996</v>
      </c>
      <c r="G34" s="71">
        <f>IS!H43</f>
        <v>6990.92</v>
      </c>
      <c r="H34" s="71">
        <f>IS!I43</f>
        <v>8341.7551000000003</v>
      </c>
      <c r="I34" s="77"/>
      <c r="J34" s="188">
        <f ca="1">J35*IS!J39</f>
        <v>6823.6395999943261</v>
      </c>
      <c r="K34" s="188">
        <f ca="1">K35*IS!K39</f>
        <v>8042.7315062402668</v>
      </c>
      <c r="L34" s="188">
        <f ca="1">L35*IS!L39</f>
        <v>9509.4223646476912</v>
      </c>
      <c r="M34" s="188">
        <f ca="1">M35*IS!M39</f>
        <v>11254.121949380693</v>
      </c>
      <c r="N34" s="188">
        <f ca="1">N35*IS!N39</f>
        <v>13232.020253223525</v>
      </c>
      <c r="O34" s="89"/>
    </row>
    <row r="35" spans="2:18" s="75" customFormat="1" ht="24.95" customHeight="1">
      <c r="B35" s="89"/>
      <c r="C35" s="169" t="s">
        <v>155</v>
      </c>
      <c r="D35" s="55">
        <f>IS!E44</f>
        <v>0.1118202435951281</v>
      </c>
      <c r="E35" s="55">
        <f>IS!F44</f>
        <v>0.12859161285843226</v>
      </c>
      <c r="F35" s="55">
        <f>IS!G44</f>
        <v>0.12584012653607493</v>
      </c>
      <c r="G35" s="55">
        <f>IS!H44</f>
        <v>9.7761431967556989E-2</v>
      </c>
      <c r="H35" s="55">
        <f>IS!I44</f>
        <v>0.10596876357677308</v>
      </c>
      <c r="I35" s="55"/>
      <c r="J35" s="72">
        <v>0.1</v>
      </c>
      <c r="K35" s="72">
        <v>0.1</v>
      </c>
      <c r="L35" s="72">
        <v>0.1</v>
      </c>
      <c r="M35" s="72">
        <v>0.1</v>
      </c>
      <c r="N35" s="72">
        <v>0.1</v>
      </c>
      <c r="O35" s="89"/>
    </row>
    <row r="36" spans="2:18" s="75" customFormat="1" ht="24.95" customHeight="1">
      <c r="B36" s="89"/>
      <c r="C36" s="651"/>
      <c r="D36" s="652"/>
      <c r="E36" s="652"/>
      <c r="F36" s="652"/>
      <c r="G36" s="652"/>
      <c r="H36" s="652"/>
      <c r="I36" s="652"/>
      <c r="J36" s="652"/>
      <c r="K36" s="652"/>
      <c r="L36" s="652"/>
      <c r="M36" s="652"/>
      <c r="N36" s="652"/>
      <c r="O36" s="89"/>
    </row>
    <row r="37" spans="2:18" s="75" customFormat="1" ht="24.95" customHeight="1">
      <c r="B37" s="89"/>
      <c r="C37" s="168" t="s">
        <v>810</v>
      </c>
      <c r="D37" s="71">
        <f>BS!D53</f>
        <v>80013</v>
      </c>
      <c r="E37" s="71">
        <f>BS!E53</f>
        <v>120035</v>
      </c>
      <c r="F37" s="71">
        <f>BS!F53</f>
        <v>174624</v>
      </c>
      <c r="G37" s="71">
        <f>BS!G53</f>
        <v>256074</v>
      </c>
      <c r="H37" s="71">
        <f>BS!H53</f>
        <v>323510</v>
      </c>
      <c r="I37" s="77"/>
      <c r="J37" s="188">
        <f ca="1">H37+IS!J45-(J23-H23)+J28+J25</f>
        <v>395398.58377488912</v>
      </c>
      <c r="K37" s="188">
        <f ca="1">J37+IS!K45-(K23-J23)+K28+K25</f>
        <v>480553.2915121367</v>
      </c>
      <c r="L37" s="188">
        <f ca="1">K37+IS!L45-(L23-K23)+L28+L25</f>
        <v>581326.45872033702</v>
      </c>
      <c r="M37" s="188">
        <f ca="1">L37+IS!M45-(M23-L23)+M28+M25</f>
        <v>700511.11948578525</v>
      </c>
      <c r="N37" s="188">
        <f ca="1">M37+IS!N45-(N23-M23)+N28+N25</f>
        <v>840549.16310105019</v>
      </c>
      <c r="O37" s="89" t="s">
        <v>4</v>
      </c>
    </row>
    <row r="38" spans="2:18" ht="6" customHeight="1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41" spans="2:18" s="11" customFormat="1" ht="6" customHeight="1">
      <c r="B41" s="19"/>
      <c r="C41" s="49"/>
      <c r="D41" s="50"/>
      <c r="E41" s="50"/>
      <c r="F41" s="50"/>
      <c r="G41" s="50"/>
      <c r="H41" s="51"/>
      <c r="I41" s="51"/>
      <c r="J41" s="51"/>
      <c r="K41" s="51"/>
      <c r="L41" s="51"/>
      <c r="M41" s="51"/>
      <c r="N41" s="51"/>
      <c r="O41" s="51"/>
      <c r="P41" s="14"/>
      <c r="Q41" s="14"/>
      <c r="R41" s="14"/>
    </row>
    <row r="42" spans="2:18" s="75" customFormat="1" ht="24.95" customHeight="1">
      <c r="B42" s="89"/>
      <c r="C42" s="189" t="s">
        <v>106</v>
      </c>
      <c r="D42" s="218"/>
      <c r="E42" s="653"/>
      <c r="F42" s="654"/>
      <c r="G42" s="654"/>
      <c r="H42" s="654"/>
      <c r="I42" s="654"/>
      <c r="J42" s="654"/>
      <c r="K42" s="654"/>
      <c r="L42" s="654"/>
      <c r="M42" s="654"/>
      <c r="N42" s="654"/>
      <c r="O42" s="89"/>
    </row>
    <row r="43" spans="2:18" s="75" customFormat="1" ht="24.95" customHeight="1">
      <c r="B43" s="89"/>
      <c r="C43" s="635" t="s">
        <v>139</v>
      </c>
      <c r="D43" s="636"/>
      <c r="E43" s="636"/>
      <c r="F43" s="636"/>
      <c r="G43" s="636"/>
      <c r="H43" s="637"/>
      <c r="I43" s="105">
        <v>0.05</v>
      </c>
      <c r="J43" s="695"/>
      <c r="K43" s="696"/>
      <c r="L43" s="696"/>
      <c r="M43" s="696"/>
      <c r="O43" s="89"/>
    </row>
    <row r="44" spans="2:18" s="75" customFormat="1" ht="24.95" customHeight="1">
      <c r="B44" s="89"/>
      <c r="C44" s="635" t="s">
        <v>140</v>
      </c>
      <c r="D44" s="636"/>
      <c r="E44" s="636"/>
      <c r="F44" s="636"/>
      <c r="G44" s="636"/>
      <c r="H44" s="637"/>
      <c r="I44" s="105">
        <v>2.5000000000000001E-2</v>
      </c>
      <c r="J44" s="697"/>
      <c r="K44" s="698"/>
      <c r="L44" s="698"/>
      <c r="M44" s="698"/>
      <c r="O44" s="89"/>
    </row>
    <row r="45" spans="2:18" s="75" customFormat="1" ht="24.95" customHeight="1">
      <c r="B45" s="89"/>
      <c r="C45" s="635" t="s">
        <v>219</v>
      </c>
      <c r="D45" s="636"/>
      <c r="E45" s="636"/>
      <c r="F45" s="636"/>
      <c r="G45" s="636"/>
      <c r="H45" s="637"/>
      <c r="I45" s="105">
        <v>3.5000000000000003E-2</v>
      </c>
      <c r="J45" s="697"/>
      <c r="K45" s="698"/>
      <c r="L45" s="698"/>
      <c r="M45" s="698"/>
      <c r="O45" s="89"/>
    </row>
    <row r="46" spans="2:18" s="75" customFormat="1" ht="24.95" customHeight="1">
      <c r="B46" s="89"/>
      <c r="C46" s="635" t="s">
        <v>254</v>
      </c>
      <c r="D46" s="636"/>
      <c r="E46" s="636"/>
      <c r="F46" s="636"/>
      <c r="G46" s="636"/>
      <c r="H46" s="637"/>
      <c r="I46" s="105">
        <v>0.5</v>
      </c>
      <c r="J46" s="697"/>
      <c r="K46" s="698"/>
      <c r="L46" s="698"/>
      <c r="M46" s="698"/>
      <c r="O46" s="89"/>
    </row>
    <row r="47" spans="2:18" s="75" customFormat="1" ht="24.95" customHeight="1">
      <c r="B47" s="89"/>
      <c r="C47" s="635" t="s">
        <v>142</v>
      </c>
      <c r="D47" s="636"/>
      <c r="E47" s="636"/>
      <c r="F47" s="636"/>
      <c r="G47" s="636"/>
      <c r="H47" s="637"/>
      <c r="I47" s="74">
        <v>0.04</v>
      </c>
      <c r="J47" s="697"/>
      <c r="K47" s="698"/>
      <c r="L47" s="698"/>
      <c r="M47" s="698"/>
      <c r="O47" s="89"/>
    </row>
    <row r="48" spans="2:18" s="75" customFormat="1" ht="24.95" customHeight="1">
      <c r="B48" s="89"/>
      <c r="C48" s="635" t="s">
        <v>143</v>
      </c>
      <c r="D48" s="636"/>
      <c r="E48" s="636"/>
      <c r="F48" s="636"/>
      <c r="G48" s="636"/>
      <c r="H48" s="637"/>
      <c r="I48" s="74">
        <v>0.2</v>
      </c>
      <c r="J48" s="697"/>
      <c r="K48" s="698"/>
      <c r="L48" s="698"/>
      <c r="M48" s="698"/>
      <c r="O48" s="89" t="s">
        <v>2</v>
      </c>
    </row>
    <row r="49" spans="2:15" s="75" customFormat="1" ht="24.95" customHeight="1">
      <c r="B49" s="89"/>
      <c r="C49" s="635" t="s">
        <v>144</v>
      </c>
      <c r="D49" s="636"/>
      <c r="E49" s="636"/>
      <c r="F49" s="636"/>
      <c r="G49" s="636"/>
      <c r="H49" s="637"/>
      <c r="I49" s="74">
        <v>4.4999999999999998E-2</v>
      </c>
      <c r="J49" s="697"/>
      <c r="K49" s="698"/>
      <c r="L49" s="698"/>
      <c r="M49" s="698"/>
      <c r="O49" s="89"/>
    </row>
    <row r="50" spans="2:15" s="75" customFormat="1" ht="24.95" customHeight="1">
      <c r="B50" s="89"/>
      <c r="C50" s="635" t="s">
        <v>145</v>
      </c>
      <c r="D50" s="636"/>
      <c r="E50" s="636"/>
      <c r="F50" s="636"/>
      <c r="G50" s="636"/>
      <c r="H50" s="637"/>
      <c r="I50" s="74">
        <v>1</v>
      </c>
      <c r="J50" s="697"/>
      <c r="K50" s="698"/>
      <c r="L50" s="698"/>
      <c r="M50" s="698"/>
      <c r="O50" s="89"/>
    </row>
    <row r="51" spans="2:15" ht="6" customHeight="1"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104" spans="15:15" s="3" customFormat="1">
      <c r="O104" s="3" t="s">
        <v>14</v>
      </c>
    </row>
    <row r="105" spans="15:15" s="1" customFormat="1"/>
    <row r="106" spans="15:15" s="1" customFormat="1"/>
    <row r="107" spans="15:15" s="1" customFormat="1"/>
    <row r="108" spans="15:15" s="1" customFormat="1"/>
    <row r="109" spans="15:15" s="1" customFormat="1"/>
    <row r="110" spans="15:15" s="1" customFormat="1"/>
    <row r="111" spans="15:15" s="1" customFormat="1"/>
    <row r="112" spans="15:15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</sheetData>
  <mergeCells count="1">
    <mergeCell ref="J43:M50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1086"/>
  <sheetViews>
    <sheetView showGridLines="0" zoomScale="85" zoomScaleNormal="85" workbookViewId="0">
      <pane ySplit="3" topLeftCell="A4" activePane="bottomLeft" state="frozen"/>
      <selection pane="bottomLeft" activeCell="R20" sqref="R20"/>
    </sheetView>
  </sheetViews>
  <sheetFormatPr defaultColWidth="9" defaultRowHeight="16.5"/>
  <cols>
    <col min="1" max="1" width="4.125" style="70" customWidth="1"/>
    <col min="2" max="2" width="1" style="69" customWidth="1"/>
    <col min="3" max="3" width="31.625" style="70" customWidth="1"/>
    <col min="4" max="12" width="12.625" style="70" customWidth="1"/>
    <col min="13" max="13" width="1" style="69" customWidth="1"/>
    <col min="14" max="14" width="9.875" style="70" customWidth="1"/>
    <col min="15" max="15" width="9" style="70"/>
    <col min="16" max="16" width="9.875" style="70" customWidth="1"/>
    <col min="17" max="16384" width="9" style="70"/>
  </cols>
  <sheetData>
    <row r="1" spans="2:17" s="69" customFormat="1" ht="12" customHeight="1"/>
    <row r="2" spans="2:17" s="48" customFormat="1" ht="12" customHeight="1">
      <c r="C2" s="93"/>
      <c r="F2" s="94"/>
    </row>
    <row r="3" spans="2:17" s="48" customFormat="1" ht="12" customHeight="1">
      <c r="C3" s="95"/>
      <c r="D3" s="96"/>
      <c r="E3" s="96"/>
      <c r="F3" s="96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2:17" s="18" customFormat="1" ht="23.1" customHeight="1">
      <c r="C4" s="97"/>
      <c r="D4" s="98"/>
      <c r="E4" s="98"/>
      <c r="F4" s="9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2:17" s="18" customFormat="1" ht="6" customHeight="1">
      <c r="B5" s="48"/>
      <c r="C5" s="95"/>
      <c r="D5" s="96"/>
      <c r="E5" s="96"/>
      <c r="F5" s="96"/>
      <c r="G5" s="24"/>
      <c r="H5" s="24"/>
      <c r="I5" s="24"/>
      <c r="J5" s="24"/>
      <c r="K5" s="24"/>
      <c r="L5" s="24"/>
      <c r="M5" s="24"/>
      <c r="N5" s="16"/>
      <c r="O5" s="16"/>
      <c r="P5" s="16"/>
      <c r="Q5" s="16"/>
    </row>
    <row r="6" spans="2:17" s="68" customFormat="1" ht="24.95" customHeight="1">
      <c r="B6" s="69"/>
      <c r="C6" s="189" t="s">
        <v>273</v>
      </c>
      <c r="D6" s="154">
        <v>2015</v>
      </c>
      <c r="E6" s="154">
        <v>2016</v>
      </c>
      <c r="F6" s="154">
        <v>2017</v>
      </c>
      <c r="G6" s="154" t="s">
        <v>37</v>
      </c>
      <c r="H6" s="154" t="s">
        <v>38</v>
      </c>
      <c r="I6" s="154" t="s">
        <v>128</v>
      </c>
      <c r="J6" s="154" t="s">
        <v>151</v>
      </c>
      <c r="K6" s="154" t="s">
        <v>152</v>
      </c>
      <c r="L6" s="154" t="s">
        <v>1062</v>
      </c>
      <c r="M6" s="99"/>
      <c r="N6" s="80"/>
    </row>
    <row r="7" spans="2:17" s="68" customFormat="1" ht="24.95" customHeight="1">
      <c r="B7" s="69"/>
      <c r="C7" s="81" t="s">
        <v>111</v>
      </c>
      <c r="D7" s="104">
        <f t="shared" ref="D7" si="0">D17</f>
        <v>5208</v>
      </c>
      <c r="E7" s="104">
        <f t="shared" ref="E7:F7" si="1">E17</f>
        <v>7626</v>
      </c>
      <c r="F7" s="104">
        <f t="shared" si="1"/>
        <v>14547</v>
      </c>
      <c r="G7" s="210">
        <f>F7*(1+IS!I12)</f>
        <v>19131.72786843876</v>
      </c>
      <c r="H7" s="210">
        <f ca="1">G7*(1+IS!J12)</f>
        <v>23738.824837878179</v>
      </c>
      <c r="I7" s="210">
        <f ca="1">H7*(1+IS!K12)</f>
        <v>28937.832807163973</v>
      </c>
      <c r="J7" s="210">
        <f ca="1">I7*(1+IS!L12)</f>
        <v>34417.707107528266</v>
      </c>
      <c r="K7" s="210">
        <f ca="1">J7*(1+IS!M12)</f>
        <v>40556.903347323103</v>
      </c>
      <c r="L7" s="210">
        <f ca="1">K7*(1+IS!N12)</f>
        <v>47473.585697758652</v>
      </c>
      <c r="M7" s="99"/>
      <c r="N7" s="80"/>
      <c r="O7" s="80"/>
      <c r="P7" s="80"/>
    </row>
    <row r="8" spans="2:17" s="68" customFormat="1" ht="24.95" customHeight="1">
      <c r="B8" s="69"/>
      <c r="C8" s="81" t="s">
        <v>228</v>
      </c>
      <c r="D8" s="104">
        <f t="shared" ref="D8" si="2">D30</f>
        <v>7611</v>
      </c>
      <c r="E8" s="104">
        <f t="shared" ref="E8:F8" si="3">E30</f>
        <v>31958</v>
      </c>
      <c r="F8" s="104">
        <f t="shared" si="3"/>
        <v>22421</v>
      </c>
      <c r="G8" s="210">
        <f>F8*(1+IS!I12*0.8)</f>
        <v>28074.07945491252</v>
      </c>
      <c r="H8" s="210">
        <f ca="1">G8*(1+IS!J12*0.8)</f>
        <v>33482.477787397627</v>
      </c>
      <c r="I8" s="210">
        <f ca="1">H8*(1+IS!K12*0.8)</f>
        <v>39348.839582033936</v>
      </c>
      <c r="J8" s="210">
        <f ca="1">I8*(1+IS!L12*0.8)</f>
        <v>45309.94098756458</v>
      </c>
      <c r="K8" s="210">
        <f ca="1">J8*(1+IS!M12*0.8)</f>
        <v>51775.603989858842</v>
      </c>
      <c r="L8" s="210">
        <f ca="1">K8*(1+IS!N12*0.8)</f>
        <v>58839.563547775804</v>
      </c>
      <c r="M8" s="99"/>
      <c r="N8" s="80"/>
    </row>
    <row r="9" spans="2:17" s="68" customFormat="1" ht="24.95" customHeight="1">
      <c r="B9" s="69"/>
      <c r="C9" s="81" t="s">
        <v>800</v>
      </c>
      <c r="D9" s="104">
        <f>D43</f>
        <v>1581</v>
      </c>
      <c r="E9" s="104">
        <f t="shared" ref="E9:F9" si="4">E43</f>
        <v>2976</v>
      </c>
      <c r="F9" s="104">
        <f t="shared" si="4"/>
        <v>46</v>
      </c>
      <c r="G9" s="210">
        <v>1000</v>
      </c>
      <c r="H9" s="210">
        <f ca="1">G9*(1+IS!J12)</f>
        <v>1240.8092463535222</v>
      </c>
      <c r="I9" s="210">
        <f ca="1">H9*(1+IS!K12)</f>
        <v>1512.5572037276438</v>
      </c>
      <c r="J9" s="210">
        <f ca="1">I9*(1+IS!L12)</f>
        <v>1798.9858179148825</v>
      </c>
      <c r="K9" s="210">
        <f ca="1">J9*(1+IS!M12)</f>
        <v>2119.8766586173865</v>
      </c>
      <c r="L9" s="210">
        <f ca="1">K9*(1+IS!N12)</f>
        <v>2481.4060718517167</v>
      </c>
      <c r="M9" s="99"/>
      <c r="N9" s="80"/>
    </row>
    <row r="10" spans="2:17" s="68" customFormat="1" ht="24.95" customHeight="1">
      <c r="B10" s="69"/>
      <c r="C10" s="81" t="s">
        <v>799</v>
      </c>
      <c r="D10" s="104">
        <f t="shared" ref="D10:F10" si="5">SUM(D7:D9)</f>
        <v>14400</v>
      </c>
      <c r="E10" s="104">
        <f t="shared" si="5"/>
        <v>42560</v>
      </c>
      <c r="F10" s="104">
        <f t="shared" si="5"/>
        <v>37014</v>
      </c>
      <c r="G10" s="104">
        <f>SUM(G7:G9)</f>
        <v>48205.807323351284</v>
      </c>
      <c r="H10" s="104">
        <f t="shared" ref="H10:L10" ca="1" si="6">SUM(H7:H9)</f>
        <v>58462.111871629328</v>
      </c>
      <c r="I10" s="104">
        <f t="shared" ca="1" si="6"/>
        <v>69799.229592925549</v>
      </c>
      <c r="J10" s="104">
        <f t="shared" ca="1" si="6"/>
        <v>81526.633913007739</v>
      </c>
      <c r="K10" s="104">
        <f t="shared" ca="1" si="6"/>
        <v>94452.383995799333</v>
      </c>
      <c r="L10" s="104">
        <f t="shared" ca="1" si="6"/>
        <v>108794.55531738617</v>
      </c>
      <c r="M10" s="99"/>
      <c r="N10" s="80"/>
    </row>
    <row r="11" spans="2:17" s="68" customFormat="1" ht="6" customHeight="1">
      <c r="B11" s="69"/>
      <c r="C11" s="69"/>
      <c r="D11" s="101"/>
      <c r="E11" s="101"/>
      <c r="F11" s="101"/>
      <c r="G11" s="101"/>
      <c r="H11" s="101"/>
      <c r="I11" s="101"/>
      <c r="J11" s="101"/>
      <c r="K11" s="101"/>
      <c r="L11" s="101"/>
      <c r="M11" s="99"/>
      <c r="N11" s="80"/>
    </row>
    <row r="12" spans="2:17" customFormat="1" ht="13.5">
      <c r="E12" s="205"/>
    </row>
    <row r="13" spans="2:17" customFormat="1" ht="13.5">
      <c r="E13" s="205"/>
      <c r="F13" s="206"/>
    </row>
    <row r="14" spans="2:17" s="11" customFormat="1" ht="6" customHeight="1">
      <c r="B14" s="19"/>
      <c r="C14" s="49"/>
      <c r="D14" s="50"/>
      <c r="E14" s="50"/>
      <c r="F14" s="50"/>
      <c r="G14" s="51"/>
      <c r="H14" s="51"/>
      <c r="I14" s="51"/>
      <c r="J14" s="51"/>
      <c r="K14" s="51"/>
      <c r="L14" s="51"/>
      <c r="M14" s="51"/>
      <c r="N14" s="14"/>
      <c r="O14" s="14"/>
      <c r="P14" s="14"/>
      <c r="Q14" s="14"/>
    </row>
    <row r="15" spans="2:17" s="75" customFormat="1" ht="24.95" customHeight="1">
      <c r="B15" s="89"/>
      <c r="C15" s="189" t="s">
        <v>134</v>
      </c>
      <c r="D15" s="154">
        <v>2015</v>
      </c>
      <c r="E15" s="154">
        <v>2016</v>
      </c>
      <c r="F15" s="154">
        <v>2017</v>
      </c>
      <c r="G15" s="154" t="s">
        <v>37</v>
      </c>
      <c r="H15" s="154" t="s">
        <v>38</v>
      </c>
      <c r="I15" s="154" t="s">
        <v>128</v>
      </c>
      <c r="J15" s="154" t="s">
        <v>151</v>
      </c>
      <c r="K15" s="154" t="s">
        <v>152</v>
      </c>
      <c r="L15" s="154" t="s">
        <v>1062</v>
      </c>
      <c r="M15" s="69"/>
    </row>
    <row r="16" spans="2:17" s="75" customFormat="1" ht="24.95" customHeight="1">
      <c r="B16" s="89"/>
      <c r="C16" s="168" t="s">
        <v>130</v>
      </c>
      <c r="D16" s="211">
        <f>BS!D16</f>
        <v>7918</v>
      </c>
      <c r="E16" s="211">
        <f>BS!E16</f>
        <v>9973</v>
      </c>
      <c r="F16" s="211">
        <f>BS!F16</f>
        <v>13900</v>
      </c>
      <c r="G16" s="207">
        <f>F22</f>
        <v>23597</v>
      </c>
      <c r="H16" s="207">
        <f t="shared" ref="H16:L16" si="7">G22</f>
        <v>34597.442950454235</v>
      </c>
      <c r="I16" s="207">
        <f t="shared" ca="1" si="7"/>
        <v>46917.377486299738</v>
      </c>
      <c r="J16" s="207">
        <f t="shared" ca="1" si="7"/>
        <v>60749.785427719646</v>
      </c>
      <c r="K16" s="207">
        <f t="shared" ca="1" si="7"/>
        <v>75964.647015773022</v>
      </c>
      <c r="L16" s="207">
        <f t="shared" ca="1" si="7"/>
        <v>92798.749885298501</v>
      </c>
      <c r="M16" s="69"/>
    </row>
    <row r="17" spans="2:17" s="75" customFormat="1" ht="24.95" customHeight="1">
      <c r="B17" s="89"/>
      <c r="C17" s="169" t="s">
        <v>202</v>
      </c>
      <c r="D17" s="211">
        <f t="shared" ref="D17:F17" si="8">D22-D16+D19</f>
        <v>5208</v>
      </c>
      <c r="E17" s="211">
        <f t="shared" si="8"/>
        <v>7626</v>
      </c>
      <c r="F17" s="211">
        <f t="shared" si="8"/>
        <v>14547</v>
      </c>
      <c r="G17" s="209">
        <f t="shared" ref="G17:L17" si="9">G7</f>
        <v>19131.72786843876</v>
      </c>
      <c r="H17" s="209">
        <f t="shared" ca="1" si="9"/>
        <v>23738.824837878179</v>
      </c>
      <c r="I17" s="209">
        <f t="shared" ca="1" si="9"/>
        <v>28937.832807163973</v>
      </c>
      <c r="J17" s="209">
        <f t="shared" ca="1" si="9"/>
        <v>34417.707107528266</v>
      </c>
      <c r="K17" s="209">
        <f t="shared" ca="1" si="9"/>
        <v>40556.903347323103</v>
      </c>
      <c r="L17" s="209">
        <f t="shared" ca="1" si="9"/>
        <v>47473.585697758652</v>
      </c>
      <c r="M17" s="69"/>
    </row>
    <row r="18" spans="2:17" s="75" customFormat="1" ht="24.95" customHeight="1">
      <c r="B18" s="89"/>
      <c r="C18" s="169"/>
      <c r="D18" s="212"/>
      <c r="E18" s="225"/>
      <c r="F18" s="225"/>
      <c r="G18" s="207"/>
      <c r="H18" s="207"/>
      <c r="I18" s="207"/>
      <c r="J18" s="207"/>
      <c r="K18" s="207"/>
      <c r="L18" s="207"/>
      <c r="M18" s="69"/>
    </row>
    <row r="19" spans="2:17" s="75" customFormat="1" ht="24.95" customHeight="1">
      <c r="B19" s="89"/>
      <c r="C19" s="169" t="s">
        <v>131</v>
      </c>
      <c r="D19" s="211">
        <v>3153</v>
      </c>
      <c r="E19" s="211">
        <v>3699</v>
      </c>
      <c r="F19" s="211">
        <v>4850</v>
      </c>
      <c r="G19" s="226">
        <f>(G16+(G17-G23)/1.5)*G20</f>
        <v>8131.2849179845216</v>
      </c>
      <c r="H19" s="226">
        <f t="shared" ref="H19:K19" ca="1" si="10">(H16+(H17-H23)/1.5)*H20</f>
        <v>11418.89030203268</v>
      </c>
      <c r="I19" s="226">
        <f t="shared" ca="1" si="10"/>
        <v>15105.424865744064</v>
      </c>
      <c r="J19" s="226">
        <f t="shared" ca="1" si="10"/>
        <v>19202.845519474875</v>
      </c>
      <c r="K19" s="226">
        <f t="shared" ca="1" si="10"/>
        <v>23722.800477797617</v>
      </c>
      <c r="L19" s="226">
        <f t="shared" ref="L19" ca="1" si="11">(L16+(L17-L23)/1.5)*L20</f>
        <v>28738.272469396466</v>
      </c>
      <c r="M19" s="69"/>
    </row>
    <row r="20" spans="2:17" s="75" customFormat="1" ht="24.95" customHeight="1">
      <c r="B20" s="89"/>
      <c r="C20" s="208" t="s">
        <v>132</v>
      </c>
      <c r="D20" s="213">
        <f t="shared" ref="D20:E20" si="12">D19/(D16+(D17-D23)/2)</f>
        <v>0.37544653488925933</v>
      </c>
      <c r="E20" s="213">
        <f t="shared" si="12"/>
        <v>0.32308498558826099</v>
      </c>
      <c r="F20" s="213">
        <f>F19/(F16+(F17-F23)/2)</f>
        <v>0.24755002041649654</v>
      </c>
      <c r="G20" s="72">
        <v>0.25</v>
      </c>
      <c r="H20" s="72">
        <v>0.25</v>
      </c>
      <c r="I20" s="72">
        <v>0.25</v>
      </c>
      <c r="J20" s="72">
        <v>0.25</v>
      </c>
      <c r="K20" s="72">
        <v>0.25</v>
      </c>
      <c r="L20" s="72">
        <v>0.25</v>
      </c>
      <c r="M20" s="69"/>
    </row>
    <row r="21" spans="2:17" s="75" customFormat="1" ht="24.95" customHeight="1">
      <c r="B21" s="89"/>
      <c r="C21" s="169"/>
      <c r="D21" s="212"/>
      <c r="E21" s="212"/>
      <c r="F21" s="212"/>
      <c r="G21" s="207"/>
      <c r="H21" s="207"/>
      <c r="I21" s="207"/>
      <c r="J21" s="207"/>
      <c r="K21" s="207"/>
      <c r="L21" s="207"/>
      <c r="M21" s="69"/>
    </row>
    <row r="22" spans="2:17" s="75" customFormat="1" ht="24.95" customHeight="1">
      <c r="B22" s="89"/>
      <c r="C22" s="168" t="s">
        <v>129</v>
      </c>
      <c r="D22" s="211">
        <f>BS!E16</f>
        <v>9973</v>
      </c>
      <c r="E22" s="211">
        <f>BS!F16</f>
        <v>13900</v>
      </c>
      <c r="F22" s="211">
        <f>BS!G16</f>
        <v>23597</v>
      </c>
      <c r="G22" s="211">
        <f>G16+G17-G19</f>
        <v>34597.442950454235</v>
      </c>
      <c r="H22" s="211">
        <f t="shared" ref="H22:L22" ca="1" si="13">H16+H17-H19</f>
        <v>46917.377486299738</v>
      </c>
      <c r="I22" s="211">
        <f t="shared" ca="1" si="13"/>
        <v>60749.785427719646</v>
      </c>
      <c r="J22" s="211">
        <f t="shared" ca="1" si="13"/>
        <v>75964.647015773022</v>
      </c>
      <c r="K22" s="211">
        <f t="shared" ca="1" si="13"/>
        <v>92798.749885298501</v>
      </c>
      <c r="L22" s="211">
        <f t="shared" ca="1" si="13"/>
        <v>111534.06311366067</v>
      </c>
      <c r="M22" s="69"/>
    </row>
    <row r="23" spans="2:17" s="75" customFormat="1" ht="24.95" customHeight="1">
      <c r="B23" s="89"/>
      <c r="C23" s="169" t="s">
        <v>141</v>
      </c>
      <c r="D23" s="211">
        <f>BS!E17</f>
        <v>4248</v>
      </c>
      <c r="E23" s="211">
        <f>BS!F17</f>
        <v>4674</v>
      </c>
      <c r="F23" s="211">
        <f>BS!G17</f>
        <v>3163</v>
      </c>
      <c r="G23" s="252">
        <f>G17*0.3</f>
        <v>5739.5183605316279</v>
      </c>
      <c r="H23" s="252">
        <f t="shared" ref="H23:K23" ca="1" si="14">H17*0.3</f>
        <v>7121.6474513634539</v>
      </c>
      <c r="I23" s="252">
        <f t="shared" ca="1" si="14"/>
        <v>8681.3498421491913</v>
      </c>
      <c r="J23" s="252">
        <f t="shared" ca="1" si="14"/>
        <v>10325.312132258479</v>
      </c>
      <c r="K23" s="252">
        <f t="shared" ca="1" si="14"/>
        <v>12167.071004196931</v>
      </c>
      <c r="L23" s="252">
        <f t="shared" ref="L23" ca="1" si="15">L17*0.3</f>
        <v>14242.075709327595</v>
      </c>
      <c r="M23" s="69"/>
    </row>
    <row r="24" spans="2:17" customFormat="1" ht="6" customHeight="1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"/>
    </row>
    <row r="25" spans="2:17" customFormat="1" ht="13.5"/>
    <row r="26" spans="2:17" customFormat="1" ht="13.5">
      <c r="E26" s="205"/>
      <c r="F26" s="206"/>
    </row>
    <row r="27" spans="2:17" s="11" customFormat="1" ht="6" customHeight="1">
      <c r="B27" s="19"/>
      <c r="C27" s="49"/>
      <c r="D27" s="50"/>
      <c r="E27" s="50"/>
      <c r="F27" s="50"/>
      <c r="G27" s="51"/>
      <c r="H27" s="51"/>
      <c r="I27" s="51"/>
      <c r="J27" s="51"/>
      <c r="K27" s="51"/>
      <c r="L27" s="51"/>
      <c r="M27" s="51"/>
      <c r="N27" s="14"/>
      <c r="O27" s="14"/>
      <c r="P27" s="14"/>
      <c r="Q27" s="14"/>
    </row>
    <row r="28" spans="2:17" s="75" customFormat="1" ht="24.95" customHeight="1">
      <c r="B28" s="89"/>
      <c r="C28" s="189" t="s">
        <v>203</v>
      </c>
      <c r="D28" s="154">
        <v>2015</v>
      </c>
      <c r="E28" s="154">
        <v>2016</v>
      </c>
      <c r="F28" s="154">
        <v>2017</v>
      </c>
      <c r="G28" s="154" t="s">
        <v>37</v>
      </c>
      <c r="H28" s="154" t="s">
        <v>38</v>
      </c>
      <c r="I28" s="154" t="s">
        <v>128</v>
      </c>
      <c r="J28" s="154" t="s">
        <v>151</v>
      </c>
      <c r="K28" s="154" t="s">
        <v>152</v>
      </c>
      <c r="L28" s="154" t="s">
        <v>1062</v>
      </c>
      <c r="M28" s="69"/>
    </row>
    <row r="29" spans="2:17" s="75" customFormat="1" ht="24.95" customHeight="1">
      <c r="B29" s="89"/>
      <c r="C29" s="168" t="s">
        <v>130</v>
      </c>
      <c r="D29" s="211">
        <f>BS!D20</f>
        <v>9304</v>
      </c>
      <c r="E29" s="211">
        <f>BS!E20</f>
        <v>13439</v>
      </c>
      <c r="F29" s="211">
        <f>BS!F20</f>
        <v>36467</v>
      </c>
      <c r="G29" s="207">
        <f>F35</f>
        <v>40266</v>
      </c>
      <c r="H29" s="207">
        <f t="shared" ref="H29" si="16">G35</f>
        <v>44343.56828523078</v>
      </c>
      <c r="I29" s="207">
        <f t="shared" ref="I29" ca="1" si="17">H35</f>
        <v>52293.782852536569</v>
      </c>
      <c r="J29" s="207">
        <f t="shared" ref="J29" ca="1" si="18">I35</f>
        <v>59952.072258687593</v>
      </c>
      <c r="K29" s="207">
        <f t="shared" ref="K29:L29" ca="1" si="19">J35</f>
        <v>67803.683070137427</v>
      </c>
      <c r="L29" s="207">
        <f t="shared" ca="1" si="19"/>
        <v>76243.201648070812</v>
      </c>
      <c r="M29" s="69"/>
    </row>
    <row r="30" spans="2:17" s="75" customFormat="1" ht="24.95" customHeight="1">
      <c r="B30" s="89"/>
      <c r="C30" s="169" t="s">
        <v>138</v>
      </c>
      <c r="D30" s="211">
        <f t="shared" ref="D30" si="20">D35-D29+D32</f>
        <v>7611</v>
      </c>
      <c r="E30" s="211">
        <f t="shared" ref="E30:F30" si="21">E35-E29+E32</f>
        <v>31958</v>
      </c>
      <c r="F30" s="211">
        <f t="shared" si="21"/>
        <v>22421</v>
      </c>
      <c r="G30" s="209">
        <f t="shared" ref="G30:L30" si="22">G8</f>
        <v>28074.07945491252</v>
      </c>
      <c r="H30" s="209">
        <f t="shared" ca="1" si="22"/>
        <v>33482.477787397627</v>
      </c>
      <c r="I30" s="209">
        <f t="shared" ca="1" si="22"/>
        <v>39348.839582033936</v>
      </c>
      <c r="J30" s="209">
        <f t="shared" ca="1" si="22"/>
        <v>45309.94098756458</v>
      </c>
      <c r="K30" s="209">
        <f t="shared" ca="1" si="22"/>
        <v>51775.603989858842</v>
      </c>
      <c r="L30" s="209">
        <f t="shared" ca="1" si="22"/>
        <v>58839.563547775804</v>
      </c>
      <c r="M30" s="69"/>
    </row>
    <row r="31" spans="2:17" s="75" customFormat="1" ht="24.95" customHeight="1">
      <c r="B31" s="89"/>
      <c r="C31" s="169"/>
      <c r="D31" s="211"/>
      <c r="E31" s="212"/>
      <c r="F31" s="212"/>
      <c r="G31" s="207"/>
      <c r="H31" s="207"/>
      <c r="I31" s="207"/>
      <c r="J31" s="207"/>
      <c r="K31" s="207"/>
      <c r="L31" s="207"/>
      <c r="M31" s="69"/>
    </row>
    <row r="32" spans="2:17" s="75" customFormat="1" ht="24.95" customHeight="1">
      <c r="B32" s="89"/>
      <c r="C32" s="169" t="s">
        <v>137</v>
      </c>
      <c r="D32" s="211">
        <v>3476</v>
      </c>
      <c r="E32" s="211">
        <v>8930</v>
      </c>
      <c r="F32" s="211">
        <v>18622</v>
      </c>
      <c r="G32" s="226">
        <f>((G29-F36)+(G30-(G36-F36))/1.7)*G33</f>
        <v>23996.511169681737</v>
      </c>
      <c r="H32" s="226">
        <f t="shared" ref="H32:L32" ca="1" si="23">((H29-G36)+(H30-(H36-G36))/2)*H33</f>
        <v>25532.263220091838</v>
      </c>
      <c r="I32" s="226">
        <f t="shared" ca="1" si="23"/>
        <v>31690.550175882916</v>
      </c>
      <c r="J32" s="226">
        <f t="shared" ca="1" si="23"/>
        <v>37458.330176114752</v>
      </c>
      <c r="K32" s="226">
        <f t="shared" ca="1" si="23"/>
        <v>43336.085411925465</v>
      </c>
      <c r="L32" s="226">
        <f t="shared" ca="1" si="23"/>
        <v>49634.468090158814</v>
      </c>
      <c r="M32" s="69"/>
      <c r="N32" s="253"/>
    </row>
    <row r="33" spans="2:17" s="75" customFormat="1" ht="24.95" customHeight="1">
      <c r="B33" s="89"/>
      <c r="C33" s="208" t="s">
        <v>148</v>
      </c>
      <c r="D33" s="213"/>
      <c r="E33" s="213">
        <f>E32/((E29-D36)+(E30-(E36-D36))/2)</f>
        <v>0.62113097308200593</v>
      </c>
      <c r="F33" s="213">
        <f>F32/((F29-E36)+(F30-(F36-E36))/2)</f>
        <v>0.76288406390823438</v>
      </c>
      <c r="G33" s="72">
        <v>0.755</v>
      </c>
      <c r="H33" s="72">
        <v>0.755</v>
      </c>
      <c r="I33" s="72">
        <v>0.755</v>
      </c>
      <c r="J33" s="72">
        <v>0.755</v>
      </c>
      <c r="K33" s="72">
        <v>0.755</v>
      </c>
      <c r="L33" s="72">
        <v>0.755</v>
      </c>
      <c r="M33" s="69"/>
    </row>
    <row r="34" spans="2:17" ht="24.95" customHeight="1">
      <c r="C34" s="30"/>
      <c r="D34" s="214"/>
      <c r="E34" s="214"/>
      <c r="F34" s="214"/>
      <c r="G34" s="104"/>
      <c r="H34" s="104"/>
      <c r="I34" s="104"/>
      <c r="J34" s="104"/>
      <c r="K34" s="104"/>
      <c r="L34" s="104"/>
    </row>
    <row r="35" spans="2:17" s="75" customFormat="1" ht="24.95" customHeight="1">
      <c r="B35" s="89"/>
      <c r="C35" s="168" t="s">
        <v>129</v>
      </c>
      <c r="D35" s="211">
        <f>BS!E20</f>
        <v>13439</v>
      </c>
      <c r="E35" s="211">
        <f>BS!F20</f>
        <v>36467</v>
      </c>
      <c r="F35" s="211">
        <f>BS!G20</f>
        <v>40266</v>
      </c>
      <c r="G35" s="211">
        <f>G29+G30-G32</f>
        <v>44343.56828523078</v>
      </c>
      <c r="H35" s="211">
        <f t="shared" ref="H35:K35" ca="1" si="24">H29+H30-H32</f>
        <v>52293.782852536569</v>
      </c>
      <c r="I35" s="211">
        <f t="shared" ca="1" si="24"/>
        <v>59952.072258687593</v>
      </c>
      <c r="J35" s="211">
        <f t="shared" ca="1" si="24"/>
        <v>67803.683070137427</v>
      </c>
      <c r="K35" s="211">
        <f t="shared" ca="1" si="24"/>
        <v>76243.201648070812</v>
      </c>
      <c r="L35" s="211">
        <f t="shared" ref="L35" ca="1" si="25">L29+L30-L32</f>
        <v>85448.297105687801</v>
      </c>
      <c r="M35" s="69"/>
    </row>
    <row r="36" spans="2:17" s="75" customFormat="1" ht="24.95" customHeight="1">
      <c r="B36" s="89"/>
      <c r="C36" s="169" t="s">
        <v>229</v>
      </c>
      <c r="D36" s="211">
        <v>7155</v>
      </c>
      <c r="E36" s="211">
        <v>22927</v>
      </c>
      <c r="F36" s="211">
        <v>23608</v>
      </c>
      <c r="G36" s="252">
        <f>F36*1.1</f>
        <v>25968.800000000003</v>
      </c>
      <c r="H36" s="252">
        <f t="shared" ref="H36:L36" si="26">G36*1.1</f>
        <v>28565.680000000004</v>
      </c>
      <c r="I36" s="252">
        <f t="shared" si="26"/>
        <v>31422.248000000007</v>
      </c>
      <c r="J36" s="252">
        <f t="shared" si="26"/>
        <v>34564.47280000001</v>
      </c>
      <c r="K36" s="252">
        <f t="shared" si="26"/>
        <v>38020.920080000018</v>
      </c>
      <c r="L36" s="252">
        <f t="shared" si="26"/>
        <v>41823.012088000025</v>
      </c>
      <c r="M36" s="69"/>
    </row>
    <row r="37" spans="2:17" customFormat="1" ht="6" customHeight="1"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"/>
    </row>
    <row r="38" spans="2:17" customFormat="1" ht="13.5"/>
    <row r="39" spans="2:17" customFormat="1" ht="13.5">
      <c r="E39" s="205"/>
      <c r="F39" s="206"/>
    </row>
    <row r="40" spans="2:17" s="11" customFormat="1" ht="6" customHeight="1">
      <c r="B40" s="19"/>
      <c r="C40" s="49"/>
      <c r="D40" s="50"/>
      <c r="E40" s="50"/>
      <c r="F40" s="50"/>
      <c r="G40" s="51"/>
      <c r="H40" s="51"/>
      <c r="I40" s="51"/>
      <c r="J40" s="51"/>
      <c r="K40" s="51"/>
      <c r="L40" s="51"/>
      <c r="M40" s="51"/>
      <c r="N40" s="14"/>
      <c r="O40" s="14"/>
      <c r="P40" s="14"/>
      <c r="Q40" s="14"/>
    </row>
    <row r="41" spans="2:17" s="75" customFormat="1" ht="24.95" customHeight="1">
      <c r="B41" s="89"/>
      <c r="C41" s="189" t="s">
        <v>798</v>
      </c>
      <c r="D41" s="154">
        <v>2015</v>
      </c>
      <c r="E41" s="154">
        <v>2016</v>
      </c>
      <c r="F41" s="154">
        <v>2017</v>
      </c>
      <c r="G41" s="154" t="s">
        <v>37</v>
      </c>
      <c r="H41" s="154" t="s">
        <v>38</v>
      </c>
      <c r="I41" s="154" t="s">
        <v>128</v>
      </c>
      <c r="J41" s="154" t="s">
        <v>151</v>
      </c>
      <c r="K41" s="154" t="s">
        <v>152</v>
      </c>
      <c r="L41" s="154" t="s">
        <v>1062</v>
      </c>
      <c r="M41" s="69"/>
    </row>
    <row r="42" spans="2:17" s="75" customFormat="1" ht="24.95" customHeight="1">
      <c r="B42" s="89"/>
      <c r="C42" s="168" t="s">
        <v>130</v>
      </c>
      <c r="D42" s="211">
        <f>BS!D19</f>
        <v>751</v>
      </c>
      <c r="E42" s="211">
        <f>BS!E19</f>
        <v>2293</v>
      </c>
      <c r="F42" s="211">
        <f>BS!F19</f>
        <v>5174</v>
      </c>
      <c r="G42" s="207">
        <f>F48</f>
        <v>5111</v>
      </c>
      <c r="H42" s="207">
        <f t="shared" ref="H42" si="27">G48</f>
        <v>5970.7250000000004</v>
      </c>
      <c r="I42" s="207">
        <f t="shared" ref="I42" ca="1" si="28">H48</f>
        <v>7046.7560057741039</v>
      </c>
      <c r="J42" s="207">
        <f t="shared" ref="J42:L42" ca="1" si="29">I48</f>
        <v>8364.2373443108008</v>
      </c>
      <c r="K42" s="207">
        <f t="shared" ref="K42" ca="1" si="30">J48</f>
        <v>9931.6299058939785</v>
      </c>
      <c r="L42" s="207">
        <f t="shared" ca="1" si="29"/>
        <v>11776.717358631298</v>
      </c>
      <c r="M42" s="69"/>
    </row>
    <row r="43" spans="2:17" s="75" customFormat="1" ht="24.95" customHeight="1">
      <c r="B43" s="89"/>
      <c r="C43" s="169" t="s">
        <v>138</v>
      </c>
      <c r="D43" s="211">
        <f t="shared" ref="D43:F43" si="31">D48-D42+D45</f>
        <v>1581</v>
      </c>
      <c r="E43" s="211">
        <f t="shared" si="31"/>
        <v>2976</v>
      </c>
      <c r="F43" s="211">
        <f t="shared" si="31"/>
        <v>46</v>
      </c>
      <c r="G43" s="209">
        <f>G9</f>
        <v>1000</v>
      </c>
      <c r="H43" s="209">
        <f t="shared" ref="H43:K43" ca="1" si="32">H9</f>
        <v>1240.8092463535222</v>
      </c>
      <c r="I43" s="209">
        <f t="shared" ca="1" si="32"/>
        <v>1512.5572037276438</v>
      </c>
      <c r="J43" s="209">
        <f t="shared" ca="1" si="32"/>
        <v>1798.9858179148825</v>
      </c>
      <c r="K43" s="209">
        <f t="shared" ca="1" si="32"/>
        <v>2119.8766586173865</v>
      </c>
      <c r="L43" s="209">
        <f t="shared" ref="L43" ca="1" si="33">L9</f>
        <v>2481.4060718517167</v>
      </c>
      <c r="M43" s="69"/>
    </row>
    <row r="44" spans="2:17" s="75" customFormat="1" ht="24.95" customHeight="1">
      <c r="B44" s="89"/>
      <c r="C44" s="169"/>
      <c r="D44" s="211"/>
      <c r="E44" s="212"/>
      <c r="F44" s="212"/>
      <c r="G44" s="207"/>
      <c r="H44" s="207"/>
      <c r="I44" s="207"/>
      <c r="J44" s="207"/>
      <c r="K44" s="207"/>
      <c r="L44" s="207"/>
      <c r="M44" s="69"/>
    </row>
    <row r="45" spans="2:17" s="75" customFormat="1" ht="24.95" customHeight="1">
      <c r="B45" s="89"/>
      <c r="C45" s="169" t="s">
        <v>137</v>
      </c>
      <c r="D45" s="211">
        <v>39</v>
      </c>
      <c r="E45" s="211">
        <v>95</v>
      </c>
      <c r="F45" s="211">
        <v>109</v>
      </c>
      <c r="G45" s="226">
        <f>(G42+G43/2)*G46</f>
        <v>140.27500000000001</v>
      </c>
      <c r="H45" s="226">
        <f t="shared" ref="H45:K45" ca="1" si="34">(H42+H43/2)*H46</f>
        <v>164.77824057941905</v>
      </c>
      <c r="I45" s="226">
        <f t="shared" ca="1" si="34"/>
        <v>195.07586519094815</v>
      </c>
      <c r="J45" s="226">
        <f t="shared" ca="1" si="34"/>
        <v>231.59325633170607</v>
      </c>
      <c r="K45" s="226">
        <f t="shared" ca="1" si="34"/>
        <v>274.78920588006685</v>
      </c>
      <c r="L45" s="226">
        <f t="shared" ref="L45" ca="1" si="35">(L42+L43/2)*L46</f>
        <v>325.43550986392893</v>
      </c>
      <c r="M45" s="69"/>
      <c r="N45" s="253"/>
    </row>
    <row r="46" spans="2:17" s="75" customFormat="1" ht="24.95" customHeight="1">
      <c r="B46" s="89"/>
      <c r="C46" s="208" t="s">
        <v>148</v>
      </c>
      <c r="D46" s="213">
        <f>D45/(D42+D43/2)</f>
        <v>2.5300032435939021E-2</v>
      </c>
      <c r="E46" s="213">
        <f>E45/(E42+E43/2)</f>
        <v>2.5125628140703519E-2</v>
      </c>
      <c r="F46" s="213">
        <f>F45/(F42+F43/2)</f>
        <v>2.0973638637675582E-2</v>
      </c>
      <c r="G46" s="72">
        <v>2.5000000000000001E-2</v>
      </c>
      <c r="H46" s="72">
        <v>2.5000000000000001E-2</v>
      </c>
      <c r="I46" s="72">
        <v>2.5000000000000001E-2</v>
      </c>
      <c r="J46" s="72">
        <v>2.5000000000000001E-2</v>
      </c>
      <c r="K46" s="72">
        <v>2.5000000000000001E-2</v>
      </c>
      <c r="L46" s="72">
        <v>2.5000000000000001E-2</v>
      </c>
      <c r="M46" s="69"/>
    </row>
    <row r="47" spans="2:17" ht="24.95" customHeight="1">
      <c r="C47" s="30"/>
      <c r="D47" s="214"/>
      <c r="E47" s="214"/>
      <c r="F47" s="214"/>
      <c r="G47" s="104"/>
      <c r="H47" s="104"/>
      <c r="I47" s="104"/>
      <c r="J47" s="104"/>
      <c r="K47" s="104"/>
      <c r="L47" s="104"/>
    </row>
    <row r="48" spans="2:17" s="75" customFormat="1" ht="24.95" customHeight="1">
      <c r="B48" s="89"/>
      <c r="C48" s="168" t="s">
        <v>129</v>
      </c>
      <c r="D48" s="211">
        <f>BS!E19</f>
        <v>2293</v>
      </c>
      <c r="E48" s="211">
        <f>BS!F19</f>
        <v>5174</v>
      </c>
      <c r="F48" s="211">
        <f>BS!G19</f>
        <v>5111</v>
      </c>
      <c r="G48" s="211">
        <f>G42+G43-G45</f>
        <v>5970.7250000000004</v>
      </c>
      <c r="H48" s="211">
        <f t="shared" ref="H48:K48" ca="1" si="36">H42+H43-H45</f>
        <v>7046.7560057741039</v>
      </c>
      <c r="I48" s="211">
        <f t="shared" ca="1" si="36"/>
        <v>8364.2373443108008</v>
      </c>
      <c r="J48" s="211">
        <f t="shared" ca="1" si="36"/>
        <v>9931.6299058939785</v>
      </c>
      <c r="K48" s="211">
        <f t="shared" ca="1" si="36"/>
        <v>11776.717358631298</v>
      </c>
      <c r="L48" s="211">
        <f t="shared" ref="L48" ca="1" si="37">L42+L43-L45</f>
        <v>13932.687920619086</v>
      </c>
      <c r="M48" s="69"/>
    </row>
    <row r="49" spans="2:14" customFormat="1" ht="6" customHeight="1"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"/>
    </row>
    <row r="50" spans="2:14" customFormat="1" ht="13.5">
      <c r="E50" s="205"/>
      <c r="F50" s="205"/>
      <c r="G50" s="205"/>
    </row>
    <row r="51" spans="2:14" customFormat="1" ht="13.5">
      <c r="E51" s="205"/>
      <c r="F51" s="206"/>
    </row>
    <row r="52" spans="2:14" ht="6" customHeight="1"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spans="2:14" s="68" customFormat="1" ht="24.95" customHeight="1">
      <c r="B53" s="69"/>
      <c r="C53" s="189" t="s">
        <v>107</v>
      </c>
      <c r="D53" s="154">
        <v>2015</v>
      </c>
      <c r="E53" s="154">
        <v>2016</v>
      </c>
      <c r="F53" s="154">
        <v>2017</v>
      </c>
      <c r="G53" s="154" t="s">
        <v>37</v>
      </c>
      <c r="H53" s="154" t="s">
        <v>38</v>
      </c>
      <c r="I53" s="154" t="s">
        <v>128</v>
      </c>
      <c r="J53" s="154" t="s">
        <v>151</v>
      </c>
      <c r="K53" s="154" t="s">
        <v>152</v>
      </c>
      <c r="L53" s="154" t="s">
        <v>1062</v>
      </c>
      <c r="M53" s="99"/>
      <c r="N53" s="80"/>
    </row>
    <row r="54" spans="2:14" s="68" customFormat="1" ht="24.95" customHeight="1">
      <c r="B54" s="69"/>
      <c r="C54" s="81" t="s">
        <v>74</v>
      </c>
      <c r="D54" s="103">
        <f>IS!F11/BS!E16</f>
        <v>10.314148200140378</v>
      </c>
      <c r="E54" s="103">
        <f>IS!G11/BS!F16</f>
        <v>10.930791366906474</v>
      </c>
      <c r="F54" s="103">
        <f>IS!H11/BS!G16</f>
        <v>10.075857100478874</v>
      </c>
      <c r="G54" s="103">
        <f>IS!I11/BS!H16</f>
        <v>8.9109458265652162</v>
      </c>
      <c r="H54" s="103">
        <f ca="1">IS!J11/BS!I16</f>
        <v>8.26972067210205</v>
      </c>
      <c r="I54" s="103">
        <f ca="1">IS!K11/BS!J16</f>
        <v>7.7855017747371429</v>
      </c>
      <c r="J54" s="103">
        <f ca="1">IS!L11/BS!K16</f>
        <v>7.4051824558636365</v>
      </c>
      <c r="K54" s="103">
        <f ca="1">IS!M11/BS!L16</f>
        <v>7.1431211380436883</v>
      </c>
      <c r="L54" s="103">
        <f ca="1">IS!N11/BS!M16</f>
        <v>6.9568055585035529</v>
      </c>
      <c r="M54" s="99"/>
      <c r="N54" s="80"/>
    </row>
    <row r="55" spans="2:14" s="68" customFormat="1" ht="24.95" customHeight="1">
      <c r="B55" s="69"/>
      <c r="C55" s="81" t="s">
        <v>204</v>
      </c>
      <c r="D55" s="103">
        <f>IS!F11/BS!E20</f>
        <v>7.6540665228067564</v>
      </c>
      <c r="E55" s="103">
        <f>IS!G11/BS!F20</f>
        <v>4.1664518605862835</v>
      </c>
      <c r="F55" s="103">
        <f>IS!H11/BS!G20</f>
        <v>5.90473352207818</v>
      </c>
      <c r="G55" s="103">
        <f>IS!I11/BS!H20</f>
        <v>5.5197528684907322</v>
      </c>
      <c r="H55" s="103">
        <f ca="1">IS!J11/BS!I20</f>
        <v>7.4194977933299047</v>
      </c>
      <c r="I55" s="103">
        <f ca="1">IS!K11/BS!J20</f>
        <v>7.8890944790298665</v>
      </c>
      <c r="J55" s="103">
        <f ca="1">IS!L11/BS!K20</f>
        <v>8.2964825194699579</v>
      </c>
      <c r="K55" s="103">
        <f ca="1">IS!M11/BS!L20</f>
        <v>8.6941877775469543</v>
      </c>
      <c r="L55" s="103">
        <f ca="1">IS!N11/BS!M20</f>
        <v>9.0805881043117012</v>
      </c>
      <c r="M55" s="99"/>
      <c r="N55" s="80"/>
    </row>
    <row r="56" spans="2:14" s="68" customFormat="1" ht="24.95" customHeight="1">
      <c r="B56" s="69"/>
      <c r="C56" s="81" t="s">
        <v>801</v>
      </c>
      <c r="D56" s="103">
        <f>IS!F11/BS!E19</f>
        <v>44.859572612298301</v>
      </c>
      <c r="E56" s="103">
        <f>IS!G11/BS!F19</f>
        <v>29.365674526478546</v>
      </c>
      <c r="F56" s="103">
        <f>IS!H11/BS!G19</f>
        <v>46.519272158090395</v>
      </c>
      <c r="G56" s="103">
        <f>IS!I11/BS!H19</f>
        <v>44.004221784407541</v>
      </c>
      <c r="H56" s="103">
        <f ca="1">IS!J11/BS!I19</f>
        <v>55.059889424487913</v>
      </c>
      <c r="I56" s="103">
        <f ca="1">IS!K11/BS!J19</f>
        <v>56.546406180608408</v>
      </c>
      <c r="J56" s="103">
        <f ca="1">IS!L11/BS!K19</f>
        <v>56.640458482372431</v>
      </c>
      <c r="K56" s="103">
        <f ca="1">IS!M11/BS!L19</f>
        <v>56.286713156436385</v>
      </c>
      <c r="L56" s="103">
        <f ca="1">IS!N11/BS!M19</f>
        <v>55.69067466754278</v>
      </c>
      <c r="M56" s="99"/>
      <c r="N56" s="80"/>
    </row>
    <row r="57" spans="2:14" s="68" customFormat="1" ht="6" customHeight="1">
      <c r="B57" s="69"/>
      <c r="C57" s="69"/>
      <c r="D57" s="102"/>
      <c r="E57" s="102"/>
      <c r="F57" s="102"/>
      <c r="G57" s="102"/>
      <c r="H57" s="102"/>
      <c r="I57" s="102"/>
      <c r="J57" s="102"/>
      <c r="K57" s="102"/>
      <c r="L57" s="102"/>
      <c r="M57" s="99"/>
      <c r="N57" s="80"/>
    </row>
    <row r="58" spans="2:14" customFormat="1" ht="13.5">
      <c r="E58" s="205"/>
    </row>
    <row r="59" spans="2:14" customFormat="1" ht="13.5">
      <c r="E59" s="205"/>
      <c r="F59" s="206"/>
    </row>
    <row r="60" spans="2:14" s="68" customFormat="1" ht="6" customHeight="1">
      <c r="B60" s="69"/>
      <c r="C60" s="69"/>
      <c r="D60" s="101"/>
      <c r="E60" s="101"/>
      <c r="F60" s="101"/>
      <c r="G60" s="101"/>
      <c r="H60" s="101"/>
      <c r="I60" s="101"/>
      <c r="J60" s="101"/>
      <c r="K60" s="101"/>
      <c r="L60" s="101"/>
      <c r="M60" s="99"/>
      <c r="N60" s="80"/>
    </row>
    <row r="61" spans="2:14" ht="24.95" customHeight="1">
      <c r="C61" s="189" t="s">
        <v>108</v>
      </c>
      <c r="D61" s="154">
        <v>2015</v>
      </c>
      <c r="E61" s="154">
        <v>2016</v>
      </c>
      <c r="F61" s="154">
        <v>2017</v>
      </c>
      <c r="G61" s="154" t="s">
        <v>37</v>
      </c>
      <c r="H61" s="154" t="s">
        <v>38</v>
      </c>
      <c r="I61" s="154" t="s">
        <v>128</v>
      </c>
      <c r="J61" s="154" t="s">
        <v>151</v>
      </c>
      <c r="K61" s="154" t="s">
        <v>152</v>
      </c>
      <c r="L61" s="154" t="s">
        <v>1062</v>
      </c>
    </row>
    <row r="62" spans="2:14" ht="24.95" customHeight="1">
      <c r="C62" s="30" t="s">
        <v>75</v>
      </c>
      <c r="D62" s="104">
        <f t="shared" ref="D62:K62" si="38">D19</f>
        <v>3153</v>
      </c>
      <c r="E62" s="104">
        <f t="shared" si="38"/>
        <v>3699</v>
      </c>
      <c r="F62" s="104">
        <f t="shared" si="38"/>
        <v>4850</v>
      </c>
      <c r="G62" s="104">
        <f t="shared" si="38"/>
        <v>8131.2849179845216</v>
      </c>
      <c r="H62" s="104">
        <f t="shared" ca="1" si="38"/>
        <v>11418.89030203268</v>
      </c>
      <c r="I62" s="104">
        <f t="shared" ca="1" si="38"/>
        <v>15105.424865744064</v>
      </c>
      <c r="J62" s="104">
        <f t="shared" ca="1" si="38"/>
        <v>19202.845519474875</v>
      </c>
      <c r="K62" s="104">
        <f t="shared" ca="1" si="38"/>
        <v>23722.800477797617</v>
      </c>
      <c r="L62" s="104">
        <f t="shared" ref="L62" ca="1" si="39">L19</f>
        <v>28738.272469396466</v>
      </c>
    </row>
    <row r="63" spans="2:14" ht="24.95" customHeight="1">
      <c r="C63" s="30" t="s">
        <v>205</v>
      </c>
      <c r="D63" s="104">
        <f t="shared" ref="D63:K63" si="40">D32</f>
        <v>3476</v>
      </c>
      <c r="E63" s="104">
        <f t="shared" si="40"/>
        <v>8930</v>
      </c>
      <c r="F63" s="104">
        <f t="shared" si="40"/>
        <v>18622</v>
      </c>
      <c r="G63" s="104">
        <f t="shared" si="40"/>
        <v>23996.511169681737</v>
      </c>
      <c r="H63" s="104">
        <f t="shared" ca="1" si="40"/>
        <v>25532.263220091838</v>
      </c>
      <c r="I63" s="104">
        <f t="shared" ca="1" si="40"/>
        <v>31690.550175882916</v>
      </c>
      <c r="J63" s="104">
        <f t="shared" ca="1" si="40"/>
        <v>37458.330176114752</v>
      </c>
      <c r="K63" s="104">
        <f t="shared" ca="1" si="40"/>
        <v>43336.085411925465</v>
      </c>
      <c r="L63" s="104">
        <f t="shared" ref="L63" ca="1" si="41">L32</f>
        <v>49634.468090158814</v>
      </c>
    </row>
    <row r="64" spans="2:14" ht="24.95" customHeight="1">
      <c r="C64" s="30" t="s">
        <v>802</v>
      </c>
      <c r="D64" s="104">
        <f>D45</f>
        <v>39</v>
      </c>
      <c r="E64" s="104">
        <f t="shared" ref="E64:K64" si="42">E45</f>
        <v>95</v>
      </c>
      <c r="F64" s="104">
        <f t="shared" si="42"/>
        <v>109</v>
      </c>
      <c r="G64" s="104">
        <f t="shared" si="42"/>
        <v>140.27500000000001</v>
      </c>
      <c r="H64" s="104">
        <f t="shared" ca="1" si="42"/>
        <v>164.77824057941905</v>
      </c>
      <c r="I64" s="104">
        <f t="shared" ca="1" si="42"/>
        <v>195.07586519094815</v>
      </c>
      <c r="J64" s="104">
        <f t="shared" ca="1" si="42"/>
        <v>231.59325633170607</v>
      </c>
      <c r="K64" s="104">
        <f t="shared" ca="1" si="42"/>
        <v>274.78920588006685</v>
      </c>
      <c r="L64" s="104">
        <f t="shared" ref="L64" ca="1" si="43">L45</f>
        <v>325.43550986392893</v>
      </c>
    </row>
    <row r="65" spans="1:14" ht="24.95" customHeight="1">
      <c r="C65" s="30" t="s">
        <v>76</v>
      </c>
      <c r="D65" s="104">
        <f>SUM(D62:D64)</f>
        <v>6668</v>
      </c>
      <c r="E65" s="104">
        <f t="shared" ref="E65:K65" si="44">SUM(E62:E64)</f>
        <v>12724</v>
      </c>
      <c r="F65" s="104">
        <f t="shared" si="44"/>
        <v>23581</v>
      </c>
      <c r="G65" s="104">
        <f t="shared" si="44"/>
        <v>32268.07108766626</v>
      </c>
      <c r="H65" s="104">
        <f t="shared" ca="1" si="44"/>
        <v>37115.931762703935</v>
      </c>
      <c r="I65" s="104">
        <f t="shared" ca="1" si="44"/>
        <v>46991.050906817931</v>
      </c>
      <c r="J65" s="104">
        <f t="shared" ca="1" si="44"/>
        <v>56892.768951921331</v>
      </c>
      <c r="K65" s="104">
        <f t="shared" ca="1" si="44"/>
        <v>67333.675095603146</v>
      </c>
      <c r="L65" s="104">
        <f t="shared" ref="L65" ca="1" si="45">SUM(L62:L64)</f>
        <v>78698.17606941922</v>
      </c>
    </row>
    <row r="66" spans="1:14" ht="6" customHeight="1">
      <c r="A66" s="68"/>
      <c r="C66" s="69"/>
      <c r="D66" s="69"/>
      <c r="E66" s="69"/>
      <c r="F66" s="69"/>
      <c r="G66" s="69"/>
      <c r="H66" s="69"/>
      <c r="I66" s="69"/>
      <c r="J66" s="69"/>
      <c r="K66" s="69"/>
      <c r="L66" s="69"/>
    </row>
    <row r="67" spans="1:14">
      <c r="A67" s="68"/>
      <c r="B67" s="68"/>
      <c r="K67" s="68"/>
      <c r="L67" s="68"/>
      <c r="M67" s="68"/>
      <c r="N67" s="68"/>
    </row>
    <row r="68" spans="1:14">
      <c r="A68" s="68"/>
      <c r="B68" s="68"/>
      <c r="K68" s="68"/>
      <c r="L68" s="68"/>
      <c r="M68" s="68"/>
      <c r="N68" s="68"/>
    </row>
    <row r="69" spans="1:14">
      <c r="A69" s="68"/>
      <c r="B69" s="68"/>
      <c r="K69" s="68"/>
      <c r="L69" s="68"/>
      <c r="M69" s="68"/>
      <c r="N69" s="68"/>
    </row>
    <row r="70" spans="1:14">
      <c r="A70" s="68"/>
      <c r="B70" s="68"/>
      <c r="K70" s="68"/>
      <c r="L70" s="68"/>
      <c r="M70" s="68"/>
      <c r="N70" s="68"/>
    </row>
    <row r="71" spans="1:14">
      <c r="A71" s="68"/>
      <c r="B71" s="68"/>
      <c r="K71" s="68"/>
      <c r="L71" s="68"/>
      <c r="M71" s="68"/>
      <c r="N71" s="68"/>
    </row>
    <row r="72" spans="1:14">
      <c r="A72" s="68"/>
      <c r="B72" s="68"/>
      <c r="K72" s="68"/>
      <c r="L72" s="68"/>
      <c r="M72" s="68"/>
      <c r="N72" s="68"/>
    </row>
    <row r="73" spans="1:14">
      <c r="A73" s="68"/>
      <c r="B73" s="68"/>
      <c r="K73" s="68"/>
      <c r="L73" s="68"/>
      <c r="M73" s="68"/>
      <c r="N73" s="68"/>
    </row>
    <row r="74" spans="1:14">
      <c r="A74" s="68"/>
      <c r="B74" s="68"/>
      <c r="K74" s="68"/>
      <c r="L74" s="68"/>
      <c r="M74" s="68"/>
      <c r="N74" s="68"/>
    </row>
    <row r="75" spans="1:14">
      <c r="A75" s="68"/>
      <c r="B75" s="68"/>
      <c r="K75" s="68"/>
      <c r="L75" s="68"/>
      <c r="M75" s="68"/>
      <c r="N75" s="68"/>
    </row>
    <row r="76" spans="1:14">
      <c r="A76" s="68"/>
      <c r="B76" s="68"/>
      <c r="K76" s="68"/>
      <c r="L76" s="68"/>
      <c r="M76" s="68"/>
      <c r="N76" s="68"/>
    </row>
    <row r="77" spans="1:14">
      <c r="A77" s="68"/>
      <c r="B77" s="68"/>
      <c r="K77" s="68"/>
      <c r="L77" s="68"/>
      <c r="M77" s="68"/>
      <c r="N77" s="68"/>
    </row>
    <row r="78" spans="1:14">
      <c r="A78" s="68"/>
      <c r="B78" s="68"/>
      <c r="K78" s="68"/>
      <c r="L78" s="68"/>
      <c r="M78" s="68"/>
      <c r="N78" s="68"/>
    </row>
    <row r="79" spans="1:14">
      <c r="A79" s="68"/>
      <c r="B79" s="68"/>
      <c r="K79" s="68"/>
      <c r="L79" s="68"/>
      <c r="M79" s="68"/>
      <c r="N79" s="68"/>
    </row>
    <row r="80" spans="1:14">
      <c r="A80" s="68"/>
      <c r="B80" s="68"/>
      <c r="K80" s="68"/>
      <c r="L80" s="68"/>
      <c r="M80" s="68"/>
      <c r="N80" s="68"/>
    </row>
    <row r="81" spans="1:14">
      <c r="A81" s="68"/>
      <c r="B81" s="68"/>
      <c r="K81" s="68"/>
      <c r="L81" s="68"/>
      <c r="M81" s="68"/>
      <c r="N81" s="68"/>
    </row>
    <row r="82" spans="1:14">
      <c r="A82" s="68"/>
      <c r="B82" s="68"/>
      <c r="K82" s="68"/>
      <c r="L82" s="68"/>
      <c r="M82" s="68"/>
      <c r="N82" s="68"/>
    </row>
    <row r="83" spans="1:14">
      <c r="A83" s="68"/>
      <c r="B83" s="68"/>
      <c r="K83" s="68"/>
      <c r="L83" s="68"/>
      <c r="M83" s="68"/>
      <c r="N83" s="68"/>
    </row>
    <row r="84" spans="1:14">
      <c r="A84" s="68"/>
      <c r="B84" s="68"/>
      <c r="K84" s="68"/>
      <c r="L84" s="68"/>
      <c r="M84" s="68"/>
      <c r="N84" s="68"/>
    </row>
    <row r="85" spans="1:14">
      <c r="A85" s="68"/>
      <c r="B85" s="68"/>
      <c r="K85" s="68"/>
      <c r="L85" s="68"/>
      <c r="M85" s="68"/>
      <c r="N85" s="68"/>
    </row>
    <row r="86" spans="1:14">
      <c r="A86" s="68"/>
      <c r="B86" s="68"/>
      <c r="K86" s="68"/>
      <c r="L86" s="68"/>
      <c r="M86" s="68"/>
      <c r="N86" s="68"/>
    </row>
    <row r="87" spans="1:14">
      <c r="A87" s="68"/>
      <c r="B87" s="68"/>
      <c r="K87" s="68"/>
      <c r="L87" s="68"/>
      <c r="M87" s="68"/>
      <c r="N87" s="68"/>
    </row>
    <row r="88" spans="1:14">
      <c r="A88" s="68"/>
      <c r="B88" s="68"/>
      <c r="K88" s="68"/>
      <c r="L88" s="68"/>
      <c r="M88" s="68"/>
      <c r="N88" s="68"/>
    </row>
    <row r="89" spans="1:14">
      <c r="A89" s="68"/>
      <c r="B89" s="68"/>
      <c r="K89" s="68"/>
      <c r="L89" s="68"/>
      <c r="M89" s="68"/>
      <c r="N89" s="68"/>
    </row>
    <row r="90" spans="1:14">
      <c r="A90" s="68"/>
      <c r="B90" s="68"/>
      <c r="K90" s="68"/>
      <c r="L90" s="68"/>
      <c r="M90" s="68"/>
      <c r="N90" s="68"/>
    </row>
    <row r="91" spans="1:14">
      <c r="A91" s="68"/>
      <c r="B91" s="68"/>
      <c r="K91" s="68"/>
      <c r="L91" s="68"/>
      <c r="M91" s="68"/>
      <c r="N91" s="68"/>
    </row>
    <row r="92" spans="1:14">
      <c r="A92" s="68"/>
      <c r="B92" s="68"/>
      <c r="K92" s="68"/>
      <c r="L92" s="68"/>
      <c r="M92" s="68"/>
      <c r="N92" s="68"/>
    </row>
    <row r="93" spans="1:14">
      <c r="A93" s="68"/>
      <c r="B93" s="68"/>
      <c r="K93" s="68"/>
      <c r="L93" s="68"/>
      <c r="M93" s="68"/>
      <c r="N93" s="68"/>
    </row>
    <row r="94" spans="1:14">
      <c r="A94" s="68"/>
      <c r="B94" s="68"/>
      <c r="K94" s="68"/>
      <c r="L94" s="68"/>
      <c r="M94" s="68"/>
      <c r="N94" s="68"/>
    </row>
    <row r="95" spans="1:14">
      <c r="A95" s="68"/>
      <c r="B95" s="68"/>
      <c r="K95" s="68"/>
      <c r="L95" s="68"/>
      <c r="M95" s="68"/>
      <c r="N95" s="68"/>
    </row>
    <row r="96" spans="1:14">
      <c r="A96" s="68"/>
      <c r="B96" s="68"/>
      <c r="K96" s="68"/>
      <c r="L96" s="68"/>
      <c r="M96" s="68"/>
      <c r="N96" s="68"/>
    </row>
    <row r="97" spans="1:14">
      <c r="A97" s="68"/>
      <c r="B97" s="68"/>
      <c r="K97" s="68"/>
      <c r="L97" s="68"/>
      <c r="M97" s="68"/>
      <c r="N97" s="68"/>
    </row>
    <row r="98" spans="1:14">
      <c r="A98" s="68"/>
      <c r="B98" s="68"/>
      <c r="K98" s="68"/>
      <c r="L98" s="68"/>
      <c r="M98" s="68"/>
      <c r="N98" s="68"/>
    </row>
    <row r="99" spans="1:14">
      <c r="A99" s="68"/>
      <c r="B99" s="68"/>
      <c r="K99" s="68"/>
      <c r="L99" s="68"/>
      <c r="M99" s="68"/>
      <c r="N99" s="68"/>
    </row>
    <row r="100" spans="1:14">
      <c r="A100" s="68"/>
      <c r="B100" s="68"/>
      <c r="K100" s="68"/>
      <c r="L100" s="68"/>
      <c r="M100" s="68"/>
      <c r="N100" s="68"/>
    </row>
    <row r="101" spans="1:14">
      <c r="A101" s="68"/>
      <c r="B101" s="68"/>
      <c r="K101" s="68"/>
      <c r="L101" s="68"/>
      <c r="M101" s="68"/>
      <c r="N101" s="68"/>
    </row>
    <row r="102" spans="1:14">
      <c r="A102" s="68"/>
      <c r="B102" s="68"/>
      <c r="K102" s="68"/>
      <c r="L102" s="68"/>
      <c r="M102" s="68"/>
      <c r="N102" s="68"/>
    </row>
    <row r="103" spans="1:14">
      <c r="A103" s="68"/>
      <c r="B103" s="68"/>
      <c r="K103" s="68"/>
      <c r="L103" s="68"/>
      <c r="M103" s="68"/>
      <c r="N103" s="68"/>
    </row>
    <row r="104" spans="1:14">
      <c r="A104" s="68"/>
      <c r="B104" s="68"/>
      <c r="K104" s="68"/>
      <c r="L104" s="68"/>
      <c r="M104" s="68"/>
      <c r="N104" s="68"/>
    </row>
    <row r="105" spans="1:14">
      <c r="A105" s="68"/>
      <c r="B105" s="68"/>
      <c r="K105" s="68"/>
      <c r="L105" s="68"/>
      <c r="M105" s="68"/>
      <c r="N105" s="68"/>
    </row>
    <row r="106" spans="1:14">
      <c r="A106" s="68"/>
      <c r="B106" s="68"/>
      <c r="K106" s="68"/>
      <c r="L106" s="68"/>
      <c r="M106" s="68"/>
      <c r="N106" s="68"/>
    </row>
    <row r="107" spans="1:14">
      <c r="A107" s="68"/>
      <c r="B107" s="68"/>
      <c r="K107" s="68"/>
      <c r="L107" s="68"/>
      <c r="M107" s="68"/>
      <c r="N107" s="68"/>
    </row>
    <row r="108" spans="1:14">
      <c r="A108" s="68"/>
      <c r="B108" s="68"/>
      <c r="K108" s="68"/>
      <c r="L108" s="68"/>
      <c r="M108" s="68"/>
      <c r="N108" s="68"/>
    </row>
    <row r="109" spans="1:14">
      <c r="A109" s="68"/>
      <c r="B109" s="68"/>
      <c r="K109" s="68"/>
      <c r="L109" s="68"/>
      <c r="M109" s="68"/>
      <c r="N109" s="68"/>
    </row>
    <row r="110" spans="1:14">
      <c r="A110" s="68"/>
      <c r="B110" s="68"/>
      <c r="K110" s="68"/>
      <c r="L110" s="68"/>
      <c r="M110" s="68"/>
      <c r="N110" s="68"/>
    </row>
    <row r="111" spans="1:14">
      <c r="A111" s="68"/>
      <c r="B111" s="68"/>
      <c r="K111" s="68"/>
      <c r="L111" s="68"/>
      <c r="M111" s="68"/>
      <c r="N111" s="68"/>
    </row>
    <row r="112" spans="1:14">
      <c r="A112" s="68"/>
      <c r="B112" s="68"/>
      <c r="K112" s="68"/>
      <c r="L112" s="68"/>
      <c r="M112" s="68"/>
      <c r="N112" s="68"/>
    </row>
    <row r="113" spans="1:14">
      <c r="A113" s="68"/>
      <c r="B113" s="68"/>
      <c r="K113" s="68"/>
      <c r="L113" s="68"/>
      <c r="M113" s="68"/>
      <c r="N113" s="68"/>
    </row>
    <row r="114" spans="1:14">
      <c r="A114" s="68"/>
      <c r="B114" s="68"/>
      <c r="K114" s="68"/>
      <c r="L114" s="68"/>
      <c r="M114" s="68"/>
      <c r="N114" s="68"/>
    </row>
    <row r="115" spans="1:14">
      <c r="A115" s="68"/>
      <c r="B115" s="68"/>
      <c r="K115" s="68"/>
      <c r="L115" s="68"/>
      <c r="M115" s="68"/>
      <c r="N115" s="68"/>
    </row>
    <row r="116" spans="1:14">
      <c r="A116" s="68"/>
      <c r="B116" s="68"/>
      <c r="K116" s="68"/>
      <c r="L116" s="68"/>
      <c r="M116" s="68"/>
      <c r="N116" s="68"/>
    </row>
    <row r="117" spans="1:14">
      <c r="A117" s="68"/>
      <c r="B117" s="68"/>
      <c r="K117" s="68"/>
      <c r="L117" s="68"/>
      <c r="M117" s="68"/>
      <c r="N117" s="68"/>
    </row>
    <row r="118" spans="1:14">
      <c r="A118" s="68"/>
      <c r="B118" s="68"/>
      <c r="K118" s="68"/>
      <c r="L118" s="68"/>
      <c r="M118" s="68"/>
      <c r="N118" s="68"/>
    </row>
    <row r="119" spans="1:14">
      <c r="A119" s="68"/>
      <c r="B119" s="68"/>
      <c r="K119" s="68"/>
      <c r="L119" s="68"/>
      <c r="M119" s="68"/>
      <c r="N119" s="68"/>
    </row>
    <row r="120" spans="1:14">
      <c r="A120" s="68"/>
      <c r="B120" s="68"/>
      <c r="K120" s="68"/>
      <c r="L120" s="68"/>
      <c r="M120" s="68"/>
      <c r="N120" s="68"/>
    </row>
    <row r="121" spans="1:14">
      <c r="A121" s="68"/>
      <c r="B121" s="68"/>
      <c r="K121" s="68"/>
      <c r="L121" s="68"/>
      <c r="M121" s="68"/>
      <c r="N121" s="68"/>
    </row>
    <row r="122" spans="1:14">
      <c r="A122" s="68"/>
      <c r="B122" s="68"/>
      <c r="K122" s="68"/>
      <c r="L122" s="68"/>
      <c r="M122" s="68"/>
      <c r="N122" s="68"/>
    </row>
    <row r="123" spans="1:14">
      <c r="A123" s="68"/>
      <c r="B123" s="68"/>
      <c r="K123" s="68"/>
      <c r="L123" s="68"/>
      <c r="M123" s="68"/>
      <c r="N123" s="68"/>
    </row>
    <row r="124" spans="1:14">
      <c r="A124" s="68"/>
      <c r="B124" s="68"/>
      <c r="K124" s="68"/>
      <c r="L124" s="68"/>
      <c r="M124" s="68"/>
      <c r="N124" s="68"/>
    </row>
    <row r="125" spans="1:14">
      <c r="A125" s="68"/>
      <c r="B125" s="68"/>
      <c r="K125" s="68"/>
      <c r="L125" s="68"/>
      <c r="M125" s="68"/>
      <c r="N125" s="68"/>
    </row>
    <row r="126" spans="1:14">
      <c r="A126" s="68"/>
      <c r="B126" s="68"/>
      <c r="K126" s="68"/>
      <c r="L126" s="68"/>
      <c r="M126" s="68"/>
      <c r="N126" s="68"/>
    </row>
    <row r="127" spans="1:14">
      <c r="A127" s="68"/>
      <c r="B127" s="68"/>
      <c r="K127" s="68"/>
      <c r="L127" s="68"/>
      <c r="M127" s="68"/>
      <c r="N127" s="68"/>
    </row>
    <row r="128" spans="1:14">
      <c r="A128" s="68"/>
      <c r="B128" s="68"/>
      <c r="K128" s="68"/>
      <c r="L128" s="68"/>
      <c r="M128" s="68"/>
      <c r="N128" s="68"/>
    </row>
    <row r="129" spans="1:14">
      <c r="A129" s="68"/>
      <c r="B129" s="68"/>
      <c r="K129" s="68"/>
      <c r="L129" s="68"/>
      <c r="M129" s="68"/>
      <c r="N129" s="68"/>
    </row>
    <row r="130" spans="1:14">
      <c r="A130" s="68"/>
      <c r="B130" s="68"/>
      <c r="K130" s="68"/>
      <c r="L130" s="68"/>
      <c r="M130" s="68"/>
      <c r="N130" s="68"/>
    </row>
    <row r="131" spans="1:14">
      <c r="A131" s="68"/>
      <c r="B131" s="68"/>
      <c r="K131" s="68"/>
      <c r="L131" s="68"/>
      <c r="M131" s="68"/>
      <c r="N131" s="68"/>
    </row>
    <row r="132" spans="1:14">
      <c r="A132" s="68"/>
      <c r="B132" s="68"/>
      <c r="K132" s="68"/>
      <c r="L132" s="68"/>
      <c r="M132" s="68"/>
      <c r="N132" s="68"/>
    </row>
    <row r="133" spans="1:14">
      <c r="A133" s="68"/>
      <c r="B133" s="68"/>
      <c r="K133" s="68"/>
      <c r="L133" s="68"/>
      <c r="M133" s="68"/>
      <c r="N133" s="68"/>
    </row>
    <row r="134" spans="1:14">
      <c r="A134" s="68"/>
      <c r="B134" s="68"/>
      <c r="K134" s="68"/>
      <c r="L134" s="68"/>
      <c r="M134" s="68"/>
      <c r="N134" s="68"/>
    </row>
    <row r="135" spans="1:14">
      <c r="A135" s="68"/>
      <c r="B135" s="68"/>
      <c r="K135" s="68"/>
      <c r="L135" s="68"/>
      <c r="M135" s="68"/>
      <c r="N135" s="68"/>
    </row>
    <row r="136" spans="1:14">
      <c r="A136" s="68"/>
      <c r="B136" s="68"/>
      <c r="K136" s="68"/>
      <c r="L136" s="68"/>
      <c r="M136" s="68"/>
      <c r="N136" s="68"/>
    </row>
    <row r="137" spans="1:14">
      <c r="A137" s="68"/>
      <c r="B137" s="68"/>
      <c r="K137" s="68"/>
      <c r="L137" s="68"/>
      <c r="M137" s="68"/>
      <c r="N137" s="68"/>
    </row>
    <row r="138" spans="1:14">
      <c r="A138" s="68"/>
      <c r="B138" s="68"/>
      <c r="K138" s="68"/>
      <c r="L138" s="68"/>
      <c r="M138" s="68"/>
      <c r="N138" s="68"/>
    </row>
    <row r="139" spans="1:14">
      <c r="A139" s="68"/>
      <c r="B139" s="68"/>
      <c r="K139" s="68"/>
      <c r="L139" s="68"/>
      <c r="M139" s="68"/>
      <c r="N139" s="68"/>
    </row>
    <row r="140" spans="1:14">
      <c r="A140" s="68"/>
      <c r="B140" s="68"/>
      <c r="K140" s="68"/>
      <c r="L140" s="68"/>
      <c r="M140" s="68"/>
      <c r="N140" s="68"/>
    </row>
    <row r="141" spans="1:14">
      <c r="A141" s="68"/>
      <c r="B141" s="68"/>
      <c r="K141" s="68"/>
      <c r="L141" s="68"/>
      <c r="M141" s="68"/>
      <c r="N141" s="68"/>
    </row>
    <row r="142" spans="1:14">
      <c r="A142" s="68"/>
      <c r="B142" s="68"/>
      <c r="K142" s="68"/>
      <c r="L142" s="68"/>
      <c r="M142" s="68"/>
      <c r="N142" s="68"/>
    </row>
    <row r="143" spans="1:14">
      <c r="A143" s="68"/>
      <c r="B143" s="68"/>
      <c r="K143" s="68"/>
      <c r="L143" s="68"/>
      <c r="M143" s="68"/>
      <c r="N143" s="68"/>
    </row>
    <row r="144" spans="1:14">
      <c r="A144" s="68"/>
      <c r="B144" s="68"/>
      <c r="K144" s="68"/>
      <c r="L144" s="68"/>
      <c r="M144" s="68"/>
      <c r="N144" s="68"/>
    </row>
    <row r="145" spans="1:14">
      <c r="A145" s="68"/>
      <c r="B145" s="68"/>
      <c r="K145" s="68"/>
      <c r="L145" s="68"/>
      <c r="M145" s="68"/>
      <c r="N145" s="68"/>
    </row>
    <row r="146" spans="1:14">
      <c r="A146" s="68"/>
      <c r="B146" s="68"/>
      <c r="K146" s="68"/>
      <c r="L146" s="68"/>
      <c r="M146" s="68"/>
      <c r="N146" s="68"/>
    </row>
    <row r="147" spans="1:14">
      <c r="A147" s="68"/>
      <c r="B147" s="68"/>
      <c r="K147" s="68"/>
      <c r="L147" s="68"/>
      <c r="M147" s="68"/>
      <c r="N147" s="68"/>
    </row>
    <row r="148" spans="1:14">
      <c r="A148" s="68"/>
      <c r="B148" s="68"/>
      <c r="K148" s="68"/>
      <c r="L148" s="68"/>
      <c r="M148" s="68"/>
      <c r="N148" s="68"/>
    </row>
    <row r="149" spans="1:14">
      <c r="A149" s="68"/>
      <c r="B149" s="68"/>
      <c r="K149" s="68"/>
      <c r="L149" s="68"/>
      <c r="M149" s="68"/>
      <c r="N149" s="68"/>
    </row>
    <row r="150" spans="1:14">
      <c r="A150" s="68"/>
      <c r="B150" s="68"/>
      <c r="K150" s="68"/>
      <c r="L150" s="68"/>
      <c r="M150" s="68"/>
      <c r="N150" s="68"/>
    </row>
    <row r="151" spans="1:14">
      <c r="A151" s="68"/>
      <c r="B151" s="68"/>
      <c r="K151" s="68"/>
      <c r="L151" s="68"/>
      <c r="M151" s="68"/>
      <c r="N151" s="68"/>
    </row>
    <row r="152" spans="1:14">
      <c r="A152" s="68"/>
      <c r="B152" s="68"/>
      <c r="K152" s="68"/>
      <c r="L152" s="68"/>
      <c r="M152" s="68"/>
      <c r="N152" s="68"/>
    </row>
    <row r="153" spans="1:14">
      <c r="A153" s="68"/>
      <c r="B153" s="68"/>
      <c r="K153" s="68"/>
      <c r="L153" s="68"/>
      <c r="M153" s="68"/>
      <c r="N153" s="68"/>
    </row>
    <row r="154" spans="1:14">
      <c r="A154" s="68"/>
      <c r="B154" s="68"/>
      <c r="K154" s="68"/>
      <c r="L154" s="68"/>
      <c r="M154" s="68"/>
      <c r="N154" s="68"/>
    </row>
    <row r="155" spans="1:14">
      <c r="A155" s="68"/>
      <c r="B155" s="68"/>
      <c r="K155" s="68"/>
      <c r="L155" s="68"/>
      <c r="M155" s="68"/>
      <c r="N155" s="68"/>
    </row>
    <row r="156" spans="1:14">
      <c r="A156" s="68"/>
      <c r="B156" s="68"/>
      <c r="K156" s="68"/>
      <c r="L156" s="68"/>
      <c r="M156" s="68"/>
      <c r="N156" s="68"/>
    </row>
    <row r="157" spans="1:14">
      <c r="A157" s="68"/>
      <c r="B157" s="68"/>
      <c r="K157" s="68"/>
      <c r="L157" s="68"/>
      <c r="M157" s="68"/>
      <c r="N157" s="68"/>
    </row>
    <row r="158" spans="1:14">
      <c r="A158" s="68"/>
      <c r="B158" s="68"/>
      <c r="K158" s="68"/>
      <c r="L158" s="68"/>
      <c r="M158" s="68"/>
      <c r="N158" s="68"/>
    </row>
    <row r="159" spans="1:14">
      <c r="A159" s="68"/>
      <c r="B159" s="68"/>
      <c r="K159" s="68"/>
      <c r="L159" s="68"/>
      <c r="M159" s="68"/>
      <c r="N159" s="68"/>
    </row>
    <row r="160" spans="1:14">
      <c r="A160" s="68"/>
      <c r="B160" s="68"/>
      <c r="K160" s="68"/>
      <c r="L160" s="68"/>
      <c r="M160" s="68"/>
      <c r="N160" s="68"/>
    </row>
    <row r="161" spans="1:14">
      <c r="A161" s="68"/>
      <c r="B161" s="68"/>
      <c r="K161" s="68"/>
      <c r="L161" s="68"/>
      <c r="M161" s="68"/>
      <c r="N161" s="68"/>
    </row>
    <row r="162" spans="1:14">
      <c r="A162" s="68"/>
      <c r="B162" s="68"/>
      <c r="K162" s="68"/>
      <c r="L162" s="68"/>
      <c r="M162" s="68"/>
      <c r="N162" s="68"/>
    </row>
    <row r="163" spans="1:14">
      <c r="A163" s="68"/>
      <c r="B163" s="68"/>
      <c r="K163" s="68"/>
      <c r="L163" s="68"/>
      <c r="M163" s="68"/>
      <c r="N163" s="68"/>
    </row>
    <row r="164" spans="1:14">
      <c r="A164" s="68"/>
      <c r="B164" s="68"/>
      <c r="K164" s="68"/>
      <c r="L164" s="68"/>
      <c r="M164" s="68"/>
      <c r="N164" s="68"/>
    </row>
    <row r="165" spans="1:14">
      <c r="A165" s="68"/>
      <c r="B165" s="68"/>
      <c r="K165" s="68"/>
      <c r="L165" s="68"/>
      <c r="M165" s="68"/>
      <c r="N165" s="68"/>
    </row>
    <row r="166" spans="1:14">
      <c r="A166" s="68"/>
      <c r="B166" s="68"/>
      <c r="K166" s="68"/>
      <c r="L166" s="68"/>
      <c r="M166" s="68"/>
      <c r="N166" s="68"/>
    </row>
    <row r="167" spans="1:14">
      <c r="A167" s="68"/>
      <c r="B167" s="68"/>
      <c r="K167" s="68"/>
      <c r="L167" s="68"/>
      <c r="M167" s="68"/>
      <c r="N167" s="68"/>
    </row>
    <row r="168" spans="1:14">
      <c r="A168" s="68"/>
      <c r="B168" s="68"/>
      <c r="K168" s="68"/>
      <c r="L168" s="68"/>
      <c r="M168" s="68"/>
      <c r="N168" s="68"/>
    </row>
    <row r="169" spans="1:14">
      <c r="A169" s="68"/>
      <c r="B169" s="68"/>
      <c r="K169" s="68"/>
      <c r="L169" s="68"/>
      <c r="M169" s="68"/>
      <c r="N169" s="68"/>
    </row>
    <row r="170" spans="1:14">
      <c r="A170" s="68"/>
      <c r="B170" s="68"/>
      <c r="K170" s="68"/>
      <c r="L170" s="68"/>
      <c r="M170" s="68"/>
      <c r="N170" s="68"/>
    </row>
    <row r="171" spans="1:14">
      <c r="A171" s="68"/>
      <c r="B171" s="68"/>
      <c r="K171" s="68"/>
      <c r="L171" s="68"/>
      <c r="M171" s="68"/>
      <c r="N171" s="68"/>
    </row>
    <row r="172" spans="1:14">
      <c r="A172" s="68"/>
      <c r="B172" s="68"/>
      <c r="K172" s="68"/>
      <c r="L172" s="68"/>
      <c r="M172" s="68"/>
      <c r="N172" s="68"/>
    </row>
    <row r="173" spans="1:14">
      <c r="A173" s="68"/>
      <c r="B173" s="68"/>
      <c r="K173" s="68"/>
      <c r="L173" s="68"/>
      <c r="M173" s="68"/>
      <c r="N173" s="68"/>
    </row>
    <row r="174" spans="1:14">
      <c r="A174" s="68"/>
      <c r="B174" s="68"/>
      <c r="K174" s="68"/>
      <c r="L174" s="68"/>
      <c r="M174" s="68"/>
      <c r="N174" s="68"/>
    </row>
    <row r="175" spans="1:14">
      <c r="A175" s="68"/>
      <c r="B175" s="68"/>
      <c r="K175" s="68"/>
      <c r="L175" s="68"/>
      <c r="M175" s="68"/>
      <c r="N175" s="68"/>
    </row>
    <row r="176" spans="1:14">
      <c r="A176" s="68"/>
      <c r="B176" s="68"/>
      <c r="K176" s="68"/>
      <c r="L176" s="68"/>
      <c r="M176" s="68"/>
      <c r="N176" s="68"/>
    </row>
    <row r="177" spans="1:14">
      <c r="A177" s="68"/>
      <c r="B177" s="68"/>
      <c r="K177" s="68"/>
      <c r="L177" s="68"/>
      <c r="M177" s="68"/>
      <c r="N177" s="68"/>
    </row>
    <row r="178" spans="1:14">
      <c r="A178" s="68"/>
      <c r="B178" s="68"/>
      <c r="K178" s="68"/>
      <c r="L178" s="68"/>
      <c r="M178" s="68"/>
      <c r="N178" s="68"/>
    </row>
    <row r="179" spans="1:14">
      <c r="A179" s="68"/>
      <c r="B179" s="68"/>
      <c r="K179" s="68"/>
      <c r="L179" s="68"/>
      <c r="M179" s="68"/>
      <c r="N179" s="68"/>
    </row>
    <row r="180" spans="1:14">
      <c r="A180" s="68"/>
      <c r="B180" s="68"/>
      <c r="K180" s="68"/>
      <c r="L180" s="68"/>
      <c r="M180" s="68"/>
      <c r="N180" s="68"/>
    </row>
    <row r="181" spans="1:14">
      <c r="A181" s="68"/>
      <c r="B181" s="68"/>
      <c r="K181" s="68"/>
      <c r="L181" s="68"/>
      <c r="M181" s="68"/>
      <c r="N181" s="68"/>
    </row>
    <row r="182" spans="1:14">
      <c r="A182" s="68"/>
      <c r="B182" s="68"/>
      <c r="K182" s="68"/>
      <c r="L182" s="68"/>
      <c r="M182" s="68"/>
      <c r="N182" s="68"/>
    </row>
    <row r="183" spans="1:14">
      <c r="A183" s="68"/>
      <c r="B183" s="68"/>
      <c r="K183" s="68"/>
      <c r="L183" s="68"/>
      <c r="M183" s="68"/>
      <c r="N183" s="68"/>
    </row>
    <row r="184" spans="1:14">
      <c r="A184" s="68"/>
      <c r="B184" s="68"/>
      <c r="K184" s="68"/>
      <c r="L184" s="68"/>
      <c r="M184" s="68"/>
      <c r="N184" s="68"/>
    </row>
    <row r="185" spans="1:14">
      <c r="A185" s="68"/>
      <c r="B185" s="68"/>
      <c r="K185" s="68"/>
      <c r="L185" s="68"/>
      <c r="M185" s="68"/>
      <c r="N185" s="68"/>
    </row>
    <row r="186" spans="1:14">
      <c r="A186" s="68"/>
      <c r="B186" s="68"/>
      <c r="K186" s="68"/>
      <c r="L186" s="68"/>
      <c r="M186" s="68"/>
      <c r="N186" s="68"/>
    </row>
    <row r="187" spans="1:14">
      <c r="A187" s="68"/>
      <c r="B187" s="68"/>
      <c r="K187" s="68"/>
      <c r="L187" s="68"/>
      <c r="M187" s="68"/>
      <c r="N187" s="68"/>
    </row>
    <row r="188" spans="1:14">
      <c r="A188" s="68"/>
      <c r="B188" s="68"/>
      <c r="K188" s="68"/>
      <c r="L188" s="68"/>
      <c r="M188" s="68"/>
      <c r="N188" s="68"/>
    </row>
    <row r="189" spans="1:14">
      <c r="A189" s="68"/>
      <c r="B189" s="68"/>
      <c r="K189" s="68"/>
      <c r="L189" s="68"/>
      <c r="M189" s="68"/>
      <c r="N189" s="68"/>
    </row>
    <row r="190" spans="1:14">
      <c r="A190" s="68"/>
      <c r="B190" s="68"/>
      <c r="K190" s="68"/>
      <c r="L190" s="68"/>
      <c r="M190" s="68"/>
      <c r="N190" s="68"/>
    </row>
    <row r="191" spans="1:14">
      <c r="A191" s="68"/>
      <c r="B191" s="68"/>
      <c r="K191" s="68"/>
      <c r="L191" s="68"/>
      <c r="M191" s="68"/>
      <c r="N191" s="68"/>
    </row>
    <row r="192" spans="1:14">
      <c r="A192" s="68"/>
      <c r="B192" s="68"/>
      <c r="K192" s="68"/>
      <c r="L192" s="68"/>
      <c r="M192" s="68"/>
      <c r="N192" s="68"/>
    </row>
    <row r="193" spans="1:14">
      <c r="A193" s="68"/>
      <c r="B193" s="68"/>
      <c r="K193" s="68"/>
      <c r="L193" s="68"/>
      <c r="M193" s="68"/>
      <c r="N193" s="68"/>
    </row>
    <row r="194" spans="1:14">
      <c r="A194" s="68"/>
      <c r="B194" s="68"/>
      <c r="K194" s="68"/>
      <c r="L194" s="68"/>
      <c r="M194" s="68"/>
      <c r="N194" s="68"/>
    </row>
    <row r="195" spans="1:14">
      <c r="A195" s="68"/>
      <c r="B195" s="68"/>
      <c r="K195" s="68"/>
      <c r="L195" s="68"/>
      <c r="M195" s="68"/>
      <c r="N195" s="68"/>
    </row>
    <row r="196" spans="1:14">
      <c r="A196" s="68"/>
      <c r="B196" s="68"/>
      <c r="K196" s="68"/>
      <c r="L196" s="68"/>
      <c r="M196" s="68"/>
      <c r="N196" s="68"/>
    </row>
    <row r="197" spans="1:14">
      <c r="A197" s="68"/>
      <c r="B197" s="68"/>
      <c r="K197" s="68"/>
      <c r="L197" s="68"/>
      <c r="M197" s="68"/>
      <c r="N197" s="68"/>
    </row>
    <row r="198" spans="1:14">
      <c r="A198" s="68"/>
      <c r="B198" s="68"/>
      <c r="K198" s="68"/>
      <c r="L198" s="68"/>
      <c r="M198" s="68"/>
      <c r="N198" s="68"/>
    </row>
    <row r="199" spans="1:14">
      <c r="A199" s="68"/>
      <c r="B199" s="68"/>
      <c r="K199" s="68"/>
      <c r="L199" s="68"/>
      <c r="M199" s="68"/>
      <c r="N199" s="68"/>
    </row>
    <row r="200" spans="1:14">
      <c r="A200" s="68"/>
      <c r="B200" s="68"/>
      <c r="K200" s="68"/>
      <c r="L200" s="68"/>
      <c r="M200" s="68"/>
      <c r="N200" s="68"/>
    </row>
    <row r="201" spans="1:14">
      <c r="A201" s="68"/>
      <c r="B201" s="68"/>
      <c r="K201" s="68"/>
      <c r="L201" s="68"/>
      <c r="M201" s="68"/>
      <c r="N201" s="68"/>
    </row>
    <row r="202" spans="1:14">
      <c r="A202" s="68"/>
      <c r="B202" s="68"/>
      <c r="K202" s="68"/>
      <c r="L202" s="68"/>
      <c r="M202" s="68"/>
      <c r="N202" s="68"/>
    </row>
    <row r="203" spans="1:14">
      <c r="A203" s="68"/>
      <c r="B203" s="68"/>
      <c r="K203" s="68"/>
      <c r="L203" s="68"/>
      <c r="M203" s="68"/>
      <c r="N203" s="68"/>
    </row>
    <row r="204" spans="1:14">
      <c r="A204" s="68"/>
      <c r="B204" s="68"/>
      <c r="K204" s="68"/>
      <c r="L204" s="68"/>
      <c r="M204" s="68"/>
      <c r="N204" s="68"/>
    </row>
    <row r="205" spans="1:14">
      <c r="A205" s="68"/>
      <c r="B205" s="68"/>
      <c r="K205" s="68"/>
      <c r="L205" s="68"/>
      <c r="M205" s="68"/>
      <c r="N205" s="68"/>
    </row>
    <row r="206" spans="1:14">
      <c r="A206" s="68"/>
      <c r="B206" s="68"/>
      <c r="K206" s="68"/>
      <c r="L206" s="68"/>
      <c r="M206" s="68"/>
      <c r="N206" s="68"/>
    </row>
    <row r="207" spans="1:14">
      <c r="A207" s="68"/>
      <c r="B207" s="68"/>
      <c r="K207" s="68"/>
      <c r="L207" s="68"/>
      <c r="M207" s="68"/>
      <c r="N207" s="68"/>
    </row>
    <row r="208" spans="1:14">
      <c r="A208" s="68"/>
      <c r="B208" s="68"/>
      <c r="K208" s="68"/>
      <c r="L208" s="68"/>
      <c r="M208" s="68"/>
      <c r="N208" s="68"/>
    </row>
    <row r="209" spans="1:14">
      <c r="A209" s="68"/>
      <c r="B209" s="68"/>
      <c r="K209" s="68"/>
      <c r="L209" s="68"/>
      <c r="M209" s="68"/>
      <c r="N209" s="68"/>
    </row>
    <row r="210" spans="1:14">
      <c r="A210" s="68"/>
      <c r="B210" s="68"/>
      <c r="K210" s="68"/>
      <c r="L210" s="68"/>
      <c r="M210" s="68"/>
      <c r="N210" s="68"/>
    </row>
    <row r="211" spans="1:14">
      <c r="A211" s="68"/>
      <c r="B211" s="68"/>
      <c r="K211" s="68"/>
      <c r="L211" s="68"/>
      <c r="M211" s="68"/>
      <c r="N211" s="68"/>
    </row>
    <row r="212" spans="1:14">
      <c r="A212" s="68"/>
      <c r="B212" s="68"/>
      <c r="K212" s="68"/>
      <c r="L212" s="68"/>
      <c r="M212" s="68"/>
      <c r="N212" s="68"/>
    </row>
    <row r="213" spans="1:14">
      <c r="A213" s="68"/>
      <c r="B213" s="68"/>
      <c r="K213" s="68"/>
      <c r="L213" s="68"/>
      <c r="M213" s="68"/>
      <c r="N213" s="68"/>
    </row>
    <row r="214" spans="1:14">
      <c r="A214" s="68"/>
      <c r="B214" s="68"/>
      <c r="K214" s="68"/>
      <c r="L214" s="68"/>
      <c r="M214" s="68"/>
      <c r="N214" s="68"/>
    </row>
    <row r="215" spans="1:14">
      <c r="A215" s="68"/>
      <c r="B215" s="68"/>
      <c r="K215" s="68"/>
      <c r="L215" s="68"/>
      <c r="M215" s="68"/>
      <c r="N215" s="68"/>
    </row>
    <row r="216" spans="1:14">
      <c r="A216" s="68"/>
      <c r="B216" s="68"/>
      <c r="K216" s="68"/>
      <c r="L216" s="68"/>
      <c r="M216" s="68"/>
      <c r="N216" s="68"/>
    </row>
    <row r="217" spans="1:14">
      <c r="A217" s="68"/>
      <c r="B217" s="68"/>
      <c r="K217" s="68"/>
      <c r="L217" s="68"/>
      <c r="M217" s="68"/>
      <c r="N217" s="68"/>
    </row>
    <row r="218" spans="1:14">
      <c r="A218" s="68"/>
      <c r="B218" s="68"/>
      <c r="K218" s="68"/>
      <c r="L218" s="68"/>
      <c r="M218" s="68"/>
      <c r="N218" s="68"/>
    </row>
    <row r="219" spans="1:14">
      <c r="A219" s="68"/>
      <c r="B219" s="68"/>
      <c r="K219" s="68"/>
      <c r="L219" s="68"/>
      <c r="M219" s="68"/>
      <c r="N219" s="68"/>
    </row>
    <row r="220" spans="1:14">
      <c r="A220" s="68"/>
      <c r="B220" s="68"/>
      <c r="K220" s="68"/>
      <c r="L220" s="68"/>
      <c r="M220" s="68"/>
      <c r="N220" s="68"/>
    </row>
    <row r="221" spans="1:14">
      <c r="A221" s="68"/>
      <c r="B221" s="68"/>
      <c r="K221" s="68"/>
      <c r="L221" s="68"/>
      <c r="M221" s="68"/>
      <c r="N221" s="68"/>
    </row>
    <row r="222" spans="1:14">
      <c r="A222" s="68"/>
      <c r="B222" s="68"/>
      <c r="K222" s="68"/>
      <c r="L222" s="68"/>
      <c r="M222" s="68"/>
      <c r="N222" s="68"/>
    </row>
    <row r="223" spans="1:14">
      <c r="A223" s="68"/>
      <c r="B223" s="68"/>
      <c r="K223" s="68"/>
      <c r="L223" s="68"/>
      <c r="M223" s="68"/>
      <c r="N223" s="68"/>
    </row>
    <row r="224" spans="1:14">
      <c r="A224" s="68"/>
      <c r="B224" s="68"/>
      <c r="K224" s="68"/>
      <c r="L224" s="68"/>
      <c r="M224" s="68"/>
      <c r="N224" s="68"/>
    </row>
    <row r="225" spans="1:14">
      <c r="A225" s="68"/>
      <c r="B225" s="68"/>
      <c r="K225" s="68"/>
      <c r="L225" s="68"/>
      <c r="M225" s="68"/>
      <c r="N225" s="68"/>
    </row>
    <row r="226" spans="1:14">
      <c r="A226" s="68"/>
      <c r="B226" s="68"/>
      <c r="K226" s="68"/>
      <c r="L226" s="68"/>
      <c r="M226" s="68"/>
      <c r="N226" s="68"/>
    </row>
    <row r="227" spans="1:14">
      <c r="A227" s="68"/>
      <c r="B227" s="68"/>
      <c r="K227" s="68"/>
      <c r="L227" s="68"/>
      <c r="M227" s="68"/>
      <c r="N227" s="68"/>
    </row>
    <row r="228" spans="1:14">
      <c r="A228" s="68"/>
      <c r="B228" s="68"/>
      <c r="K228" s="68"/>
      <c r="L228" s="68"/>
      <c r="M228" s="68"/>
      <c r="N228" s="68"/>
    </row>
    <row r="229" spans="1:14">
      <c r="A229" s="68"/>
      <c r="B229" s="68"/>
      <c r="K229" s="68"/>
      <c r="L229" s="68"/>
      <c r="M229" s="68"/>
      <c r="N229" s="68"/>
    </row>
    <row r="230" spans="1:14">
      <c r="A230" s="68"/>
      <c r="B230" s="68"/>
      <c r="K230" s="68"/>
      <c r="L230" s="68"/>
      <c r="M230" s="68"/>
      <c r="N230" s="68"/>
    </row>
    <row r="231" spans="1:14">
      <c r="A231" s="68"/>
      <c r="B231" s="68"/>
      <c r="K231" s="68"/>
      <c r="L231" s="68"/>
      <c r="M231" s="68"/>
      <c r="N231" s="68"/>
    </row>
    <row r="232" spans="1:14">
      <c r="A232" s="68"/>
      <c r="B232" s="68"/>
      <c r="K232" s="68"/>
      <c r="L232" s="68"/>
      <c r="M232" s="68"/>
      <c r="N232" s="68"/>
    </row>
    <row r="233" spans="1:14">
      <c r="A233" s="68"/>
      <c r="B233" s="68"/>
      <c r="K233" s="68"/>
      <c r="L233" s="68"/>
      <c r="M233" s="68"/>
      <c r="N233" s="68"/>
    </row>
    <row r="234" spans="1:14">
      <c r="A234" s="68"/>
      <c r="B234" s="68"/>
      <c r="K234" s="68"/>
      <c r="L234" s="68"/>
      <c r="M234" s="68"/>
      <c r="N234" s="68"/>
    </row>
    <row r="235" spans="1:14">
      <c r="A235" s="68"/>
      <c r="B235" s="68"/>
      <c r="K235" s="68"/>
      <c r="L235" s="68"/>
      <c r="M235" s="68"/>
      <c r="N235" s="68"/>
    </row>
    <row r="236" spans="1:14">
      <c r="A236" s="68"/>
      <c r="B236" s="68"/>
      <c r="K236" s="68"/>
      <c r="L236" s="68"/>
      <c r="M236" s="68"/>
      <c r="N236" s="68"/>
    </row>
    <row r="237" spans="1:14">
      <c r="A237" s="68"/>
      <c r="B237" s="68"/>
      <c r="K237" s="68"/>
      <c r="L237" s="68"/>
      <c r="M237" s="68"/>
      <c r="N237" s="68"/>
    </row>
    <row r="238" spans="1:14">
      <c r="A238" s="68"/>
      <c r="B238" s="68"/>
      <c r="K238" s="68"/>
      <c r="L238" s="68"/>
      <c r="M238" s="68"/>
      <c r="N238" s="68"/>
    </row>
    <row r="239" spans="1:14">
      <c r="A239" s="68"/>
      <c r="B239" s="68"/>
      <c r="K239" s="68"/>
      <c r="L239" s="68"/>
      <c r="M239" s="68"/>
      <c r="N239" s="68"/>
    </row>
    <row r="240" spans="1:14">
      <c r="A240" s="68"/>
      <c r="B240" s="68"/>
      <c r="K240" s="68"/>
      <c r="L240" s="68"/>
      <c r="M240" s="68"/>
      <c r="N240" s="68"/>
    </row>
    <row r="241" spans="1:14">
      <c r="A241" s="68"/>
      <c r="B241" s="68"/>
      <c r="K241" s="68"/>
      <c r="L241" s="68"/>
      <c r="M241" s="68"/>
      <c r="N241" s="68"/>
    </row>
    <row r="242" spans="1:14">
      <c r="A242" s="68"/>
      <c r="B242" s="68"/>
      <c r="K242" s="68"/>
      <c r="L242" s="68"/>
      <c r="M242" s="68"/>
      <c r="N242" s="68"/>
    </row>
    <row r="243" spans="1:14">
      <c r="A243" s="68"/>
      <c r="B243" s="68"/>
      <c r="K243" s="68"/>
      <c r="L243" s="68"/>
      <c r="M243" s="68"/>
      <c r="N243" s="68"/>
    </row>
    <row r="244" spans="1:14">
      <c r="A244" s="68"/>
      <c r="B244" s="68"/>
      <c r="K244" s="68"/>
      <c r="L244" s="68"/>
      <c r="M244" s="68"/>
      <c r="N244" s="68"/>
    </row>
    <row r="245" spans="1:14">
      <c r="A245" s="68"/>
      <c r="B245" s="68"/>
      <c r="K245" s="68"/>
      <c r="L245" s="68"/>
      <c r="M245" s="68"/>
      <c r="N245" s="68"/>
    </row>
    <row r="246" spans="1:14">
      <c r="A246" s="68"/>
      <c r="B246" s="68"/>
      <c r="K246" s="68"/>
      <c r="L246" s="68"/>
      <c r="M246" s="68"/>
      <c r="N246" s="68"/>
    </row>
    <row r="247" spans="1:14">
      <c r="A247" s="68"/>
      <c r="B247" s="68"/>
      <c r="K247" s="68"/>
      <c r="L247" s="68"/>
      <c r="M247" s="68"/>
      <c r="N247" s="68"/>
    </row>
    <row r="248" spans="1:14">
      <c r="A248" s="68"/>
      <c r="B248" s="68"/>
      <c r="K248" s="68"/>
      <c r="L248" s="68"/>
      <c r="M248" s="68"/>
      <c r="N248" s="68"/>
    </row>
    <row r="249" spans="1:14">
      <c r="A249" s="68"/>
      <c r="B249" s="68"/>
      <c r="K249" s="68"/>
      <c r="L249" s="68"/>
      <c r="M249" s="68"/>
      <c r="N249" s="68"/>
    </row>
    <row r="250" spans="1:14">
      <c r="A250" s="68"/>
      <c r="B250" s="68"/>
      <c r="K250" s="68"/>
      <c r="L250" s="68"/>
      <c r="M250" s="68"/>
      <c r="N250" s="68"/>
    </row>
    <row r="251" spans="1:14">
      <c r="A251" s="68"/>
      <c r="B251" s="68"/>
      <c r="K251" s="68"/>
      <c r="L251" s="68"/>
      <c r="M251" s="68"/>
      <c r="N251" s="68"/>
    </row>
    <row r="252" spans="1:14">
      <c r="A252" s="68"/>
      <c r="B252" s="68"/>
      <c r="K252" s="68"/>
      <c r="L252" s="68"/>
      <c r="M252" s="68"/>
      <c r="N252" s="68"/>
    </row>
    <row r="253" spans="1:14">
      <c r="A253" s="68"/>
      <c r="B253" s="68"/>
      <c r="K253" s="68"/>
      <c r="L253" s="68"/>
      <c r="M253" s="68"/>
      <c r="N253" s="68"/>
    </row>
    <row r="254" spans="1:14">
      <c r="A254" s="68"/>
      <c r="B254" s="68"/>
      <c r="K254" s="68"/>
      <c r="L254" s="68"/>
      <c r="M254" s="68"/>
      <c r="N254" s="68"/>
    </row>
    <row r="255" spans="1:14">
      <c r="A255" s="68"/>
      <c r="B255" s="68"/>
      <c r="K255" s="68"/>
      <c r="L255" s="68"/>
      <c r="M255" s="68"/>
      <c r="N255" s="68"/>
    </row>
    <row r="256" spans="1:14">
      <c r="A256" s="68"/>
      <c r="B256" s="68"/>
      <c r="K256" s="68"/>
      <c r="L256" s="68"/>
      <c r="M256" s="68"/>
      <c r="N256" s="68"/>
    </row>
    <row r="257" spans="1:14">
      <c r="A257" s="68"/>
      <c r="B257" s="68"/>
      <c r="K257" s="68"/>
      <c r="L257" s="68"/>
      <c r="M257" s="68"/>
      <c r="N257" s="68"/>
    </row>
    <row r="258" spans="1:14">
      <c r="A258" s="68"/>
      <c r="B258" s="68"/>
      <c r="K258" s="68"/>
      <c r="L258" s="68"/>
      <c r="M258" s="68"/>
      <c r="N258" s="68"/>
    </row>
    <row r="259" spans="1:14">
      <c r="A259" s="68"/>
      <c r="B259" s="68"/>
      <c r="K259" s="68"/>
      <c r="L259" s="68"/>
      <c r="M259" s="68"/>
      <c r="N259" s="68"/>
    </row>
    <row r="260" spans="1:14">
      <c r="A260" s="68"/>
      <c r="B260" s="68"/>
      <c r="K260" s="68"/>
      <c r="L260" s="68"/>
      <c r="M260" s="68"/>
      <c r="N260" s="68"/>
    </row>
    <row r="261" spans="1:14">
      <c r="A261" s="68"/>
      <c r="B261" s="68"/>
      <c r="K261" s="68"/>
      <c r="L261" s="68"/>
      <c r="M261" s="68"/>
      <c r="N261" s="68"/>
    </row>
    <row r="262" spans="1:14">
      <c r="A262" s="68"/>
      <c r="B262" s="68"/>
      <c r="K262" s="68"/>
      <c r="L262" s="68"/>
      <c r="M262" s="68"/>
      <c r="N262" s="68"/>
    </row>
    <row r="263" spans="1:14">
      <c r="A263" s="68"/>
      <c r="B263" s="68"/>
      <c r="K263" s="68"/>
      <c r="L263" s="68"/>
      <c r="M263" s="68"/>
      <c r="N263" s="68"/>
    </row>
    <row r="264" spans="1:14">
      <c r="A264" s="68"/>
      <c r="B264" s="68"/>
      <c r="K264" s="68"/>
      <c r="L264" s="68"/>
      <c r="M264" s="68"/>
      <c r="N264" s="68"/>
    </row>
    <row r="265" spans="1:14">
      <c r="A265" s="68"/>
      <c r="B265" s="68"/>
      <c r="K265" s="68"/>
      <c r="L265" s="68"/>
      <c r="M265" s="68"/>
      <c r="N265" s="68"/>
    </row>
    <row r="266" spans="1:14">
      <c r="A266" s="68"/>
      <c r="B266" s="68"/>
      <c r="K266" s="68"/>
      <c r="L266" s="68"/>
      <c r="M266" s="68"/>
      <c r="N266" s="68"/>
    </row>
    <row r="267" spans="1:14">
      <c r="A267" s="68"/>
      <c r="B267" s="68"/>
      <c r="K267" s="68"/>
      <c r="L267" s="68"/>
      <c r="M267" s="68"/>
      <c r="N267" s="68"/>
    </row>
    <row r="268" spans="1:14">
      <c r="A268" s="68"/>
      <c r="B268" s="68"/>
      <c r="K268" s="68"/>
      <c r="L268" s="68"/>
      <c r="M268" s="68"/>
      <c r="N268" s="68"/>
    </row>
    <row r="269" spans="1:14">
      <c r="A269" s="68"/>
      <c r="B269" s="68"/>
      <c r="K269" s="68"/>
      <c r="L269" s="68"/>
      <c r="M269" s="68"/>
      <c r="N269" s="68"/>
    </row>
    <row r="270" spans="1:14">
      <c r="A270" s="68"/>
      <c r="B270" s="68"/>
      <c r="K270" s="68"/>
      <c r="L270" s="68"/>
      <c r="M270" s="68"/>
      <c r="N270" s="68"/>
    </row>
    <row r="271" spans="1:14">
      <c r="A271" s="68"/>
      <c r="B271" s="68"/>
      <c r="K271" s="68"/>
      <c r="L271" s="68"/>
      <c r="M271" s="68"/>
      <c r="N271" s="68"/>
    </row>
    <row r="272" spans="1:14">
      <c r="A272" s="68"/>
      <c r="B272" s="68"/>
      <c r="K272" s="68"/>
      <c r="L272" s="68"/>
      <c r="M272" s="68"/>
      <c r="N272" s="68"/>
    </row>
    <row r="273" spans="1:14">
      <c r="A273" s="68"/>
      <c r="B273" s="68"/>
      <c r="K273" s="68"/>
      <c r="L273" s="68"/>
      <c r="M273" s="68"/>
      <c r="N273" s="68"/>
    </row>
    <row r="274" spans="1:14">
      <c r="A274" s="68"/>
      <c r="B274" s="68"/>
      <c r="K274" s="68"/>
      <c r="L274" s="68"/>
      <c r="M274" s="68"/>
      <c r="N274" s="68"/>
    </row>
    <row r="275" spans="1:14">
      <c r="A275" s="68"/>
      <c r="B275" s="68"/>
      <c r="K275" s="68"/>
      <c r="L275" s="68"/>
      <c r="M275" s="68"/>
      <c r="N275" s="68"/>
    </row>
    <row r="276" spans="1:14">
      <c r="A276" s="68"/>
      <c r="B276" s="68"/>
      <c r="K276" s="68"/>
      <c r="L276" s="68"/>
      <c r="M276" s="68"/>
      <c r="N276" s="68"/>
    </row>
    <row r="277" spans="1:14">
      <c r="A277" s="68"/>
      <c r="B277" s="68"/>
      <c r="K277" s="68"/>
      <c r="L277" s="68"/>
      <c r="M277" s="68"/>
      <c r="N277" s="68"/>
    </row>
    <row r="278" spans="1:14">
      <c r="A278" s="68"/>
      <c r="B278" s="68"/>
      <c r="K278" s="68"/>
      <c r="L278" s="68"/>
      <c r="M278" s="68"/>
      <c r="N278" s="68"/>
    </row>
    <row r="279" spans="1:14">
      <c r="A279" s="68"/>
      <c r="B279" s="68"/>
      <c r="K279" s="68"/>
      <c r="L279" s="68"/>
      <c r="M279" s="68"/>
      <c r="N279" s="68"/>
    </row>
    <row r="280" spans="1:14">
      <c r="A280" s="68"/>
      <c r="B280" s="68"/>
      <c r="K280" s="68"/>
      <c r="L280" s="68"/>
      <c r="M280" s="68"/>
      <c r="N280" s="68"/>
    </row>
    <row r="281" spans="1:14">
      <c r="A281" s="68"/>
      <c r="B281" s="68"/>
      <c r="K281" s="68"/>
      <c r="L281" s="68"/>
      <c r="M281" s="68"/>
      <c r="N281" s="68"/>
    </row>
    <row r="282" spans="1:14">
      <c r="A282" s="68"/>
      <c r="B282" s="68"/>
      <c r="K282" s="68"/>
      <c r="L282" s="68"/>
      <c r="M282" s="68"/>
      <c r="N282" s="68"/>
    </row>
    <row r="283" spans="1:14">
      <c r="A283" s="68"/>
      <c r="B283" s="68"/>
      <c r="K283" s="68"/>
      <c r="L283" s="68"/>
      <c r="M283" s="68"/>
      <c r="N283" s="68"/>
    </row>
    <row r="284" spans="1:14">
      <c r="A284" s="68"/>
      <c r="B284" s="68"/>
      <c r="K284" s="68"/>
      <c r="L284" s="68"/>
      <c r="M284" s="68"/>
      <c r="N284" s="68"/>
    </row>
    <row r="285" spans="1:14">
      <c r="A285" s="68"/>
      <c r="B285" s="68"/>
      <c r="K285" s="68"/>
      <c r="L285" s="68"/>
      <c r="M285" s="68"/>
      <c r="N285" s="68"/>
    </row>
    <row r="286" spans="1:14">
      <c r="A286" s="68"/>
      <c r="B286" s="68"/>
      <c r="K286" s="68"/>
      <c r="L286" s="68"/>
      <c r="M286" s="68"/>
      <c r="N286" s="68"/>
    </row>
    <row r="287" spans="1:14">
      <c r="A287" s="68"/>
      <c r="B287" s="68"/>
      <c r="K287" s="68"/>
      <c r="L287" s="68"/>
      <c r="M287" s="68"/>
      <c r="N287" s="68"/>
    </row>
    <row r="288" spans="1:14">
      <c r="A288" s="68"/>
      <c r="B288" s="68"/>
      <c r="K288" s="68"/>
      <c r="L288" s="68"/>
      <c r="M288" s="68"/>
      <c r="N288" s="68"/>
    </row>
    <row r="289" spans="1:14">
      <c r="A289" s="68"/>
      <c r="B289" s="68"/>
      <c r="K289" s="68"/>
      <c r="L289" s="68"/>
      <c r="M289" s="68"/>
      <c r="N289" s="68"/>
    </row>
    <row r="290" spans="1:14">
      <c r="A290" s="68"/>
      <c r="B290" s="68"/>
      <c r="K290" s="68"/>
      <c r="L290" s="68"/>
      <c r="M290" s="68"/>
      <c r="N290" s="68"/>
    </row>
    <row r="291" spans="1:14">
      <c r="A291" s="68"/>
      <c r="B291" s="68"/>
      <c r="K291" s="68"/>
      <c r="L291" s="68"/>
      <c r="M291" s="68"/>
      <c r="N291" s="68"/>
    </row>
    <row r="292" spans="1:14">
      <c r="A292" s="68"/>
      <c r="B292" s="68"/>
      <c r="K292" s="68"/>
      <c r="L292" s="68"/>
      <c r="M292" s="68"/>
      <c r="N292" s="68"/>
    </row>
    <row r="293" spans="1:14">
      <c r="A293" s="68"/>
      <c r="B293" s="68"/>
      <c r="K293" s="68"/>
      <c r="L293" s="68"/>
      <c r="M293" s="68"/>
      <c r="N293" s="68"/>
    </row>
    <row r="294" spans="1:14">
      <c r="A294" s="68"/>
      <c r="B294" s="68"/>
      <c r="K294" s="68"/>
      <c r="L294" s="68"/>
      <c r="M294" s="68"/>
      <c r="N294" s="68"/>
    </row>
    <row r="295" spans="1:14">
      <c r="A295" s="68"/>
      <c r="B295" s="68"/>
      <c r="K295" s="68"/>
      <c r="L295" s="68"/>
      <c r="M295" s="68"/>
      <c r="N295" s="68"/>
    </row>
    <row r="296" spans="1:14">
      <c r="A296" s="68"/>
      <c r="B296" s="68"/>
      <c r="K296" s="68"/>
      <c r="L296" s="68"/>
      <c r="M296" s="68"/>
      <c r="N296" s="68"/>
    </row>
    <row r="297" spans="1:14">
      <c r="A297" s="68"/>
      <c r="B297" s="68"/>
      <c r="K297" s="68"/>
      <c r="L297" s="68"/>
      <c r="M297" s="68"/>
      <c r="N297" s="68"/>
    </row>
    <row r="298" spans="1:14">
      <c r="A298" s="68"/>
      <c r="B298" s="68"/>
      <c r="K298" s="68"/>
      <c r="L298" s="68"/>
      <c r="M298" s="68"/>
      <c r="N298" s="68"/>
    </row>
    <row r="299" spans="1:14">
      <c r="A299" s="68"/>
      <c r="B299" s="68"/>
      <c r="K299" s="68"/>
      <c r="L299" s="68"/>
      <c r="M299" s="68"/>
      <c r="N299" s="68"/>
    </row>
    <row r="300" spans="1:14">
      <c r="A300" s="68"/>
      <c r="B300" s="68"/>
      <c r="K300" s="68"/>
      <c r="L300" s="68"/>
      <c r="M300" s="68"/>
      <c r="N300" s="68"/>
    </row>
    <row r="301" spans="1:14">
      <c r="A301" s="68"/>
      <c r="B301" s="68"/>
      <c r="K301" s="68"/>
      <c r="L301" s="68"/>
      <c r="M301" s="68"/>
      <c r="N301" s="68"/>
    </row>
    <row r="302" spans="1:14">
      <c r="A302" s="68"/>
      <c r="B302" s="68"/>
      <c r="K302" s="68"/>
      <c r="L302" s="68"/>
      <c r="M302" s="68"/>
      <c r="N302" s="68"/>
    </row>
    <row r="303" spans="1:14">
      <c r="A303" s="68"/>
      <c r="B303" s="68"/>
      <c r="K303" s="68"/>
      <c r="L303" s="68"/>
      <c r="M303" s="68"/>
      <c r="N303" s="68"/>
    </row>
    <row r="304" spans="1:14">
      <c r="A304" s="68"/>
      <c r="B304" s="68"/>
      <c r="K304" s="68"/>
      <c r="L304" s="68"/>
      <c r="M304" s="68"/>
      <c r="N304" s="68"/>
    </row>
    <row r="305" spans="1:14">
      <c r="A305" s="68"/>
      <c r="B305" s="68"/>
      <c r="K305" s="68"/>
      <c r="L305" s="68"/>
      <c r="M305" s="68"/>
      <c r="N305" s="68"/>
    </row>
    <row r="306" spans="1:14">
      <c r="A306" s="68"/>
      <c r="B306" s="68"/>
      <c r="K306" s="68"/>
      <c r="L306" s="68"/>
      <c r="M306" s="68"/>
      <c r="N306" s="68"/>
    </row>
    <row r="307" spans="1:14">
      <c r="A307" s="68"/>
      <c r="B307" s="68"/>
      <c r="K307" s="68"/>
      <c r="L307" s="68"/>
      <c r="M307" s="68"/>
      <c r="N307" s="68"/>
    </row>
    <row r="308" spans="1:14">
      <c r="A308" s="68"/>
      <c r="B308" s="68"/>
      <c r="K308" s="68"/>
      <c r="L308" s="68"/>
      <c r="M308" s="68"/>
      <c r="N308" s="68"/>
    </row>
    <row r="309" spans="1:14">
      <c r="A309" s="68"/>
      <c r="B309" s="68"/>
      <c r="K309" s="68"/>
      <c r="L309" s="68"/>
      <c r="M309" s="68"/>
      <c r="N309" s="68"/>
    </row>
    <row r="310" spans="1:14">
      <c r="A310" s="68"/>
      <c r="B310" s="68"/>
      <c r="K310" s="68"/>
      <c r="L310" s="68"/>
      <c r="M310" s="68"/>
      <c r="N310" s="68"/>
    </row>
    <row r="311" spans="1:14">
      <c r="A311" s="68"/>
      <c r="B311" s="68"/>
      <c r="K311" s="68"/>
      <c r="L311" s="68"/>
      <c r="M311" s="68"/>
      <c r="N311" s="68"/>
    </row>
    <row r="312" spans="1:14">
      <c r="A312" s="68"/>
      <c r="B312" s="68"/>
      <c r="K312" s="68"/>
      <c r="L312" s="68"/>
      <c r="M312" s="68"/>
      <c r="N312" s="68"/>
    </row>
    <row r="313" spans="1:14">
      <c r="A313" s="68"/>
      <c r="B313" s="68"/>
      <c r="K313" s="68"/>
      <c r="L313" s="68"/>
      <c r="M313" s="68"/>
      <c r="N313" s="68"/>
    </row>
    <row r="314" spans="1:14">
      <c r="A314" s="68"/>
      <c r="B314" s="68"/>
      <c r="K314" s="68"/>
      <c r="L314" s="68"/>
      <c r="M314" s="68"/>
      <c r="N314" s="68"/>
    </row>
    <row r="315" spans="1:14">
      <c r="A315" s="68"/>
      <c r="B315" s="68"/>
      <c r="K315" s="68"/>
      <c r="L315" s="68"/>
      <c r="M315" s="68"/>
      <c r="N315" s="68"/>
    </row>
    <row r="316" spans="1:14">
      <c r="A316" s="68"/>
      <c r="B316" s="68"/>
      <c r="K316" s="68"/>
      <c r="L316" s="68"/>
      <c r="M316" s="68"/>
      <c r="N316" s="68"/>
    </row>
    <row r="317" spans="1:14">
      <c r="A317" s="68"/>
      <c r="B317" s="68"/>
      <c r="K317" s="68"/>
      <c r="L317" s="68"/>
      <c r="M317" s="68"/>
      <c r="N317" s="68"/>
    </row>
    <row r="318" spans="1:14">
      <c r="A318" s="68"/>
      <c r="B318" s="68"/>
      <c r="K318" s="68"/>
      <c r="L318" s="68"/>
      <c r="M318" s="68"/>
      <c r="N318" s="68"/>
    </row>
    <row r="319" spans="1:14">
      <c r="A319" s="68"/>
      <c r="B319" s="68"/>
      <c r="K319" s="68"/>
      <c r="L319" s="68"/>
      <c r="M319" s="68"/>
      <c r="N319" s="68"/>
    </row>
    <row r="320" spans="1:14">
      <c r="A320" s="68"/>
      <c r="B320" s="68"/>
      <c r="K320" s="68"/>
      <c r="L320" s="68"/>
      <c r="M320" s="68"/>
      <c r="N320" s="68"/>
    </row>
    <row r="321" spans="1:14">
      <c r="A321" s="68"/>
      <c r="B321" s="68"/>
      <c r="K321" s="68"/>
      <c r="L321" s="68"/>
      <c r="M321" s="68"/>
      <c r="N321" s="68"/>
    </row>
    <row r="322" spans="1:14">
      <c r="A322" s="68"/>
      <c r="B322" s="68"/>
      <c r="K322" s="68"/>
      <c r="L322" s="68"/>
      <c r="M322" s="68"/>
      <c r="N322" s="68"/>
    </row>
    <row r="323" spans="1:14">
      <c r="A323" s="68"/>
      <c r="B323" s="68"/>
      <c r="K323" s="68"/>
      <c r="L323" s="68"/>
      <c r="M323" s="68"/>
      <c r="N323" s="68"/>
    </row>
    <row r="324" spans="1:14">
      <c r="A324" s="68"/>
      <c r="B324" s="68"/>
      <c r="K324" s="68"/>
      <c r="L324" s="68"/>
      <c r="M324" s="68"/>
      <c r="N324" s="68"/>
    </row>
    <row r="325" spans="1:14">
      <c r="A325" s="68"/>
      <c r="B325" s="68"/>
      <c r="K325" s="68"/>
      <c r="L325" s="68"/>
      <c r="M325" s="68"/>
      <c r="N325" s="68"/>
    </row>
    <row r="326" spans="1:14">
      <c r="A326" s="68"/>
      <c r="B326" s="68"/>
      <c r="K326" s="68"/>
      <c r="L326" s="68"/>
      <c r="M326" s="68"/>
      <c r="N326" s="68"/>
    </row>
    <row r="327" spans="1:14">
      <c r="A327" s="68"/>
      <c r="B327" s="68"/>
      <c r="K327" s="68"/>
      <c r="L327" s="68"/>
      <c r="M327" s="68"/>
      <c r="N327" s="68"/>
    </row>
    <row r="328" spans="1:14">
      <c r="A328" s="68"/>
      <c r="B328" s="68"/>
      <c r="K328" s="68"/>
      <c r="L328" s="68"/>
      <c r="M328" s="68"/>
      <c r="N328" s="68"/>
    </row>
    <row r="329" spans="1:14">
      <c r="A329" s="68"/>
      <c r="B329" s="68"/>
      <c r="K329" s="68"/>
      <c r="L329" s="68"/>
      <c r="M329" s="68"/>
      <c r="N329" s="68"/>
    </row>
    <row r="330" spans="1:14">
      <c r="A330" s="68"/>
      <c r="B330" s="68"/>
      <c r="K330" s="68"/>
      <c r="L330" s="68"/>
      <c r="M330" s="68"/>
      <c r="N330" s="68"/>
    </row>
    <row r="331" spans="1:14">
      <c r="A331" s="68"/>
      <c r="B331" s="68"/>
      <c r="K331" s="68"/>
      <c r="L331" s="68"/>
      <c r="M331" s="68"/>
      <c r="N331" s="68"/>
    </row>
    <row r="332" spans="1:14">
      <c r="A332" s="68"/>
      <c r="B332" s="68"/>
      <c r="K332" s="68"/>
      <c r="L332" s="68"/>
      <c r="M332" s="68"/>
      <c r="N332" s="68"/>
    </row>
    <row r="333" spans="1:14">
      <c r="A333" s="68"/>
      <c r="B333" s="68"/>
      <c r="K333" s="68"/>
      <c r="L333" s="68"/>
      <c r="M333" s="68"/>
      <c r="N333" s="68"/>
    </row>
    <row r="334" spans="1:14">
      <c r="A334" s="68"/>
      <c r="B334" s="68"/>
      <c r="K334" s="68"/>
      <c r="L334" s="68"/>
      <c r="M334" s="68"/>
      <c r="N334" s="68"/>
    </row>
    <row r="335" spans="1:14">
      <c r="A335" s="68"/>
      <c r="B335" s="68"/>
      <c r="K335" s="68"/>
      <c r="L335" s="68"/>
      <c r="M335" s="68"/>
      <c r="N335" s="68"/>
    </row>
    <row r="336" spans="1:14">
      <c r="A336" s="68"/>
      <c r="B336" s="68"/>
      <c r="K336" s="68"/>
      <c r="L336" s="68"/>
      <c r="M336" s="68"/>
      <c r="N336" s="68"/>
    </row>
    <row r="337" spans="1:14">
      <c r="A337" s="68"/>
      <c r="B337" s="68"/>
      <c r="K337" s="68"/>
      <c r="L337" s="68"/>
      <c r="M337" s="68"/>
      <c r="N337" s="68"/>
    </row>
    <row r="338" spans="1:14">
      <c r="A338" s="68"/>
      <c r="B338" s="68"/>
      <c r="K338" s="68"/>
      <c r="L338" s="68"/>
      <c r="M338" s="68"/>
      <c r="N338" s="68"/>
    </row>
    <row r="339" spans="1:14">
      <c r="A339" s="68"/>
      <c r="B339" s="68"/>
      <c r="K339" s="68"/>
      <c r="L339" s="68"/>
      <c r="M339" s="68"/>
      <c r="N339" s="68"/>
    </row>
    <row r="340" spans="1:14">
      <c r="A340" s="68"/>
      <c r="B340" s="68"/>
      <c r="K340" s="68"/>
      <c r="L340" s="68"/>
      <c r="M340" s="68"/>
      <c r="N340" s="68"/>
    </row>
    <row r="341" spans="1:14">
      <c r="A341" s="68"/>
      <c r="B341" s="68"/>
      <c r="K341" s="68"/>
      <c r="L341" s="68"/>
      <c r="M341" s="68"/>
      <c r="N341" s="68"/>
    </row>
    <row r="342" spans="1:14">
      <c r="A342" s="68"/>
      <c r="B342" s="68"/>
      <c r="K342" s="68"/>
      <c r="L342" s="68"/>
      <c r="M342" s="68"/>
      <c r="N342" s="68"/>
    </row>
    <row r="343" spans="1:14">
      <c r="A343" s="68"/>
      <c r="B343" s="68"/>
      <c r="K343" s="68"/>
      <c r="L343" s="68"/>
      <c r="M343" s="68"/>
      <c r="N343" s="68"/>
    </row>
    <row r="344" spans="1:14">
      <c r="A344" s="68"/>
      <c r="B344" s="68"/>
      <c r="K344" s="68"/>
      <c r="L344" s="68"/>
      <c r="M344" s="68"/>
      <c r="N344" s="68"/>
    </row>
    <row r="345" spans="1:14">
      <c r="A345" s="68"/>
      <c r="B345" s="68"/>
      <c r="K345" s="68"/>
      <c r="L345" s="68"/>
      <c r="M345" s="68"/>
      <c r="N345" s="68"/>
    </row>
    <row r="346" spans="1:14">
      <c r="A346" s="68"/>
      <c r="B346" s="68"/>
      <c r="K346" s="68"/>
      <c r="L346" s="68"/>
      <c r="M346" s="68"/>
      <c r="N346" s="68"/>
    </row>
    <row r="347" spans="1:14">
      <c r="A347" s="68"/>
      <c r="B347" s="68"/>
      <c r="K347" s="68"/>
      <c r="L347" s="68"/>
      <c r="M347" s="68"/>
      <c r="N347" s="68"/>
    </row>
    <row r="348" spans="1:14">
      <c r="A348" s="68"/>
      <c r="B348" s="68"/>
      <c r="K348" s="68"/>
      <c r="L348" s="68"/>
      <c r="M348" s="68"/>
      <c r="N348" s="68"/>
    </row>
    <row r="349" spans="1:14">
      <c r="A349" s="68"/>
      <c r="B349" s="68"/>
      <c r="K349" s="68"/>
      <c r="L349" s="68"/>
      <c r="M349" s="68"/>
      <c r="N349" s="68"/>
    </row>
    <row r="350" spans="1:14">
      <c r="A350" s="68"/>
      <c r="B350" s="68"/>
      <c r="K350" s="68"/>
      <c r="L350" s="68"/>
      <c r="M350" s="68"/>
      <c r="N350" s="68"/>
    </row>
    <row r="351" spans="1:14">
      <c r="A351" s="68"/>
      <c r="B351" s="68"/>
      <c r="K351" s="68"/>
      <c r="L351" s="68"/>
      <c r="M351" s="68"/>
      <c r="N351" s="68"/>
    </row>
    <row r="352" spans="1:14">
      <c r="A352" s="68"/>
      <c r="B352" s="68"/>
      <c r="K352" s="68"/>
      <c r="L352" s="68"/>
      <c r="M352" s="68"/>
      <c r="N352" s="68"/>
    </row>
    <row r="353" spans="1:14">
      <c r="A353" s="68"/>
      <c r="B353" s="68"/>
      <c r="K353" s="68"/>
      <c r="L353" s="68"/>
      <c r="M353" s="68"/>
      <c r="N353" s="68"/>
    </row>
    <row r="354" spans="1:14">
      <c r="A354" s="68"/>
      <c r="B354" s="68"/>
      <c r="K354" s="68"/>
      <c r="L354" s="68"/>
      <c r="M354" s="68"/>
      <c r="N354" s="68"/>
    </row>
    <row r="355" spans="1:14">
      <c r="A355" s="68"/>
      <c r="B355" s="68"/>
      <c r="K355" s="68"/>
      <c r="L355" s="68"/>
      <c r="M355" s="68"/>
      <c r="N355" s="68"/>
    </row>
    <row r="356" spans="1:14">
      <c r="A356" s="68"/>
      <c r="B356" s="68"/>
      <c r="K356" s="68"/>
      <c r="L356" s="68"/>
      <c r="M356" s="68"/>
      <c r="N356" s="68"/>
    </row>
    <row r="357" spans="1:14">
      <c r="A357" s="68"/>
      <c r="B357" s="68"/>
      <c r="K357" s="68"/>
      <c r="L357" s="68"/>
      <c r="M357" s="68"/>
      <c r="N357" s="68"/>
    </row>
    <row r="358" spans="1:14">
      <c r="A358" s="68"/>
      <c r="B358" s="68"/>
      <c r="K358" s="68"/>
      <c r="L358" s="68"/>
      <c r="M358" s="68"/>
      <c r="N358" s="68"/>
    </row>
    <row r="359" spans="1:14">
      <c r="A359" s="68"/>
      <c r="B359" s="68"/>
      <c r="K359" s="68"/>
      <c r="L359" s="68"/>
      <c r="M359" s="68"/>
      <c r="N359" s="68"/>
    </row>
    <row r="360" spans="1:14">
      <c r="A360" s="68"/>
      <c r="B360" s="68"/>
      <c r="K360" s="68"/>
      <c r="L360" s="68"/>
      <c r="M360" s="68"/>
      <c r="N360" s="68"/>
    </row>
    <row r="361" spans="1:14">
      <c r="A361" s="68"/>
      <c r="B361" s="68"/>
      <c r="K361" s="68"/>
      <c r="L361" s="68"/>
      <c r="M361" s="68"/>
      <c r="N361" s="68"/>
    </row>
    <row r="362" spans="1:14">
      <c r="A362" s="68"/>
      <c r="B362" s="68"/>
      <c r="K362" s="68"/>
      <c r="L362" s="68"/>
      <c r="M362" s="68"/>
      <c r="N362" s="68"/>
    </row>
    <row r="363" spans="1:14">
      <c r="A363" s="68"/>
      <c r="B363" s="68"/>
      <c r="K363" s="68"/>
      <c r="L363" s="68"/>
      <c r="M363" s="68"/>
      <c r="N363" s="68"/>
    </row>
    <row r="364" spans="1:14">
      <c r="A364" s="68"/>
      <c r="B364" s="68"/>
      <c r="K364" s="68"/>
      <c r="L364" s="68"/>
      <c r="M364" s="68"/>
      <c r="N364" s="68"/>
    </row>
    <row r="365" spans="1:14">
      <c r="A365" s="68"/>
      <c r="B365" s="68"/>
      <c r="K365" s="68"/>
      <c r="L365" s="68"/>
      <c r="M365" s="68"/>
      <c r="N365" s="68"/>
    </row>
    <row r="366" spans="1:14">
      <c r="A366" s="68"/>
      <c r="B366" s="68"/>
      <c r="K366" s="68"/>
      <c r="L366" s="68"/>
      <c r="M366" s="68"/>
      <c r="N366" s="68"/>
    </row>
    <row r="367" spans="1:14">
      <c r="A367" s="68"/>
      <c r="B367" s="68"/>
      <c r="K367" s="68"/>
      <c r="L367" s="68"/>
      <c r="M367" s="68"/>
      <c r="N367" s="68"/>
    </row>
    <row r="368" spans="1:14">
      <c r="A368" s="68"/>
      <c r="B368" s="68"/>
      <c r="K368" s="68"/>
      <c r="L368" s="68"/>
      <c r="M368" s="68"/>
      <c r="N368" s="68"/>
    </row>
    <row r="369" spans="1:14">
      <c r="A369" s="68"/>
      <c r="B369" s="68"/>
      <c r="K369" s="68"/>
      <c r="L369" s="68"/>
      <c r="M369" s="68"/>
      <c r="N369" s="68"/>
    </row>
    <row r="370" spans="1:14">
      <c r="A370" s="68"/>
      <c r="B370" s="68"/>
      <c r="K370" s="68"/>
      <c r="L370" s="68"/>
      <c r="M370" s="68"/>
      <c r="N370" s="68"/>
    </row>
    <row r="371" spans="1:14">
      <c r="A371" s="68"/>
      <c r="B371" s="68"/>
      <c r="K371" s="68"/>
      <c r="L371" s="68"/>
      <c r="M371" s="68"/>
      <c r="N371" s="68"/>
    </row>
    <row r="372" spans="1:14">
      <c r="A372" s="68"/>
      <c r="B372" s="68"/>
      <c r="K372" s="68"/>
      <c r="L372" s="68"/>
      <c r="M372" s="68"/>
      <c r="N372" s="68"/>
    </row>
    <row r="373" spans="1:14">
      <c r="A373" s="68"/>
      <c r="B373" s="68"/>
      <c r="K373" s="68"/>
      <c r="L373" s="68"/>
      <c r="M373" s="68"/>
      <c r="N373" s="68"/>
    </row>
    <row r="374" spans="1:14">
      <c r="A374" s="68"/>
      <c r="B374" s="68"/>
      <c r="K374" s="68"/>
      <c r="L374" s="68"/>
      <c r="M374" s="68"/>
      <c r="N374" s="68"/>
    </row>
    <row r="375" spans="1:14">
      <c r="A375" s="68"/>
      <c r="B375" s="68"/>
      <c r="K375" s="68"/>
      <c r="L375" s="68"/>
      <c r="M375" s="68"/>
      <c r="N375" s="68"/>
    </row>
    <row r="376" spans="1:14">
      <c r="A376" s="68"/>
      <c r="B376" s="68"/>
      <c r="K376" s="68"/>
      <c r="L376" s="68"/>
      <c r="M376" s="68"/>
      <c r="N376" s="68"/>
    </row>
    <row r="377" spans="1:14">
      <c r="A377" s="68"/>
      <c r="B377" s="68"/>
      <c r="K377" s="68"/>
      <c r="L377" s="68"/>
      <c r="M377" s="68"/>
      <c r="N377" s="68"/>
    </row>
    <row r="378" spans="1:14">
      <c r="A378" s="68"/>
      <c r="B378" s="68"/>
      <c r="K378" s="68"/>
      <c r="L378" s="68"/>
      <c r="M378" s="68"/>
      <c r="N378" s="68"/>
    </row>
    <row r="379" spans="1:14">
      <c r="A379" s="68"/>
      <c r="B379" s="68"/>
      <c r="K379" s="68"/>
      <c r="L379" s="68"/>
      <c r="M379" s="68"/>
      <c r="N379" s="68"/>
    </row>
    <row r="380" spans="1:14">
      <c r="A380" s="68"/>
      <c r="B380" s="68"/>
      <c r="K380" s="68"/>
      <c r="L380" s="68"/>
      <c r="M380" s="68"/>
      <c r="N380" s="68"/>
    </row>
    <row r="381" spans="1:14">
      <c r="A381" s="68"/>
      <c r="B381" s="68"/>
      <c r="K381" s="68"/>
      <c r="L381" s="68"/>
      <c r="M381" s="68"/>
      <c r="N381" s="68"/>
    </row>
    <row r="382" spans="1:14">
      <c r="A382" s="68"/>
      <c r="B382" s="68"/>
      <c r="K382" s="68"/>
      <c r="L382" s="68"/>
      <c r="M382" s="68"/>
      <c r="N382" s="68"/>
    </row>
    <row r="383" spans="1:14">
      <c r="A383" s="68"/>
      <c r="B383" s="68"/>
      <c r="K383" s="68"/>
      <c r="L383" s="68"/>
      <c r="M383" s="68"/>
      <c r="N383" s="68"/>
    </row>
    <row r="384" spans="1:14">
      <c r="A384" s="68"/>
      <c r="B384" s="68"/>
      <c r="K384" s="68"/>
      <c r="L384" s="68"/>
      <c r="M384" s="68"/>
      <c r="N384" s="68"/>
    </row>
    <row r="385" spans="1:14">
      <c r="A385" s="68"/>
      <c r="B385" s="68"/>
      <c r="K385" s="68"/>
      <c r="L385" s="68"/>
      <c r="M385" s="68"/>
      <c r="N385" s="68"/>
    </row>
    <row r="386" spans="1:14">
      <c r="A386" s="68"/>
      <c r="B386" s="68"/>
      <c r="K386" s="68"/>
      <c r="L386" s="68"/>
      <c r="M386" s="68"/>
      <c r="N386" s="68"/>
    </row>
    <row r="387" spans="1:14">
      <c r="A387" s="68"/>
      <c r="B387" s="68"/>
      <c r="K387" s="68"/>
      <c r="L387" s="68"/>
      <c r="M387" s="68"/>
      <c r="N387" s="68"/>
    </row>
    <row r="388" spans="1:14">
      <c r="A388" s="68"/>
      <c r="B388" s="68"/>
      <c r="K388" s="68"/>
      <c r="L388" s="68"/>
      <c r="M388" s="68"/>
      <c r="N388" s="68"/>
    </row>
    <row r="389" spans="1:14">
      <c r="A389" s="68"/>
      <c r="B389" s="68"/>
      <c r="K389" s="68"/>
      <c r="L389" s="68"/>
      <c r="M389" s="68"/>
      <c r="N389" s="68"/>
    </row>
    <row r="390" spans="1:14">
      <c r="A390" s="68"/>
      <c r="B390" s="68"/>
      <c r="K390" s="68"/>
      <c r="L390" s="68"/>
      <c r="M390" s="68"/>
      <c r="N390" s="68"/>
    </row>
    <row r="391" spans="1:14">
      <c r="A391" s="68"/>
      <c r="B391" s="68"/>
      <c r="K391" s="68"/>
      <c r="L391" s="68"/>
      <c r="M391" s="68"/>
      <c r="N391" s="68"/>
    </row>
    <row r="392" spans="1:14">
      <c r="A392" s="68"/>
      <c r="B392" s="68"/>
      <c r="K392" s="68"/>
      <c r="L392" s="68"/>
      <c r="M392" s="68"/>
      <c r="N392" s="68"/>
    </row>
    <row r="393" spans="1:14">
      <c r="A393" s="68"/>
      <c r="B393" s="68"/>
      <c r="K393" s="68"/>
      <c r="L393" s="68"/>
      <c r="M393" s="68"/>
      <c r="N393" s="68"/>
    </row>
    <row r="394" spans="1:14">
      <c r="A394" s="68"/>
      <c r="B394" s="68"/>
      <c r="K394" s="68"/>
      <c r="L394" s="68"/>
      <c r="M394" s="68"/>
      <c r="N394" s="68"/>
    </row>
    <row r="395" spans="1:14">
      <c r="A395" s="68"/>
      <c r="B395" s="68"/>
      <c r="K395" s="68"/>
      <c r="L395" s="68"/>
      <c r="M395" s="68"/>
      <c r="N395" s="68"/>
    </row>
    <row r="396" spans="1:14">
      <c r="A396" s="68"/>
      <c r="B396" s="68"/>
      <c r="K396" s="68"/>
      <c r="L396" s="68"/>
      <c r="M396" s="68"/>
      <c r="N396" s="68"/>
    </row>
    <row r="397" spans="1:14">
      <c r="A397" s="68"/>
      <c r="B397" s="68"/>
      <c r="K397" s="68"/>
      <c r="L397" s="68"/>
      <c r="M397" s="68"/>
      <c r="N397" s="68"/>
    </row>
    <row r="398" spans="1:14">
      <c r="A398" s="68"/>
      <c r="B398" s="68"/>
      <c r="K398" s="68"/>
      <c r="L398" s="68"/>
      <c r="M398" s="68"/>
      <c r="N398" s="68"/>
    </row>
    <row r="399" spans="1:14">
      <c r="A399" s="68"/>
      <c r="B399" s="68"/>
      <c r="K399" s="68"/>
      <c r="L399" s="68"/>
      <c r="M399" s="68"/>
      <c r="N399" s="68"/>
    </row>
    <row r="400" spans="1:14">
      <c r="A400" s="68"/>
      <c r="B400" s="68"/>
      <c r="K400" s="68"/>
      <c r="L400" s="68"/>
      <c r="M400" s="68"/>
      <c r="N400" s="68"/>
    </row>
    <row r="401" spans="1:14">
      <c r="A401" s="68"/>
      <c r="B401" s="68"/>
      <c r="K401" s="68"/>
      <c r="L401" s="68"/>
      <c r="M401" s="68"/>
      <c r="N401" s="68"/>
    </row>
    <row r="402" spans="1:14">
      <c r="A402" s="68"/>
      <c r="B402" s="68"/>
      <c r="K402" s="68"/>
      <c r="L402" s="68"/>
      <c r="M402" s="68"/>
      <c r="N402" s="68"/>
    </row>
    <row r="403" spans="1:14">
      <c r="A403" s="68"/>
      <c r="B403" s="68"/>
      <c r="K403" s="68"/>
      <c r="L403" s="68"/>
      <c r="M403" s="68"/>
      <c r="N403" s="68"/>
    </row>
    <row r="404" spans="1:14">
      <c r="A404" s="68"/>
      <c r="B404" s="68"/>
      <c r="K404" s="68"/>
      <c r="L404" s="68"/>
      <c r="M404" s="68"/>
      <c r="N404" s="68"/>
    </row>
    <row r="405" spans="1:14">
      <c r="A405" s="68"/>
      <c r="B405" s="68"/>
      <c r="K405" s="68"/>
      <c r="L405" s="68"/>
      <c r="M405" s="68"/>
      <c r="N405" s="68"/>
    </row>
    <row r="406" spans="1:14">
      <c r="A406" s="68"/>
      <c r="B406" s="68"/>
      <c r="K406" s="68"/>
      <c r="L406" s="68"/>
      <c r="M406" s="68"/>
      <c r="N406" s="68"/>
    </row>
    <row r="407" spans="1:14">
      <c r="A407" s="68"/>
      <c r="B407" s="68"/>
      <c r="K407" s="68"/>
      <c r="L407" s="68"/>
      <c r="M407" s="68"/>
      <c r="N407" s="68"/>
    </row>
    <row r="408" spans="1:14">
      <c r="A408" s="68"/>
      <c r="B408" s="68"/>
      <c r="K408" s="68"/>
      <c r="L408" s="68"/>
      <c r="M408" s="68"/>
      <c r="N408" s="68"/>
    </row>
    <row r="409" spans="1:14">
      <c r="A409" s="68"/>
      <c r="B409" s="68"/>
      <c r="K409" s="68"/>
      <c r="L409" s="68"/>
      <c r="M409" s="68"/>
      <c r="N409" s="68"/>
    </row>
    <row r="410" spans="1:14">
      <c r="A410" s="68"/>
      <c r="B410" s="68"/>
      <c r="K410" s="68"/>
      <c r="L410" s="68"/>
      <c r="M410" s="68"/>
      <c r="N410" s="68"/>
    </row>
    <row r="411" spans="1:14">
      <c r="A411" s="68"/>
      <c r="B411" s="68"/>
      <c r="K411" s="68"/>
      <c r="L411" s="68"/>
      <c r="M411" s="68"/>
      <c r="N411" s="68"/>
    </row>
    <row r="412" spans="1:14">
      <c r="A412" s="68"/>
      <c r="B412" s="68"/>
      <c r="K412" s="68"/>
      <c r="L412" s="68"/>
      <c r="M412" s="68"/>
      <c r="N412" s="68"/>
    </row>
    <row r="413" spans="1:14">
      <c r="A413" s="68"/>
      <c r="B413" s="68"/>
      <c r="K413" s="68"/>
      <c r="L413" s="68"/>
      <c r="M413" s="68"/>
      <c r="N413" s="68"/>
    </row>
    <row r="414" spans="1:14">
      <c r="A414" s="68"/>
      <c r="B414" s="68"/>
      <c r="K414" s="68"/>
      <c r="L414" s="68"/>
      <c r="M414" s="68"/>
      <c r="N414" s="68"/>
    </row>
    <row r="415" spans="1:14">
      <c r="A415" s="68"/>
      <c r="B415" s="68"/>
      <c r="K415" s="68"/>
      <c r="L415" s="68"/>
      <c r="M415" s="68"/>
      <c r="N415" s="68"/>
    </row>
    <row r="416" spans="1:14">
      <c r="A416" s="68"/>
      <c r="B416" s="68"/>
      <c r="K416" s="68"/>
      <c r="L416" s="68"/>
      <c r="M416" s="68"/>
      <c r="N416" s="68"/>
    </row>
    <row r="417" spans="1:14">
      <c r="A417" s="68"/>
      <c r="B417" s="68"/>
      <c r="K417" s="68"/>
      <c r="L417" s="68"/>
      <c r="M417" s="68"/>
      <c r="N417" s="68"/>
    </row>
    <row r="418" spans="1:14">
      <c r="A418" s="68"/>
      <c r="B418" s="68"/>
      <c r="K418" s="68"/>
      <c r="L418" s="68"/>
      <c r="M418" s="68"/>
      <c r="N418" s="68"/>
    </row>
    <row r="419" spans="1:14">
      <c r="A419" s="68"/>
      <c r="B419" s="68"/>
      <c r="K419" s="68"/>
      <c r="L419" s="68"/>
      <c r="M419" s="68"/>
      <c r="N419" s="68"/>
    </row>
    <row r="420" spans="1:14">
      <c r="A420" s="68"/>
      <c r="B420" s="68"/>
      <c r="K420" s="68"/>
      <c r="L420" s="68"/>
      <c r="M420" s="68"/>
      <c r="N420" s="68"/>
    </row>
    <row r="421" spans="1:14">
      <c r="A421" s="68"/>
      <c r="B421" s="68"/>
      <c r="K421" s="68"/>
      <c r="L421" s="68"/>
      <c r="M421" s="68"/>
      <c r="N421" s="68"/>
    </row>
    <row r="422" spans="1:14">
      <c r="A422" s="68"/>
      <c r="B422" s="68"/>
      <c r="K422" s="68"/>
      <c r="L422" s="68"/>
      <c r="M422" s="68"/>
      <c r="N422" s="68"/>
    </row>
    <row r="423" spans="1:14">
      <c r="A423" s="68"/>
      <c r="B423" s="68"/>
      <c r="K423" s="68"/>
      <c r="L423" s="68"/>
      <c r="M423" s="68"/>
      <c r="N423" s="68"/>
    </row>
    <row r="424" spans="1:14">
      <c r="A424" s="68"/>
      <c r="B424" s="68"/>
      <c r="K424" s="68"/>
      <c r="L424" s="68"/>
      <c r="M424" s="68"/>
      <c r="N424" s="68"/>
    </row>
    <row r="425" spans="1:14">
      <c r="A425" s="68"/>
      <c r="B425" s="68"/>
      <c r="K425" s="68"/>
      <c r="L425" s="68"/>
      <c r="M425" s="68"/>
      <c r="N425" s="68"/>
    </row>
    <row r="426" spans="1:14">
      <c r="A426" s="68"/>
      <c r="B426" s="68"/>
      <c r="K426" s="68"/>
      <c r="L426" s="68"/>
      <c r="M426" s="68"/>
      <c r="N426" s="68"/>
    </row>
    <row r="427" spans="1:14">
      <c r="A427" s="68"/>
      <c r="B427" s="68"/>
      <c r="K427" s="68"/>
      <c r="L427" s="68"/>
      <c r="M427" s="68"/>
      <c r="N427" s="68"/>
    </row>
    <row r="428" spans="1:14">
      <c r="A428" s="68"/>
      <c r="B428" s="68"/>
      <c r="K428" s="68"/>
      <c r="L428" s="68"/>
      <c r="M428" s="68"/>
      <c r="N428" s="68"/>
    </row>
    <row r="429" spans="1:14">
      <c r="A429" s="68"/>
      <c r="B429" s="68"/>
      <c r="K429" s="68"/>
      <c r="L429" s="68"/>
      <c r="M429" s="68"/>
      <c r="N429" s="68"/>
    </row>
    <row r="430" spans="1:14">
      <c r="A430" s="68"/>
      <c r="B430" s="68"/>
      <c r="K430" s="68"/>
      <c r="L430" s="68"/>
      <c r="M430" s="68"/>
      <c r="N430" s="68"/>
    </row>
    <row r="431" spans="1:14">
      <c r="A431" s="68"/>
      <c r="B431" s="68"/>
      <c r="K431" s="68"/>
      <c r="L431" s="68"/>
      <c r="M431" s="68"/>
      <c r="N431" s="68"/>
    </row>
    <row r="432" spans="1:14">
      <c r="A432" s="68"/>
      <c r="B432" s="68"/>
      <c r="K432" s="68"/>
      <c r="L432" s="68"/>
      <c r="M432" s="68"/>
      <c r="N432" s="68"/>
    </row>
    <row r="433" spans="1:14">
      <c r="A433" s="68"/>
      <c r="B433" s="68"/>
      <c r="K433" s="68"/>
      <c r="L433" s="68"/>
      <c r="M433" s="68"/>
      <c r="N433" s="68"/>
    </row>
    <row r="434" spans="1:14">
      <c r="A434" s="68"/>
      <c r="B434" s="68"/>
      <c r="K434" s="68"/>
      <c r="L434" s="68"/>
      <c r="M434" s="68"/>
      <c r="N434" s="68"/>
    </row>
    <row r="435" spans="1:14">
      <c r="A435" s="68"/>
      <c r="B435" s="68"/>
      <c r="K435" s="68"/>
      <c r="L435" s="68"/>
      <c r="M435" s="68"/>
      <c r="N435" s="68"/>
    </row>
    <row r="436" spans="1:14">
      <c r="A436" s="68"/>
      <c r="B436" s="68"/>
      <c r="K436" s="68"/>
      <c r="L436" s="68"/>
      <c r="M436" s="68"/>
      <c r="N436" s="68"/>
    </row>
    <row r="437" spans="1:14">
      <c r="A437" s="68"/>
      <c r="B437" s="68"/>
      <c r="K437" s="68"/>
      <c r="L437" s="68"/>
      <c r="M437" s="68"/>
      <c r="N437" s="68"/>
    </row>
    <row r="438" spans="1:14">
      <c r="A438" s="68"/>
      <c r="B438" s="68"/>
      <c r="K438" s="68"/>
      <c r="L438" s="68"/>
      <c r="M438" s="68"/>
      <c r="N438" s="68"/>
    </row>
    <row r="439" spans="1:14">
      <c r="A439" s="68"/>
      <c r="B439" s="68"/>
      <c r="K439" s="68"/>
      <c r="L439" s="68"/>
      <c r="M439" s="68"/>
      <c r="N439" s="68"/>
    </row>
    <row r="440" spans="1:14">
      <c r="A440" s="68"/>
      <c r="B440" s="68"/>
      <c r="K440" s="68"/>
      <c r="L440" s="68"/>
      <c r="M440" s="68"/>
      <c r="N440" s="68"/>
    </row>
    <row r="441" spans="1:14">
      <c r="A441" s="68"/>
      <c r="B441" s="68"/>
      <c r="K441" s="68"/>
      <c r="L441" s="68"/>
      <c r="M441" s="68"/>
      <c r="N441" s="68"/>
    </row>
    <row r="442" spans="1:14">
      <c r="A442" s="68"/>
      <c r="B442" s="68"/>
      <c r="K442" s="68"/>
      <c r="L442" s="68"/>
      <c r="M442" s="68"/>
      <c r="N442" s="68"/>
    </row>
    <row r="443" spans="1:14">
      <c r="A443" s="68"/>
      <c r="B443" s="68"/>
      <c r="K443" s="68"/>
      <c r="L443" s="68"/>
      <c r="M443" s="68"/>
      <c r="N443" s="68"/>
    </row>
    <row r="444" spans="1:14">
      <c r="A444" s="68"/>
      <c r="B444" s="68"/>
      <c r="K444" s="68"/>
      <c r="L444" s="68"/>
      <c r="M444" s="68"/>
      <c r="N444" s="68"/>
    </row>
    <row r="445" spans="1:14">
      <c r="A445" s="68"/>
      <c r="B445" s="68"/>
      <c r="K445" s="68"/>
      <c r="L445" s="68"/>
      <c r="M445" s="68"/>
      <c r="N445" s="68"/>
    </row>
    <row r="446" spans="1:14">
      <c r="A446" s="68"/>
      <c r="B446" s="68"/>
      <c r="K446" s="68"/>
      <c r="L446" s="68"/>
      <c r="M446" s="68"/>
      <c r="N446" s="68"/>
    </row>
    <row r="447" spans="1:14">
      <c r="A447" s="68"/>
      <c r="B447" s="68"/>
      <c r="K447" s="68"/>
      <c r="L447" s="68"/>
      <c r="M447" s="68"/>
      <c r="N447" s="68"/>
    </row>
    <row r="448" spans="1:14">
      <c r="A448" s="68"/>
      <c r="B448" s="68"/>
      <c r="K448" s="68"/>
      <c r="L448" s="68"/>
      <c r="M448" s="68"/>
      <c r="N448" s="68"/>
    </row>
    <row r="449" spans="1:14">
      <c r="A449" s="68"/>
      <c r="B449" s="68"/>
      <c r="K449" s="68"/>
      <c r="L449" s="68"/>
      <c r="M449" s="68"/>
      <c r="N449" s="68"/>
    </row>
    <row r="450" spans="1:14">
      <c r="A450" s="68"/>
      <c r="B450" s="68"/>
      <c r="K450" s="68"/>
      <c r="L450" s="68"/>
      <c r="M450" s="68"/>
      <c r="N450" s="68"/>
    </row>
    <row r="451" spans="1:14">
      <c r="A451" s="68"/>
      <c r="B451" s="68"/>
      <c r="K451" s="68"/>
      <c r="L451" s="68"/>
      <c r="M451" s="68"/>
      <c r="N451" s="68"/>
    </row>
    <row r="452" spans="1:14">
      <c r="A452" s="68"/>
      <c r="B452" s="68"/>
      <c r="K452" s="68"/>
      <c r="L452" s="68"/>
      <c r="M452" s="68"/>
      <c r="N452" s="68"/>
    </row>
    <row r="453" spans="1:14">
      <c r="A453" s="68"/>
      <c r="B453" s="68"/>
      <c r="K453" s="68"/>
      <c r="L453" s="68"/>
      <c r="M453" s="68"/>
      <c r="N453" s="68"/>
    </row>
    <row r="454" spans="1:14">
      <c r="A454" s="68"/>
      <c r="B454" s="68"/>
      <c r="K454" s="68"/>
      <c r="L454" s="68"/>
      <c r="M454" s="68"/>
      <c r="N454" s="68"/>
    </row>
    <row r="455" spans="1:14">
      <c r="A455" s="68"/>
      <c r="B455" s="68"/>
      <c r="K455" s="68"/>
      <c r="L455" s="68"/>
      <c r="M455" s="68"/>
      <c r="N455" s="68"/>
    </row>
    <row r="456" spans="1:14">
      <c r="A456" s="68"/>
      <c r="B456" s="68"/>
      <c r="K456" s="68"/>
      <c r="L456" s="68"/>
      <c r="M456" s="68"/>
      <c r="N456" s="68"/>
    </row>
    <row r="457" spans="1:14">
      <c r="A457" s="68"/>
      <c r="B457" s="68"/>
      <c r="K457" s="68"/>
      <c r="L457" s="68"/>
      <c r="M457" s="68"/>
      <c r="N457" s="68"/>
    </row>
    <row r="458" spans="1:14">
      <c r="A458" s="68"/>
      <c r="B458" s="68"/>
      <c r="K458" s="68"/>
      <c r="L458" s="68"/>
      <c r="M458" s="68"/>
      <c r="N458" s="68"/>
    </row>
    <row r="459" spans="1:14">
      <c r="A459" s="68"/>
      <c r="B459" s="68"/>
      <c r="K459" s="68"/>
      <c r="L459" s="68"/>
      <c r="M459" s="68"/>
      <c r="N459" s="68"/>
    </row>
    <row r="460" spans="1:14">
      <c r="A460" s="68"/>
      <c r="B460" s="68"/>
      <c r="K460" s="68"/>
      <c r="L460" s="68"/>
      <c r="M460" s="68"/>
      <c r="N460" s="68"/>
    </row>
    <row r="461" spans="1:14">
      <c r="A461" s="68"/>
      <c r="B461" s="68"/>
      <c r="K461" s="68"/>
      <c r="L461" s="68"/>
      <c r="M461" s="68"/>
      <c r="N461" s="68"/>
    </row>
    <row r="462" spans="1:14">
      <c r="A462" s="68"/>
      <c r="B462" s="68"/>
      <c r="K462" s="68"/>
      <c r="L462" s="68"/>
      <c r="M462" s="68"/>
      <c r="N462" s="68"/>
    </row>
    <row r="463" spans="1:14">
      <c r="A463" s="68"/>
      <c r="B463" s="68"/>
      <c r="K463" s="68"/>
      <c r="L463" s="68"/>
      <c r="M463" s="68"/>
      <c r="N463" s="68"/>
    </row>
    <row r="464" spans="1:14">
      <c r="A464" s="68"/>
      <c r="B464" s="68"/>
      <c r="K464" s="68"/>
      <c r="L464" s="68"/>
      <c r="M464" s="68"/>
      <c r="N464" s="68"/>
    </row>
    <row r="465" spans="1:14">
      <c r="A465" s="68"/>
      <c r="B465" s="68"/>
      <c r="K465" s="68"/>
      <c r="L465" s="68"/>
      <c r="M465" s="68"/>
      <c r="N465" s="68"/>
    </row>
    <row r="466" spans="1:14">
      <c r="A466" s="68"/>
      <c r="B466" s="68"/>
      <c r="K466" s="68"/>
      <c r="L466" s="68"/>
      <c r="M466" s="68"/>
      <c r="N466" s="68"/>
    </row>
    <row r="467" spans="1:14">
      <c r="A467" s="68"/>
      <c r="B467" s="68"/>
      <c r="K467" s="68"/>
      <c r="L467" s="68"/>
      <c r="M467" s="68"/>
      <c r="N467" s="68"/>
    </row>
    <row r="468" spans="1:14">
      <c r="A468" s="68"/>
      <c r="B468" s="68"/>
      <c r="K468" s="68"/>
      <c r="L468" s="68"/>
      <c r="M468" s="68"/>
      <c r="N468" s="68"/>
    </row>
    <row r="469" spans="1:14">
      <c r="A469" s="68"/>
      <c r="B469" s="68"/>
      <c r="K469" s="68"/>
      <c r="L469" s="68"/>
      <c r="M469" s="68"/>
      <c r="N469" s="68"/>
    </row>
    <row r="470" spans="1:14">
      <c r="A470" s="68"/>
      <c r="B470" s="68"/>
      <c r="K470" s="68"/>
      <c r="L470" s="68"/>
      <c r="M470" s="68"/>
      <c r="N470" s="68"/>
    </row>
    <row r="471" spans="1:14">
      <c r="A471" s="68"/>
      <c r="B471" s="68"/>
      <c r="K471" s="68"/>
      <c r="L471" s="68"/>
      <c r="M471" s="68"/>
      <c r="N471" s="68"/>
    </row>
    <row r="472" spans="1:14">
      <c r="A472" s="68"/>
      <c r="B472" s="68"/>
      <c r="K472" s="68"/>
      <c r="L472" s="68"/>
      <c r="M472" s="68"/>
      <c r="N472" s="68"/>
    </row>
    <row r="473" spans="1:14">
      <c r="A473" s="68"/>
      <c r="B473" s="68"/>
      <c r="K473" s="68"/>
      <c r="L473" s="68"/>
      <c r="M473" s="68"/>
      <c r="N473" s="68"/>
    </row>
    <row r="474" spans="1:14">
      <c r="A474" s="68"/>
      <c r="B474" s="68"/>
      <c r="K474" s="68"/>
      <c r="L474" s="68"/>
      <c r="M474" s="68"/>
      <c r="N474" s="68"/>
    </row>
    <row r="475" spans="1:14">
      <c r="A475" s="68"/>
      <c r="B475" s="68"/>
      <c r="K475" s="68"/>
      <c r="L475" s="68"/>
      <c r="M475" s="68"/>
      <c r="N475" s="68"/>
    </row>
    <row r="476" spans="1:14">
      <c r="A476" s="68"/>
      <c r="B476" s="68"/>
      <c r="K476" s="68"/>
      <c r="L476" s="68"/>
      <c r="M476" s="68"/>
      <c r="N476" s="68"/>
    </row>
    <row r="477" spans="1:14">
      <c r="A477" s="68"/>
      <c r="B477" s="68"/>
      <c r="K477" s="68"/>
      <c r="L477" s="68"/>
      <c r="M477" s="68"/>
      <c r="N477" s="68"/>
    </row>
    <row r="478" spans="1:14">
      <c r="A478" s="68"/>
      <c r="B478" s="68"/>
      <c r="K478" s="68"/>
      <c r="L478" s="68"/>
      <c r="M478" s="68"/>
      <c r="N478" s="68"/>
    </row>
    <row r="479" spans="1:14">
      <c r="A479" s="68"/>
      <c r="B479" s="68"/>
      <c r="K479" s="68"/>
      <c r="L479" s="68"/>
      <c r="M479" s="68"/>
      <c r="N479" s="68"/>
    </row>
    <row r="480" spans="1:14">
      <c r="A480" s="68"/>
      <c r="B480" s="68"/>
      <c r="K480" s="68"/>
      <c r="L480" s="68"/>
      <c r="M480" s="68"/>
      <c r="N480" s="68"/>
    </row>
    <row r="481" spans="1:14">
      <c r="A481" s="68"/>
      <c r="B481" s="68"/>
      <c r="K481" s="68"/>
      <c r="L481" s="68"/>
      <c r="M481" s="68"/>
      <c r="N481" s="68"/>
    </row>
    <row r="482" spans="1:14">
      <c r="A482" s="68"/>
      <c r="B482" s="68"/>
      <c r="K482" s="68"/>
      <c r="L482" s="68"/>
      <c r="M482" s="68"/>
      <c r="N482" s="68"/>
    </row>
    <row r="483" spans="1:14">
      <c r="A483" s="68"/>
      <c r="B483" s="68"/>
      <c r="K483" s="68"/>
      <c r="L483" s="68"/>
      <c r="M483" s="68"/>
      <c r="N483" s="68"/>
    </row>
    <row r="484" spans="1:14">
      <c r="A484" s="68"/>
      <c r="B484" s="68"/>
      <c r="K484" s="68"/>
      <c r="L484" s="68"/>
      <c r="M484" s="68"/>
      <c r="N484" s="68"/>
    </row>
    <row r="485" spans="1:14">
      <c r="A485" s="68"/>
      <c r="B485" s="68"/>
      <c r="K485" s="68"/>
      <c r="L485" s="68"/>
      <c r="M485" s="68"/>
      <c r="N485" s="68"/>
    </row>
    <row r="486" spans="1:14">
      <c r="A486" s="68"/>
      <c r="B486" s="68"/>
      <c r="K486" s="68"/>
      <c r="L486" s="68"/>
      <c r="M486" s="68"/>
      <c r="N486" s="68"/>
    </row>
    <row r="487" spans="1:14">
      <c r="A487" s="68"/>
      <c r="B487" s="68"/>
      <c r="K487" s="68"/>
      <c r="L487" s="68"/>
      <c r="M487" s="68"/>
      <c r="N487" s="68"/>
    </row>
    <row r="488" spans="1:14">
      <c r="A488" s="68"/>
      <c r="B488" s="68"/>
      <c r="K488" s="68"/>
      <c r="L488" s="68"/>
      <c r="M488" s="68"/>
      <c r="N488" s="68"/>
    </row>
    <row r="489" spans="1:14">
      <c r="A489" s="68"/>
      <c r="B489" s="68"/>
      <c r="K489" s="68"/>
      <c r="L489" s="68"/>
      <c r="M489" s="68"/>
      <c r="N489" s="68"/>
    </row>
    <row r="490" spans="1:14">
      <c r="A490" s="68"/>
      <c r="B490" s="68"/>
      <c r="K490" s="68"/>
      <c r="L490" s="68"/>
      <c r="M490" s="68"/>
      <c r="N490" s="68"/>
    </row>
    <row r="491" spans="1:14">
      <c r="A491" s="68"/>
      <c r="B491" s="68"/>
      <c r="K491" s="68"/>
      <c r="L491" s="68"/>
      <c r="M491" s="68"/>
      <c r="N491" s="68"/>
    </row>
    <row r="492" spans="1:14">
      <c r="A492" s="68"/>
      <c r="B492" s="68"/>
      <c r="K492" s="68"/>
      <c r="L492" s="68"/>
      <c r="M492" s="68"/>
      <c r="N492" s="68"/>
    </row>
    <row r="493" spans="1:14">
      <c r="A493" s="68"/>
      <c r="B493" s="68"/>
      <c r="K493" s="68"/>
      <c r="L493" s="68"/>
      <c r="M493" s="68"/>
      <c r="N493" s="68"/>
    </row>
    <row r="494" spans="1:14">
      <c r="A494" s="68"/>
      <c r="B494" s="68"/>
      <c r="K494" s="68"/>
      <c r="L494" s="68"/>
      <c r="M494" s="68"/>
      <c r="N494" s="68"/>
    </row>
    <row r="495" spans="1:14">
      <c r="A495" s="68"/>
      <c r="B495" s="68"/>
      <c r="K495" s="68"/>
      <c r="L495" s="68"/>
      <c r="M495" s="68"/>
      <c r="N495" s="68"/>
    </row>
    <row r="496" spans="1:14">
      <c r="A496" s="68"/>
      <c r="B496" s="68"/>
      <c r="K496" s="68"/>
      <c r="L496" s="68"/>
      <c r="M496" s="68"/>
      <c r="N496" s="68"/>
    </row>
    <row r="497" spans="1:14">
      <c r="A497" s="68"/>
      <c r="B497" s="68"/>
      <c r="K497" s="68"/>
      <c r="L497" s="68"/>
      <c r="M497" s="68"/>
      <c r="N497" s="68"/>
    </row>
    <row r="498" spans="1:14">
      <c r="A498" s="68"/>
      <c r="B498" s="68"/>
      <c r="K498" s="68"/>
      <c r="L498" s="68"/>
      <c r="M498" s="68"/>
      <c r="N498" s="68"/>
    </row>
    <row r="499" spans="1:14">
      <c r="A499" s="68"/>
      <c r="B499" s="68"/>
      <c r="K499" s="68"/>
      <c r="L499" s="68"/>
      <c r="M499" s="68"/>
      <c r="N499" s="68"/>
    </row>
    <row r="500" spans="1:14">
      <c r="A500" s="68"/>
      <c r="B500" s="68"/>
      <c r="K500" s="68"/>
      <c r="L500" s="68"/>
      <c r="M500" s="68"/>
      <c r="N500" s="68"/>
    </row>
    <row r="501" spans="1:14">
      <c r="A501" s="68"/>
      <c r="B501" s="68"/>
      <c r="K501" s="68"/>
      <c r="L501" s="68"/>
      <c r="M501" s="68"/>
      <c r="N501" s="68"/>
    </row>
    <row r="502" spans="1:14">
      <c r="A502" s="68"/>
      <c r="B502" s="68"/>
      <c r="K502" s="68"/>
      <c r="L502" s="68"/>
      <c r="M502" s="68"/>
      <c r="N502" s="68"/>
    </row>
    <row r="503" spans="1:14">
      <c r="A503" s="68"/>
      <c r="B503" s="68"/>
      <c r="K503" s="68"/>
      <c r="L503" s="68"/>
      <c r="M503" s="68"/>
      <c r="N503" s="68"/>
    </row>
    <row r="504" spans="1:14">
      <c r="A504" s="68"/>
      <c r="B504" s="68"/>
      <c r="K504" s="68"/>
      <c r="L504" s="68"/>
      <c r="M504" s="68"/>
      <c r="N504" s="68"/>
    </row>
    <row r="505" spans="1:14">
      <c r="A505" s="68"/>
      <c r="B505" s="68"/>
      <c r="K505" s="68"/>
      <c r="L505" s="68"/>
      <c r="M505" s="68"/>
      <c r="N505" s="68"/>
    </row>
    <row r="506" spans="1:14">
      <c r="A506" s="68"/>
      <c r="B506" s="68"/>
      <c r="K506" s="68"/>
      <c r="L506" s="68"/>
      <c r="M506" s="68"/>
      <c r="N506" s="68"/>
    </row>
    <row r="507" spans="1:14">
      <c r="A507" s="68"/>
      <c r="B507" s="68"/>
      <c r="K507" s="68"/>
      <c r="L507" s="68"/>
      <c r="M507" s="68"/>
      <c r="N507" s="68"/>
    </row>
    <row r="508" spans="1:14">
      <c r="A508" s="68"/>
      <c r="B508" s="68"/>
      <c r="K508" s="68"/>
      <c r="L508" s="68"/>
      <c r="M508" s="68"/>
      <c r="N508" s="68"/>
    </row>
    <row r="509" spans="1:14">
      <c r="A509" s="68"/>
      <c r="B509" s="68"/>
      <c r="K509" s="68"/>
      <c r="L509" s="68"/>
      <c r="M509" s="68"/>
      <c r="N509" s="68"/>
    </row>
    <row r="510" spans="1:14">
      <c r="A510" s="68"/>
      <c r="B510" s="68"/>
      <c r="K510" s="68"/>
      <c r="L510" s="68"/>
      <c r="M510" s="68"/>
      <c r="N510" s="68"/>
    </row>
    <row r="511" spans="1:14">
      <c r="A511" s="68"/>
      <c r="B511" s="68"/>
      <c r="K511" s="68"/>
      <c r="L511" s="68"/>
      <c r="M511" s="68"/>
      <c r="N511" s="68"/>
    </row>
    <row r="512" spans="1:14">
      <c r="A512" s="68"/>
      <c r="B512" s="68"/>
      <c r="K512" s="68"/>
      <c r="L512" s="68"/>
      <c r="M512" s="68"/>
      <c r="N512" s="68"/>
    </row>
    <row r="513" spans="1:14">
      <c r="A513" s="68"/>
      <c r="B513" s="68"/>
      <c r="K513" s="68"/>
      <c r="L513" s="68"/>
      <c r="M513" s="68"/>
      <c r="N513" s="68"/>
    </row>
    <row r="514" spans="1:14">
      <c r="A514" s="68"/>
      <c r="B514" s="68"/>
      <c r="K514" s="68"/>
      <c r="L514" s="68"/>
      <c r="M514" s="68"/>
      <c r="N514" s="68"/>
    </row>
    <row r="515" spans="1:14">
      <c r="A515" s="68"/>
      <c r="B515" s="68"/>
      <c r="K515" s="68"/>
      <c r="L515" s="68"/>
      <c r="M515" s="68"/>
      <c r="N515" s="68"/>
    </row>
    <row r="516" spans="1:14">
      <c r="A516" s="68"/>
      <c r="B516" s="68"/>
      <c r="K516" s="68"/>
      <c r="L516" s="68"/>
      <c r="M516" s="68"/>
      <c r="N516" s="68"/>
    </row>
    <row r="517" spans="1:14">
      <c r="A517" s="68"/>
      <c r="B517" s="68"/>
      <c r="K517" s="68"/>
      <c r="L517" s="68"/>
      <c r="M517" s="68"/>
      <c r="N517" s="68"/>
    </row>
    <row r="518" spans="1:14">
      <c r="A518" s="68"/>
      <c r="B518" s="68"/>
      <c r="K518" s="68"/>
      <c r="L518" s="68"/>
      <c r="M518" s="68"/>
      <c r="N518" s="68"/>
    </row>
    <row r="519" spans="1:14">
      <c r="A519" s="68"/>
      <c r="B519" s="68"/>
      <c r="K519" s="68"/>
      <c r="L519" s="68"/>
      <c r="M519" s="68"/>
      <c r="N519" s="68"/>
    </row>
    <row r="520" spans="1:14">
      <c r="A520" s="68"/>
      <c r="B520" s="68"/>
      <c r="K520" s="68"/>
      <c r="L520" s="68"/>
      <c r="M520" s="68"/>
      <c r="N520" s="68"/>
    </row>
    <row r="521" spans="1:14">
      <c r="A521" s="68"/>
      <c r="B521" s="68"/>
      <c r="K521" s="68"/>
      <c r="L521" s="68"/>
      <c r="M521" s="68"/>
      <c r="N521" s="68"/>
    </row>
    <row r="522" spans="1:14">
      <c r="A522" s="68"/>
      <c r="B522" s="68"/>
      <c r="K522" s="68"/>
      <c r="L522" s="68"/>
      <c r="M522" s="68"/>
      <c r="N522" s="68"/>
    </row>
    <row r="523" spans="1:14">
      <c r="A523" s="68"/>
      <c r="B523" s="68"/>
      <c r="K523" s="68"/>
      <c r="L523" s="68"/>
      <c r="M523" s="68"/>
      <c r="N523" s="68"/>
    </row>
    <row r="524" spans="1:14">
      <c r="A524" s="68"/>
      <c r="B524" s="68"/>
      <c r="K524" s="68"/>
      <c r="L524" s="68"/>
      <c r="M524" s="68"/>
      <c r="N524" s="68"/>
    </row>
    <row r="525" spans="1:14">
      <c r="A525" s="68"/>
      <c r="B525" s="68"/>
      <c r="K525" s="68"/>
      <c r="L525" s="68"/>
      <c r="M525" s="68"/>
      <c r="N525" s="68"/>
    </row>
    <row r="526" spans="1:14">
      <c r="A526" s="68"/>
      <c r="B526" s="68"/>
      <c r="K526" s="68"/>
      <c r="L526" s="68"/>
      <c r="M526" s="68"/>
      <c r="N526" s="68"/>
    </row>
    <row r="527" spans="1:14">
      <c r="A527" s="68"/>
      <c r="B527" s="68"/>
      <c r="K527" s="68"/>
      <c r="L527" s="68"/>
      <c r="M527" s="68"/>
      <c r="N527" s="68"/>
    </row>
    <row r="528" spans="1:14">
      <c r="A528" s="68"/>
      <c r="B528" s="68"/>
      <c r="K528" s="68"/>
      <c r="L528" s="68"/>
      <c r="M528" s="68"/>
      <c r="N528" s="68"/>
    </row>
    <row r="529" spans="1:14">
      <c r="A529" s="68"/>
      <c r="B529" s="68"/>
      <c r="K529" s="68"/>
      <c r="L529" s="68"/>
      <c r="M529" s="68"/>
      <c r="N529" s="68"/>
    </row>
    <row r="530" spans="1:14">
      <c r="A530" s="68"/>
      <c r="B530" s="68"/>
      <c r="K530" s="68"/>
      <c r="L530" s="68"/>
      <c r="M530" s="68"/>
      <c r="N530" s="68"/>
    </row>
    <row r="531" spans="1:14">
      <c r="A531" s="68"/>
      <c r="B531" s="68"/>
      <c r="K531" s="68"/>
      <c r="L531" s="68"/>
      <c r="M531" s="68"/>
      <c r="N531" s="68"/>
    </row>
    <row r="532" spans="1:14">
      <c r="A532" s="68"/>
      <c r="B532" s="68"/>
      <c r="K532" s="68"/>
      <c r="L532" s="68"/>
      <c r="M532" s="68"/>
      <c r="N532" s="68"/>
    </row>
    <row r="533" spans="1:14">
      <c r="A533" s="68"/>
      <c r="B533" s="68"/>
      <c r="K533" s="68"/>
      <c r="L533" s="68"/>
      <c r="M533" s="68"/>
      <c r="N533" s="68"/>
    </row>
    <row r="534" spans="1:14">
      <c r="A534" s="68"/>
      <c r="B534" s="68"/>
      <c r="K534" s="68"/>
      <c r="L534" s="68"/>
      <c r="M534" s="68"/>
      <c r="N534" s="68"/>
    </row>
    <row r="535" spans="1:14">
      <c r="A535" s="68"/>
      <c r="B535" s="68"/>
      <c r="K535" s="68"/>
      <c r="L535" s="68"/>
      <c r="M535" s="68"/>
      <c r="N535" s="68"/>
    </row>
    <row r="536" spans="1:14">
      <c r="A536" s="68"/>
      <c r="B536" s="68"/>
      <c r="K536" s="68"/>
      <c r="L536" s="68"/>
      <c r="M536" s="68"/>
      <c r="N536" s="68"/>
    </row>
    <row r="537" spans="1:14">
      <c r="A537" s="68"/>
      <c r="B537" s="68"/>
      <c r="K537" s="68"/>
      <c r="L537" s="68"/>
      <c r="M537" s="68"/>
      <c r="N537" s="68"/>
    </row>
    <row r="538" spans="1:14">
      <c r="A538" s="68"/>
      <c r="B538" s="68"/>
      <c r="K538" s="68"/>
      <c r="L538" s="68"/>
      <c r="M538" s="68"/>
      <c r="N538" s="68"/>
    </row>
    <row r="539" spans="1:14">
      <c r="A539" s="68"/>
      <c r="B539" s="68"/>
      <c r="K539" s="68"/>
      <c r="L539" s="68"/>
      <c r="M539" s="68"/>
      <c r="N539" s="68"/>
    </row>
    <row r="540" spans="1:14">
      <c r="A540" s="68"/>
      <c r="B540" s="68"/>
      <c r="K540" s="68"/>
      <c r="L540" s="68"/>
      <c r="M540" s="68"/>
      <c r="N540" s="68"/>
    </row>
    <row r="541" spans="1:14">
      <c r="A541" s="68"/>
      <c r="B541" s="68"/>
      <c r="K541" s="68"/>
      <c r="L541" s="68"/>
      <c r="M541" s="68"/>
      <c r="N541" s="68"/>
    </row>
    <row r="542" spans="1:14">
      <c r="A542" s="68"/>
      <c r="B542" s="68"/>
      <c r="K542" s="68"/>
      <c r="L542" s="68"/>
      <c r="M542" s="68"/>
      <c r="N542" s="68"/>
    </row>
    <row r="543" spans="1:14">
      <c r="A543" s="68"/>
      <c r="B543" s="68"/>
      <c r="K543" s="68"/>
      <c r="L543" s="68"/>
      <c r="M543" s="68"/>
      <c r="N543" s="68"/>
    </row>
    <row r="544" spans="1:14">
      <c r="A544" s="68"/>
      <c r="B544" s="68"/>
      <c r="K544" s="68"/>
      <c r="L544" s="68"/>
      <c r="M544" s="68"/>
      <c r="N544" s="68"/>
    </row>
    <row r="545" spans="1:14">
      <c r="A545" s="68"/>
      <c r="B545" s="68"/>
      <c r="K545" s="68"/>
      <c r="L545" s="68"/>
      <c r="M545" s="68"/>
      <c r="N545" s="68"/>
    </row>
    <row r="546" spans="1:14">
      <c r="A546" s="68"/>
      <c r="B546" s="68"/>
      <c r="K546" s="68"/>
      <c r="L546" s="68"/>
      <c r="M546" s="68"/>
      <c r="N546" s="68"/>
    </row>
    <row r="547" spans="1:14">
      <c r="A547" s="68"/>
      <c r="B547" s="68"/>
      <c r="K547" s="68"/>
      <c r="L547" s="68"/>
      <c r="M547" s="68"/>
      <c r="N547" s="68"/>
    </row>
    <row r="548" spans="1:14">
      <c r="A548" s="68"/>
      <c r="B548" s="68"/>
      <c r="K548" s="68"/>
      <c r="L548" s="68"/>
      <c r="M548" s="68"/>
      <c r="N548" s="68"/>
    </row>
    <row r="549" spans="1:14">
      <c r="A549" s="68"/>
      <c r="B549" s="68"/>
      <c r="K549" s="68"/>
      <c r="L549" s="68"/>
      <c r="M549" s="68"/>
      <c r="N549" s="68"/>
    </row>
    <row r="550" spans="1:14">
      <c r="A550" s="68"/>
      <c r="B550" s="68"/>
      <c r="K550" s="68"/>
      <c r="L550" s="68"/>
      <c r="M550" s="68"/>
      <c r="N550" s="68"/>
    </row>
    <row r="551" spans="1:14">
      <c r="A551" s="68"/>
      <c r="B551" s="68"/>
      <c r="K551" s="68"/>
      <c r="L551" s="68"/>
      <c r="M551" s="68"/>
      <c r="N551" s="68"/>
    </row>
    <row r="552" spans="1:14">
      <c r="A552" s="68"/>
      <c r="B552" s="68"/>
      <c r="K552" s="68"/>
      <c r="L552" s="68"/>
      <c r="M552" s="68"/>
      <c r="N552" s="68"/>
    </row>
    <row r="553" spans="1:14">
      <c r="A553" s="68"/>
      <c r="B553" s="68"/>
      <c r="K553" s="68"/>
      <c r="L553" s="68"/>
      <c r="M553" s="68"/>
      <c r="N553" s="68"/>
    </row>
    <row r="554" spans="1:14">
      <c r="A554" s="68"/>
      <c r="B554" s="68"/>
      <c r="K554" s="68"/>
      <c r="L554" s="68"/>
      <c r="M554" s="68"/>
      <c r="N554" s="68"/>
    </row>
    <row r="555" spans="1:14">
      <c r="A555" s="68"/>
      <c r="B555" s="68"/>
      <c r="K555" s="68"/>
      <c r="L555" s="68"/>
      <c r="M555" s="68"/>
      <c r="N555" s="68"/>
    </row>
    <row r="556" spans="1:14">
      <c r="A556" s="68"/>
      <c r="B556" s="68"/>
      <c r="K556" s="68"/>
      <c r="L556" s="68"/>
      <c r="M556" s="68"/>
      <c r="N556" s="68"/>
    </row>
    <row r="557" spans="1:14">
      <c r="A557" s="68"/>
      <c r="B557" s="68"/>
      <c r="K557" s="68"/>
      <c r="L557" s="68"/>
      <c r="M557" s="68"/>
      <c r="N557" s="68"/>
    </row>
    <row r="558" spans="1:14">
      <c r="A558" s="68"/>
      <c r="B558" s="68"/>
      <c r="K558" s="68"/>
      <c r="L558" s="68"/>
      <c r="M558" s="68"/>
      <c r="N558" s="68"/>
    </row>
    <row r="559" spans="1:14">
      <c r="A559" s="68"/>
      <c r="B559" s="68"/>
      <c r="K559" s="68"/>
      <c r="L559" s="68"/>
      <c r="M559" s="68"/>
      <c r="N559" s="68"/>
    </row>
    <row r="560" spans="1:14">
      <c r="A560" s="68"/>
      <c r="B560" s="68"/>
      <c r="K560" s="68"/>
      <c r="L560" s="68"/>
      <c r="M560" s="68"/>
      <c r="N560" s="68"/>
    </row>
    <row r="561" spans="1:14">
      <c r="A561" s="68"/>
      <c r="B561" s="68"/>
      <c r="K561" s="68"/>
      <c r="L561" s="68"/>
      <c r="M561" s="68"/>
      <c r="N561" s="68"/>
    </row>
    <row r="562" spans="1:14">
      <c r="A562" s="68"/>
      <c r="B562" s="68"/>
      <c r="K562" s="68"/>
      <c r="L562" s="68"/>
      <c r="M562" s="68"/>
      <c r="N562" s="68"/>
    </row>
    <row r="563" spans="1:14">
      <c r="A563" s="68"/>
      <c r="B563" s="68"/>
      <c r="K563" s="68"/>
      <c r="L563" s="68"/>
      <c r="M563" s="68"/>
      <c r="N563" s="68"/>
    </row>
    <row r="564" spans="1:14">
      <c r="A564" s="68"/>
      <c r="B564" s="68"/>
      <c r="K564" s="68"/>
      <c r="L564" s="68"/>
      <c r="M564" s="68"/>
      <c r="N564" s="68"/>
    </row>
    <row r="565" spans="1:14">
      <c r="A565" s="68"/>
      <c r="B565" s="68"/>
      <c r="K565" s="68"/>
      <c r="L565" s="68"/>
      <c r="M565" s="68"/>
      <c r="N565" s="68"/>
    </row>
    <row r="566" spans="1:14">
      <c r="A566" s="68"/>
      <c r="B566" s="68"/>
      <c r="K566" s="68"/>
      <c r="L566" s="68"/>
      <c r="M566" s="68"/>
      <c r="N566" s="68"/>
    </row>
    <row r="567" spans="1:14">
      <c r="A567" s="68"/>
      <c r="B567" s="68"/>
      <c r="K567" s="68"/>
      <c r="L567" s="68"/>
      <c r="M567" s="68"/>
      <c r="N567" s="68"/>
    </row>
    <row r="568" spans="1:14">
      <c r="A568" s="68"/>
      <c r="B568" s="68"/>
      <c r="K568" s="68"/>
      <c r="L568" s="68"/>
      <c r="M568" s="68"/>
      <c r="N568" s="68"/>
    </row>
    <row r="569" spans="1:14">
      <c r="A569" s="68"/>
      <c r="B569" s="68"/>
      <c r="K569" s="68"/>
      <c r="L569" s="68"/>
      <c r="M569" s="68"/>
      <c r="N569" s="68"/>
    </row>
    <row r="570" spans="1:14">
      <c r="A570" s="68"/>
      <c r="B570" s="68"/>
      <c r="K570" s="68"/>
      <c r="L570" s="68"/>
      <c r="M570" s="68"/>
      <c r="N570" s="68"/>
    </row>
    <row r="571" spans="1:14">
      <c r="A571" s="68"/>
      <c r="B571" s="68"/>
      <c r="K571" s="68"/>
      <c r="L571" s="68"/>
      <c r="M571" s="68"/>
      <c r="N571" s="68"/>
    </row>
    <row r="572" spans="1:14">
      <c r="A572" s="68"/>
      <c r="B572" s="68"/>
      <c r="K572" s="68"/>
      <c r="L572" s="68"/>
      <c r="M572" s="68"/>
      <c r="N572" s="68"/>
    </row>
    <row r="573" spans="1:14">
      <c r="A573" s="68"/>
      <c r="B573" s="68"/>
      <c r="K573" s="68"/>
      <c r="L573" s="68"/>
      <c r="M573" s="68"/>
      <c r="N573" s="68"/>
    </row>
    <row r="574" spans="1:14">
      <c r="A574" s="68"/>
      <c r="B574" s="68"/>
      <c r="K574" s="68"/>
      <c r="L574" s="68"/>
      <c r="M574" s="68"/>
      <c r="N574" s="68"/>
    </row>
    <row r="575" spans="1:14">
      <c r="A575" s="68"/>
      <c r="B575" s="68"/>
      <c r="K575" s="68"/>
      <c r="L575" s="68"/>
      <c r="M575" s="68"/>
      <c r="N575" s="68"/>
    </row>
    <row r="576" spans="1:14">
      <c r="A576" s="68"/>
      <c r="B576" s="68"/>
      <c r="K576" s="68"/>
      <c r="L576" s="68"/>
      <c r="M576" s="68"/>
      <c r="N576" s="68"/>
    </row>
    <row r="577" spans="1:14">
      <c r="A577" s="68"/>
      <c r="B577" s="68"/>
      <c r="K577" s="68"/>
      <c r="L577" s="68"/>
      <c r="M577" s="68"/>
      <c r="N577" s="68"/>
    </row>
    <row r="578" spans="1:14">
      <c r="A578" s="68"/>
      <c r="B578" s="68"/>
      <c r="K578" s="68"/>
      <c r="L578" s="68"/>
      <c r="M578" s="68"/>
      <c r="N578" s="68"/>
    </row>
    <row r="579" spans="1:14">
      <c r="A579" s="68"/>
      <c r="B579" s="68"/>
      <c r="K579" s="68"/>
      <c r="L579" s="68"/>
      <c r="M579" s="68"/>
      <c r="N579" s="68"/>
    </row>
    <row r="580" spans="1:14">
      <c r="A580" s="68"/>
      <c r="B580" s="68"/>
      <c r="K580" s="68"/>
      <c r="L580" s="68"/>
      <c r="M580" s="68"/>
      <c r="N580" s="68"/>
    </row>
    <row r="581" spans="1:14">
      <c r="A581" s="68"/>
      <c r="B581" s="68"/>
      <c r="K581" s="68"/>
      <c r="L581" s="68"/>
      <c r="M581" s="68"/>
      <c r="N581" s="68"/>
    </row>
    <row r="582" spans="1:14">
      <c r="A582" s="68"/>
      <c r="B582" s="68"/>
      <c r="K582" s="68"/>
      <c r="L582" s="68"/>
      <c r="M582" s="68"/>
      <c r="N582" s="68"/>
    </row>
    <row r="583" spans="1:14">
      <c r="A583" s="68"/>
      <c r="B583" s="68"/>
      <c r="K583" s="68"/>
      <c r="L583" s="68"/>
      <c r="M583" s="68"/>
      <c r="N583" s="68"/>
    </row>
    <row r="584" spans="1:14">
      <c r="A584" s="68"/>
      <c r="B584" s="68"/>
      <c r="K584" s="68"/>
      <c r="L584" s="68"/>
      <c r="M584" s="68"/>
      <c r="N584" s="68"/>
    </row>
    <row r="585" spans="1:14">
      <c r="A585" s="68"/>
      <c r="B585" s="68"/>
      <c r="K585" s="68"/>
      <c r="L585" s="68"/>
      <c r="M585" s="68"/>
      <c r="N585" s="68"/>
    </row>
    <row r="586" spans="1:14">
      <c r="A586" s="68"/>
      <c r="B586" s="68"/>
      <c r="K586" s="68"/>
      <c r="L586" s="68"/>
      <c r="M586" s="68"/>
      <c r="N586" s="68"/>
    </row>
    <row r="587" spans="1:14">
      <c r="A587" s="68"/>
      <c r="B587" s="68"/>
      <c r="K587" s="68"/>
      <c r="L587" s="68"/>
      <c r="M587" s="68"/>
      <c r="N587" s="68"/>
    </row>
    <row r="588" spans="1:14">
      <c r="A588" s="68"/>
      <c r="B588" s="68"/>
      <c r="K588" s="68"/>
      <c r="L588" s="68"/>
      <c r="M588" s="68"/>
      <c r="N588" s="68"/>
    </row>
    <row r="589" spans="1:14">
      <c r="A589" s="68"/>
      <c r="B589" s="68"/>
      <c r="K589" s="68"/>
      <c r="L589" s="68"/>
      <c r="M589" s="68"/>
      <c r="N589" s="68"/>
    </row>
    <row r="590" spans="1:14">
      <c r="A590" s="68"/>
      <c r="B590" s="68"/>
      <c r="K590" s="68"/>
      <c r="L590" s="68"/>
      <c r="M590" s="68"/>
      <c r="N590" s="68"/>
    </row>
    <row r="591" spans="1:14">
      <c r="A591" s="68"/>
      <c r="B591" s="68"/>
      <c r="K591" s="68"/>
      <c r="L591" s="68"/>
      <c r="M591" s="68"/>
      <c r="N591" s="68"/>
    </row>
    <row r="592" spans="1:14">
      <c r="A592" s="68"/>
      <c r="B592" s="68"/>
      <c r="K592" s="68"/>
      <c r="L592" s="68"/>
      <c r="M592" s="68"/>
      <c r="N592" s="68"/>
    </row>
    <row r="593" spans="1:14">
      <c r="A593" s="68"/>
      <c r="B593" s="68"/>
      <c r="K593" s="68"/>
      <c r="L593" s="68"/>
      <c r="M593" s="68"/>
      <c r="N593" s="68"/>
    </row>
    <row r="594" spans="1:14">
      <c r="A594" s="68"/>
      <c r="B594" s="68"/>
      <c r="K594" s="68"/>
      <c r="L594" s="68"/>
      <c r="M594" s="68"/>
      <c r="N594" s="68"/>
    </row>
    <row r="595" spans="1:14">
      <c r="A595" s="68"/>
      <c r="B595" s="68"/>
      <c r="K595" s="68"/>
      <c r="L595" s="68"/>
      <c r="M595" s="68"/>
      <c r="N595" s="68"/>
    </row>
    <row r="596" spans="1:14">
      <c r="A596" s="68"/>
      <c r="B596" s="68"/>
      <c r="K596" s="68"/>
      <c r="L596" s="68"/>
      <c r="M596" s="68"/>
      <c r="N596" s="68"/>
    </row>
    <row r="597" spans="1:14">
      <c r="A597" s="68"/>
      <c r="B597" s="68"/>
      <c r="K597" s="68"/>
      <c r="L597" s="68"/>
      <c r="M597" s="68"/>
      <c r="N597" s="68"/>
    </row>
    <row r="598" spans="1:14">
      <c r="A598" s="68"/>
      <c r="B598" s="68"/>
      <c r="K598" s="68"/>
      <c r="L598" s="68"/>
      <c r="M598" s="68"/>
      <c r="N598" s="68"/>
    </row>
    <row r="599" spans="1:14">
      <c r="A599" s="68"/>
      <c r="B599" s="68"/>
      <c r="K599" s="68"/>
      <c r="L599" s="68"/>
      <c r="M599" s="68"/>
      <c r="N599" s="68"/>
    </row>
    <row r="600" spans="1:14">
      <c r="A600" s="68"/>
      <c r="B600" s="68"/>
      <c r="K600" s="68"/>
      <c r="L600" s="68"/>
      <c r="M600" s="68"/>
      <c r="N600" s="68"/>
    </row>
    <row r="601" spans="1:14">
      <c r="A601" s="68"/>
      <c r="B601" s="68"/>
      <c r="K601" s="68"/>
      <c r="L601" s="68"/>
      <c r="M601" s="68"/>
      <c r="N601" s="68"/>
    </row>
    <row r="602" spans="1:14">
      <c r="A602" s="68"/>
      <c r="B602" s="68"/>
      <c r="K602" s="68"/>
      <c r="L602" s="68"/>
      <c r="M602" s="68"/>
      <c r="N602" s="68"/>
    </row>
    <row r="603" spans="1:14">
      <c r="A603" s="68"/>
      <c r="B603" s="68"/>
      <c r="K603" s="68"/>
      <c r="L603" s="68"/>
      <c r="M603" s="68"/>
      <c r="N603" s="68"/>
    </row>
    <row r="604" spans="1:14">
      <c r="A604" s="68"/>
      <c r="B604" s="68"/>
      <c r="K604" s="68"/>
      <c r="L604" s="68"/>
      <c r="M604" s="68"/>
      <c r="N604" s="68"/>
    </row>
    <row r="605" spans="1:14">
      <c r="A605" s="68"/>
      <c r="B605" s="68"/>
      <c r="K605" s="68"/>
      <c r="L605" s="68"/>
      <c r="M605" s="68"/>
      <c r="N605" s="68"/>
    </row>
    <row r="606" spans="1:14">
      <c r="A606" s="68"/>
      <c r="B606" s="68"/>
      <c r="K606" s="68"/>
      <c r="L606" s="68"/>
      <c r="M606" s="68"/>
      <c r="N606" s="68"/>
    </row>
    <row r="607" spans="1:14">
      <c r="A607" s="68"/>
      <c r="B607" s="68"/>
      <c r="K607" s="68"/>
      <c r="L607" s="68"/>
      <c r="M607" s="68"/>
      <c r="N607" s="68"/>
    </row>
    <row r="608" spans="1:14">
      <c r="A608" s="68"/>
      <c r="B608" s="68"/>
      <c r="K608" s="68"/>
      <c r="L608" s="68"/>
      <c r="M608" s="68"/>
      <c r="N608" s="68"/>
    </row>
    <row r="609" spans="1:14">
      <c r="A609" s="68"/>
      <c r="B609" s="68"/>
      <c r="K609" s="68"/>
      <c r="L609" s="68"/>
      <c r="M609" s="68"/>
      <c r="N609" s="68"/>
    </row>
    <row r="610" spans="1:14">
      <c r="A610" s="68"/>
      <c r="B610" s="68"/>
      <c r="K610" s="68"/>
      <c r="L610" s="68"/>
      <c r="M610" s="68"/>
      <c r="N610" s="68"/>
    </row>
    <row r="611" spans="1:14">
      <c r="A611" s="68"/>
      <c r="B611" s="68"/>
      <c r="K611" s="68"/>
      <c r="L611" s="68"/>
      <c r="M611" s="68"/>
      <c r="N611" s="68"/>
    </row>
    <row r="612" spans="1:14">
      <c r="A612" s="68"/>
      <c r="B612" s="68"/>
      <c r="K612" s="68"/>
      <c r="L612" s="68"/>
      <c r="M612" s="68"/>
      <c r="N612" s="68"/>
    </row>
    <row r="613" spans="1:14">
      <c r="A613" s="68"/>
      <c r="B613" s="68"/>
      <c r="K613" s="68"/>
      <c r="L613" s="68"/>
      <c r="M613" s="68"/>
      <c r="N613" s="68"/>
    </row>
    <row r="614" spans="1:14">
      <c r="A614" s="68"/>
      <c r="B614" s="68"/>
      <c r="K614" s="68"/>
      <c r="L614" s="68"/>
      <c r="M614" s="68"/>
      <c r="N614" s="68"/>
    </row>
    <row r="615" spans="1:14">
      <c r="A615" s="68"/>
      <c r="B615" s="68"/>
      <c r="K615" s="68"/>
      <c r="L615" s="68"/>
      <c r="M615" s="68"/>
      <c r="N615" s="68"/>
    </row>
    <row r="616" spans="1:14">
      <c r="A616" s="68"/>
      <c r="B616" s="68"/>
      <c r="K616" s="68"/>
      <c r="L616" s="68"/>
      <c r="M616" s="68"/>
      <c r="N616" s="68"/>
    </row>
    <row r="617" spans="1:14">
      <c r="A617" s="68"/>
      <c r="B617" s="68"/>
      <c r="K617" s="68"/>
      <c r="L617" s="68"/>
      <c r="M617" s="68"/>
      <c r="N617" s="68"/>
    </row>
    <row r="618" spans="1:14">
      <c r="A618" s="68"/>
      <c r="B618" s="68"/>
      <c r="K618" s="68"/>
      <c r="L618" s="68"/>
      <c r="M618" s="68"/>
      <c r="N618" s="68"/>
    </row>
    <row r="619" spans="1:14">
      <c r="A619" s="68"/>
      <c r="B619" s="68"/>
      <c r="K619" s="68"/>
      <c r="L619" s="68"/>
      <c r="M619" s="68"/>
      <c r="N619" s="68"/>
    </row>
    <row r="620" spans="1:14">
      <c r="A620" s="68"/>
      <c r="B620" s="68"/>
      <c r="K620" s="68"/>
      <c r="L620" s="68"/>
      <c r="M620" s="68"/>
      <c r="N620" s="68"/>
    </row>
    <row r="621" spans="1:14">
      <c r="A621" s="68"/>
      <c r="B621" s="68"/>
      <c r="K621" s="68"/>
      <c r="L621" s="68"/>
      <c r="M621" s="68"/>
      <c r="N621" s="68"/>
    </row>
    <row r="622" spans="1:14">
      <c r="A622" s="68"/>
      <c r="B622" s="68"/>
      <c r="K622" s="68"/>
      <c r="L622" s="68"/>
      <c r="M622" s="68"/>
      <c r="N622" s="68"/>
    </row>
    <row r="623" spans="1:14">
      <c r="A623" s="68"/>
      <c r="B623" s="68"/>
      <c r="K623" s="68"/>
      <c r="L623" s="68"/>
      <c r="M623" s="68"/>
      <c r="N623" s="68"/>
    </row>
    <row r="624" spans="1:14">
      <c r="A624" s="68"/>
      <c r="B624" s="68"/>
      <c r="K624" s="68"/>
      <c r="L624" s="68"/>
      <c r="M624" s="68"/>
      <c r="N624" s="68"/>
    </row>
    <row r="625" spans="1:14">
      <c r="A625" s="68"/>
      <c r="B625" s="68"/>
      <c r="K625" s="68"/>
      <c r="L625" s="68"/>
      <c r="M625" s="68"/>
      <c r="N625" s="68"/>
    </row>
    <row r="626" spans="1:14">
      <c r="A626" s="68"/>
      <c r="B626" s="68"/>
      <c r="K626" s="68"/>
      <c r="L626" s="68"/>
      <c r="M626" s="68"/>
      <c r="N626" s="68"/>
    </row>
    <row r="627" spans="1:14">
      <c r="A627" s="68"/>
      <c r="B627" s="68"/>
      <c r="K627" s="68"/>
      <c r="L627" s="68"/>
      <c r="M627" s="68"/>
      <c r="N627" s="68"/>
    </row>
    <row r="628" spans="1:14">
      <c r="A628" s="68"/>
      <c r="B628" s="68"/>
      <c r="K628" s="68"/>
      <c r="L628" s="68"/>
      <c r="M628" s="68"/>
      <c r="N628" s="68"/>
    </row>
    <row r="629" spans="1:14">
      <c r="A629" s="68"/>
      <c r="B629" s="68"/>
      <c r="K629" s="68"/>
      <c r="L629" s="68"/>
      <c r="M629" s="68"/>
      <c r="N629" s="68"/>
    </row>
    <row r="630" spans="1:14">
      <c r="A630" s="68"/>
      <c r="B630" s="68"/>
      <c r="K630" s="68"/>
      <c r="L630" s="68"/>
      <c r="M630" s="68"/>
      <c r="N630" s="68"/>
    </row>
    <row r="631" spans="1:14">
      <c r="A631" s="68"/>
      <c r="B631" s="68"/>
      <c r="K631" s="68"/>
      <c r="L631" s="68"/>
      <c r="M631" s="68"/>
      <c r="N631" s="68"/>
    </row>
    <row r="632" spans="1:14">
      <c r="A632" s="68"/>
      <c r="B632" s="68"/>
      <c r="K632" s="68"/>
      <c r="L632" s="68"/>
      <c r="M632" s="68"/>
      <c r="N632" s="68"/>
    </row>
    <row r="633" spans="1:14">
      <c r="A633" s="68"/>
      <c r="B633" s="68"/>
      <c r="K633" s="68"/>
      <c r="L633" s="68"/>
      <c r="M633" s="68"/>
      <c r="N633" s="68"/>
    </row>
    <row r="634" spans="1:14">
      <c r="A634" s="68"/>
      <c r="B634" s="68"/>
      <c r="K634" s="68"/>
      <c r="L634" s="68"/>
      <c r="M634" s="68"/>
      <c r="N634" s="68"/>
    </row>
    <row r="635" spans="1:14">
      <c r="A635" s="68"/>
      <c r="B635" s="68"/>
      <c r="K635" s="68"/>
      <c r="L635" s="68"/>
      <c r="M635" s="68"/>
      <c r="N635" s="68"/>
    </row>
    <row r="636" spans="1:14">
      <c r="A636" s="68"/>
      <c r="B636" s="68"/>
      <c r="K636" s="68"/>
      <c r="L636" s="68"/>
      <c r="M636" s="68"/>
      <c r="N636" s="68"/>
    </row>
    <row r="637" spans="1:14">
      <c r="A637" s="68"/>
      <c r="B637" s="68"/>
      <c r="K637" s="68"/>
      <c r="L637" s="68"/>
      <c r="M637" s="68"/>
      <c r="N637" s="68"/>
    </row>
    <row r="638" spans="1:14">
      <c r="A638" s="68"/>
      <c r="B638" s="68"/>
      <c r="K638" s="68"/>
      <c r="L638" s="68"/>
      <c r="M638" s="68"/>
      <c r="N638" s="68"/>
    </row>
    <row r="639" spans="1:14">
      <c r="A639" s="68"/>
      <c r="B639" s="68"/>
      <c r="K639" s="68"/>
      <c r="L639" s="68"/>
      <c r="M639" s="68"/>
      <c r="N639" s="68"/>
    </row>
    <row r="640" spans="1:14">
      <c r="A640" s="68"/>
      <c r="B640" s="68"/>
      <c r="K640" s="68"/>
      <c r="L640" s="68"/>
      <c r="M640" s="68"/>
      <c r="N640" s="68"/>
    </row>
    <row r="641" spans="1:14">
      <c r="A641" s="68"/>
      <c r="B641" s="68"/>
      <c r="K641" s="68"/>
      <c r="L641" s="68"/>
      <c r="M641" s="68"/>
      <c r="N641" s="68"/>
    </row>
    <row r="642" spans="1:14">
      <c r="A642" s="68"/>
      <c r="B642" s="68"/>
      <c r="K642" s="68"/>
      <c r="L642" s="68"/>
      <c r="M642" s="68"/>
      <c r="N642" s="68"/>
    </row>
    <row r="643" spans="1:14">
      <c r="A643" s="68"/>
      <c r="B643" s="68"/>
      <c r="K643" s="68"/>
      <c r="L643" s="68"/>
      <c r="M643" s="68"/>
      <c r="N643" s="68"/>
    </row>
    <row r="644" spans="1:14">
      <c r="A644" s="68"/>
      <c r="B644" s="68"/>
      <c r="K644" s="68"/>
      <c r="L644" s="68"/>
      <c r="M644" s="68"/>
      <c r="N644" s="68"/>
    </row>
    <row r="645" spans="1:14">
      <c r="A645" s="68"/>
      <c r="B645" s="68"/>
      <c r="K645" s="68"/>
      <c r="L645" s="68"/>
      <c r="M645" s="68"/>
      <c r="N645" s="68"/>
    </row>
    <row r="646" spans="1:14">
      <c r="A646" s="68"/>
      <c r="B646" s="68"/>
      <c r="K646" s="68"/>
      <c r="L646" s="68"/>
      <c r="M646" s="68"/>
      <c r="N646" s="68"/>
    </row>
    <row r="647" spans="1:14">
      <c r="A647" s="68"/>
      <c r="B647" s="68"/>
      <c r="K647" s="68"/>
      <c r="L647" s="68"/>
      <c r="M647" s="68"/>
      <c r="N647" s="68"/>
    </row>
    <row r="648" spans="1:14">
      <c r="A648" s="68"/>
      <c r="B648" s="68"/>
      <c r="K648" s="68"/>
      <c r="L648" s="68"/>
      <c r="M648" s="68"/>
      <c r="N648" s="68"/>
    </row>
    <row r="649" spans="1:14">
      <c r="A649" s="68"/>
      <c r="B649" s="68"/>
      <c r="K649" s="68"/>
      <c r="L649" s="68"/>
      <c r="M649" s="68"/>
      <c r="N649" s="68"/>
    </row>
    <row r="650" spans="1:14">
      <c r="A650" s="68"/>
      <c r="B650" s="68"/>
      <c r="K650" s="68"/>
      <c r="L650" s="68"/>
      <c r="M650" s="68"/>
      <c r="N650" s="68"/>
    </row>
    <row r="651" spans="1:14">
      <c r="A651" s="68"/>
      <c r="B651" s="68"/>
      <c r="K651" s="68"/>
      <c r="L651" s="68"/>
      <c r="M651" s="68"/>
      <c r="N651" s="68"/>
    </row>
    <row r="652" spans="1:14">
      <c r="A652" s="68"/>
      <c r="B652" s="68"/>
      <c r="K652" s="68"/>
      <c r="L652" s="68"/>
      <c r="M652" s="68"/>
      <c r="N652" s="68"/>
    </row>
    <row r="653" spans="1:14">
      <c r="A653" s="68"/>
      <c r="B653" s="68"/>
      <c r="K653" s="68"/>
      <c r="L653" s="68"/>
      <c r="M653" s="68"/>
      <c r="N653" s="68"/>
    </row>
    <row r="654" spans="1:14">
      <c r="A654" s="68"/>
      <c r="B654" s="68"/>
      <c r="K654" s="68"/>
      <c r="L654" s="68"/>
      <c r="M654" s="68"/>
      <c r="N654" s="68"/>
    </row>
    <row r="655" spans="1:14">
      <c r="A655" s="68"/>
      <c r="B655" s="68"/>
      <c r="K655" s="68"/>
      <c r="L655" s="68"/>
      <c r="M655" s="68"/>
      <c r="N655" s="68"/>
    </row>
    <row r="656" spans="1:14">
      <c r="A656" s="68"/>
      <c r="B656" s="68"/>
      <c r="K656" s="68"/>
      <c r="L656" s="68"/>
      <c r="M656" s="68"/>
      <c r="N656" s="68"/>
    </row>
    <row r="657" spans="1:14">
      <c r="A657" s="68"/>
      <c r="B657" s="68"/>
      <c r="K657" s="68"/>
      <c r="L657" s="68"/>
      <c r="M657" s="68"/>
      <c r="N657" s="68"/>
    </row>
    <row r="658" spans="1:14">
      <c r="A658" s="68"/>
      <c r="B658" s="68"/>
      <c r="K658" s="68"/>
      <c r="L658" s="68"/>
      <c r="M658" s="68"/>
      <c r="N658" s="68"/>
    </row>
    <row r="659" spans="1:14">
      <c r="A659" s="68"/>
      <c r="B659" s="68"/>
      <c r="K659" s="68"/>
      <c r="L659" s="68"/>
      <c r="M659" s="68"/>
      <c r="N659" s="68"/>
    </row>
    <row r="660" spans="1:14">
      <c r="A660" s="68"/>
      <c r="B660" s="68"/>
      <c r="K660" s="68"/>
      <c r="L660" s="68"/>
      <c r="M660" s="68"/>
      <c r="N660" s="68"/>
    </row>
    <row r="661" spans="1:14">
      <c r="A661" s="68"/>
      <c r="B661" s="68"/>
      <c r="K661" s="68"/>
      <c r="L661" s="68"/>
      <c r="M661" s="68"/>
      <c r="N661" s="68"/>
    </row>
    <row r="662" spans="1:14">
      <c r="A662" s="68"/>
      <c r="B662" s="68"/>
      <c r="K662" s="68"/>
      <c r="L662" s="68"/>
      <c r="M662" s="68"/>
      <c r="N662" s="68"/>
    </row>
    <row r="663" spans="1:14">
      <c r="A663" s="68"/>
      <c r="B663" s="68"/>
      <c r="K663" s="68"/>
      <c r="L663" s="68"/>
      <c r="M663" s="68"/>
      <c r="N663" s="68"/>
    </row>
    <row r="664" spans="1:14">
      <c r="A664" s="68"/>
      <c r="B664" s="68"/>
      <c r="K664" s="68"/>
      <c r="L664" s="68"/>
      <c r="M664" s="68"/>
      <c r="N664" s="68"/>
    </row>
    <row r="665" spans="1:14">
      <c r="A665" s="68"/>
      <c r="B665" s="68"/>
      <c r="K665" s="68"/>
      <c r="L665" s="68"/>
      <c r="M665" s="68"/>
      <c r="N665" s="68"/>
    </row>
    <row r="666" spans="1:14">
      <c r="A666" s="68"/>
      <c r="B666" s="68"/>
      <c r="K666" s="68"/>
      <c r="L666" s="68"/>
      <c r="M666" s="68"/>
      <c r="N666" s="68"/>
    </row>
    <row r="667" spans="1:14">
      <c r="A667" s="68"/>
      <c r="B667" s="68"/>
      <c r="K667" s="68"/>
      <c r="L667" s="68"/>
      <c r="M667" s="68"/>
      <c r="N667" s="68"/>
    </row>
    <row r="668" spans="1:14">
      <c r="A668" s="68"/>
      <c r="B668" s="68"/>
      <c r="K668" s="68"/>
      <c r="L668" s="68"/>
      <c r="M668" s="68"/>
      <c r="N668" s="68"/>
    </row>
    <row r="669" spans="1:14">
      <c r="A669" s="68"/>
      <c r="B669" s="68"/>
      <c r="K669" s="68"/>
      <c r="L669" s="68"/>
      <c r="M669" s="68"/>
      <c r="N669" s="68"/>
    </row>
    <row r="670" spans="1:14">
      <c r="A670" s="68"/>
      <c r="B670" s="68"/>
      <c r="K670" s="68"/>
      <c r="L670" s="68"/>
      <c r="M670" s="68"/>
      <c r="N670" s="68"/>
    </row>
    <row r="671" spans="1:14">
      <c r="A671" s="68"/>
      <c r="B671" s="68"/>
      <c r="K671" s="68"/>
      <c r="L671" s="68"/>
      <c r="M671" s="68"/>
      <c r="N671" s="68"/>
    </row>
    <row r="672" spans="1:14">
      <c r="A672" s="68"/>
      <c r="B672" s="68"/>
      <c r="K672" s="68"/>
      <c r="L672" s="68"/>
      <c r="M672" s="68"/>
      <c r="N672" s="68"/>
    </row>
    <row r="673" spans="1:14">
      <c r="A673" s="68"/>
      <c r="B673" s="68"/>
      <c r="K673" s="68"/>
      <c r="L673" s="68"/>
      <c r="M673" s="68"/>
      <c r="N673" s="68"/>
    </row>
    <row r="674" spans="1:14">
      <c r="A674" s="68"/>
      <c r="B674" s="68"/>
      <c r="K674" s="68"/>
      <c r="L674" s="68"/>
      <c r="M674" s="68"/>
      <c r="N674" s="68"/>
    </row>
    <row r="675" spans="1:14">
      <c r="A675" s="68"/>
      <c r="B675" s="68"/>
      <c r="K675" s="68"/>
      <c r="L675" s="68"/>
      <c r="M675" s="68"/>
      <c r="N675" s="68"/>
    </row>
    <row r="676" spans="1:14">
      <c r="A676" s="68"/>
      <c r="B676" s="68"/>
      <c r="K676" s="68"/>
      <c r="L676" s="68"/>
      <c r="M676" s="68"/>
      <c r="N676" s="68"/>
    </row>
    <row r="677" spans="1:14">
      <c r="A677" s="68"/>
      <c r="B677" s="68"/>
      <c r="K677" s="68"/>
      <c r="L677" s="68"/>
      <c r="M677" s="68"/>
      <c r="N677" s="68"/>
    </row>
    <row r="678" spans="1:14">
      <c r="A678" s="68"/>
      <c r="B678" s="68"/>
      <c r="K678" s="68"/>
      <c r="L678" s="68"/>
      <c r="M678" s="68"/>
      <c r="N678" s="68"/>
    </row>
    <row r="679" spans="1:14">
      <c r="A679" s="68"/>
      <c r="B679" s="68"/>
      <c r="K679" s="68"/>
      <c r="L679" s="68"/>
      <c r="M679" s="68"/>
      <c r="N679" s="68"/>
    </row>
    <row r="680" spans="1:14">
      <c r="A680" s="68"/>
      <c r="B680" s="68"/>
      <c r="K680" s="68"/>
      <c r="L680" s="68"/>
      <c r="M680" s="68"/>
      <c r="N680" s="68"/>
    </row>
    <row r="681" spans="1:14">
      <c r="A681" s="68"/>
      <c r="B681" s="68"/>
      <c r="K681" s="68"/>
      <c r="L681" s="68"/>
      <c r="M681" s="68"/>
      <c r="N681" s="68"/>
    </row>
    <row r="682" spans="1:14">
      <c r="A682" s="68"/>
      <c r="B682" s="68"/>
      <c r="K682" s="68"/>
      <c r="L682" s="68"/>
      <c r="M682" s="68"/>
      <c r="N682" s="68"/>
    </row>
    <row r="683" spans="1:14">
      <c r="A683" s="68"/>
      <c r="B683" s="68"/>
      <c r="K683" s="68"/>
      <c r="L683" s="68"/>
      <c r="M683" s="68"/>
      <c r="N683" s="68"/>
    </row>
    <row r="684" spans="1:14">
      <c r="A684" s="68"/>
      <c r="B684" s="68"/>
      <c r="K684" s="68"/>
      <c r="L684" s="68"/>
      <c r="M684" s="68"/>
      <c r="N684" s="68"/>
    </row>
    <row r="685" spans="1:14">
      <c r="A685" s="68"/>
      <c r="B685" s="68"/>
      <c r="K685" s="68"/>
      <c r="L685" s="68"/>
      <c r="M685" s="68"/>
      <c r="N685" s="68"/>
    </row>
    <row r="686" spans="1:14">
      <c r="A686" s="68"/>
      <c r="B686" s="68"/>
      <c r="K686" s="68"/>
      <c r="L686" s="68"/>
      <c r="M686" s="68"/>
      <c r="N686" s="68"/>
    </row>
    <row r="687" spans="1:14">
      <c r="A687" s="68"/>
      <c r="B687" s="68"/>
      <c r="K687" s="68"/>
      <c r="L687" s="68"/>
      <c r="M687" s="68"/>
      <c r="N687" s="68"/>
    </row>
    <row r="688" spans="1:14">
      <c r="A688" s="68"/>
      <c r="B688" s="68"/>
      <c r="K688" s="68"/>
      <c r="L688" s="68"/>
      <c r="M688" s="68"/>
      <c r="N688" s="68"/>
    </row>
    <row r="689" spans="1:14">
      <c r="A689" s="68"/>
      <c r="B689" s="68"/>
      <c r="K689" s="68"/>
      <c r="L689" s="68"/>
      <c r="M689" s="68"/>
      <c r="N689" s="68"/>
    </row>
    <row r="690" spans="1:14">
      <c r="A690" s="68"/>
      <c r="B690" s="68"/>
      <c r="K690" s="68"/>
      <c r="L690" s="68"/>
      <c r="M690" s="68"/>
      <c r="N690" s="68"/>
    </row>
    <row r="691" spans="1:14">
      <c r="A691" s="68"/>
      <c r="B691" s="68"/>
      <c r="K691" s="68"/>
      <c r="L691" s="68"/>
      <c r="M691" s="68"/>
      <c r="N691" s="68"/>
    </row>
    <row r="692" spans="1:14">
      <c r="A692" s="68"/>
      <c r="B692" s="68"/>
      <c r="K692" s="68"/>
      <c r="L692" s="68"/>
      <c r="M692" s="68"/>
      <c r="N692" s="68"/>
    </row>
    <row r="693" spans="1:14">
      <c r="A693" s="68"/>
      <c r="B693" s="68"/>
      <c r="K693" s="68"/>
      <c r="L693" s="68"/>
      <c r="M693" s="68"/>
      <c r="N693" s="68"/>
    </row>
    <row r="694" spans="1:14">
      <c r="A694" s="68"/>
      <c r="B694" s="68"/>
      <c r="K694" s="68"/>
      <c r="L694" s="68"/>
      <c r="M694" s="68"/>
      <c r="N694" s="68"/>
    </row>
    <row r="695" spans="1:14">
      <c r="A695" s="68"/>
      <c r="B695" s="68"/>
      <c r="K695" s="68"/>
      <c r="L695" s="68"/>
      <c r="M695" s="68"/>
      <c r="N695" s="68"/>
    </row>
    <row r="696" spans="1:14">
      <c r="A696" s="68"/>
      <c r="B696" s="68"/>
      <c r="K696" s="68"/>
      <c r="L696" s="68"/>
      <c r="M696" s="68"/>
      <c r="N696" s="68"/>
    </row>
    <row r="697" spans="1:14">
      <c r="A697" s="68"/>
      <c r="B697" s="68"/>
      <c r="K697" s="68"/>
      <c r="L697" s="68"/>
      <c r="M697" s="68"/>
      <c r="N697" s="68"/>
    </row>
    <row r="698" spans="1:14">
      <c r="A698" s="68"/>
      <c r="B698" s="68"/>
      <c r="K698" s="68"/>
      <c r="L698" s="68"/>
      <c r="M698" s="68"/>
      <c r="N698" s="68"/>
    </row>
    <row r="699" spans="1:14">
      <c r="A699" s="68"/>
      <c r="B699" s="68"/>
      <c r="K699" s="68"/>
      <c r="L699" s="68"/>
      <c r="M699" s="68"/>
      <c r="N699" s="68"/>
    </row>
    <row r="700" spans="1:14">
      <c r="A700" s="68"/>
      <c r="B700" s="68"/>
      <c r="K700" s="68"/>
      <c r="L700" s="68"/>
      <c r="M700" s="68"/>
      <c r="N700" s="68"/>
    </row>
    <row r="701" spans="1:14">
      <c r="A701" s="68"/>
      <c r="B701" s="68"/>
      <c r="K701" s="68"/>
      <c r="L701" s="68"/>
      <c r="M701" s="68"/>
      <c r="N701" s="68"/>
    </row>
    <row r="702" spans="1:14">
      <c r="A702" s="68"/>
      <c r="B702" s="68"/>
      <c r="K702" s="68"/>
      <c r="L702" s="68"/>
      <c r="M702" s="68"/>
      <c r="N702" s="68"/>
    </row>
    <row r="703" spans="1:14">
      <c r="A703" s="68"/>
      <c r="B703" s="68"/>
      <c r="K703" s="68"/>
      <c r="L703" s="68"/>
      <c r="M703" s="68"/>
      <c r="N703" s="68"/>
    </row>
    <row r="704" spans="1:14">
      <c r="A704" s="68"/>
      <c r="B704" s="68"/>
      <c r="K704" s="68"/>
      <c r="L704" s="68"/>
      <c r="M704" s="68"/>
      <c r="N704" s="68"/>
    </row>
    <row r="705" spans="1:14">
      <c r="A705" s="68"/>
      <c r="B705" s="68"/>
      <c r="K705" s="68"/>
      <c r="L705" s="68"/>
      <c r="M705" s="68"/>
      <c r="N705" s="68"/>
    </row>
    <row r="706" spans="1:14">
      <c r="A706" s="68"/>
      <c r="B706" s="68"/>
      <c r="K706" s="68"/>
      <c r="L706" s="68"/>
      <c r="M706" s="68"/>
      <c r="N706" s="68"/>
    </row>
    <row r="707" spans="1:14">
      <c r="A707" s="68"/>
      <c r="B707" s="68"/>
      <c r="K707" s="68"/>
      <c r="L707" s="68"/>
      <c r="M707" s="68"/>
      <c r="N707" s="68"/>
    </row>
    <row r="708" spans="1:14">
      <c r="A708" s="68"/>
      <c r="B708" s="68"/>
      <c r="K708" s="68"/>
      <c r="L708" s="68"/>
      <c r="M708" s="68"/>
      <c r="N708" s="68"/>
    </row>
    <row r="709" spans="1:14">
      <c r="A709" s="68"/>
      <c r="B709" s="68"/>
      <c r="K709" s="68"/>
      <c r="L709" s="68"/>
      <c r="M709" s="68"/>
      <c r="N709" s="68"/>
    </row>
    <row r="710" spans="1:14">
      <c r="A710" s="68"/>
      <c r="B710" s="68"/>
      <c r="K710" s="68"/>
      <c r="L710" s="68"/>
      <c r="M710" s="68"/>
      <c r="N710" s="68"/>
    </row>
    <row r="711" spans="1:14">
      <c r="A711" s="68"/>
      <c r="B711" s="68"/>
      <c r="K711" s="68"/>
      <c r="L711" s="68"/>
      <c r="M711" s="68"/>
      <c r="N711" s="68"/>
    </row>
    <row r="712" spans="1:14">
      <c r="A712" s="68"/>
      <c r="B712" s="68"/>
      <c r="K712" s="68"/>
      <c r="L712" s="68"/>
      <c r="M712" s="68"/>
      <c r="N712" s="68"/>
    </row>
    <row r="713" spans="1:14">
      <c r="A713" s="68"/>
      <c r="B713" s="68"/>
      <c r="K713" s="68"/>
      <c r="L713" s="68"/>
      <c r="M713" s="68"/>
      <c r="N713" s="68"/>
    </row>
    <row r="714" spans="1:14">
      <c r="A714" s="68"/>
      <c r="B714" s="68"/>
      <c r="K714" s="68"/>
      <c r="L714" s="68"/>
      <c r="M714" s="68"/>
      <c r="N714" s="68"/>
    </row>
    <row r="715" spans="1:14">
      <c r="A715" s="68"/>
      <c r="B715" s="68"/>
      <c r="K715" s="68"/>
      <c r="L715" s="68"/>
      <c r="M715" s="68"/>
      <c r="N715" s="68"/>
    </row>
    <row r="716" spans="1:14">
      <c r="A716" s="68"/>
      <c r="B716" s="68"/>
      <c r="K716" s="68"/>
      <c r="L716" s="68"/>
      <c r="M716" s="68"/>
      <c r="N716" s="68"/>
    </row>
    <row r="717" spans="1:14">
      <c r="A717" s="68"/>
      <c r="B717" s="68"/>
      <c r="K717" s="68"/>
      <c r="L717" s="68"/>
      <c r="M717" s="68"/>
      <c r="N717" s="68"/>
    </row>
    <row r="718" spans="1:14">
      <c r="A718" s="68"/>
      <c r="B718" s="68"/>
      <c r="K718" s="68"/>
      <c r="L718" s="68"/>
      <c r="M718" s="68"/>
      <c r="N718" s="68"/>
    </row>
    <row r="719" spans="1:14">
      <c r="A719" s="68"/>
      <c r="B719" s="68"/>
      <c r="K719" s="68"/>
      <c r="L719" s="68"/>
      <c r="M719" s="68"/>
      <c r="N719" s="68"/>
    </row>
    <row r="720" spans="1:14">
      <c r="A720" s="68"/>
      <c r="B720" s="68"/>
      <c r="K720" s="68"/>
      <c r="L720" s="68"/>
      <c r="M720" s="68"/>
      <c r="N720" s="68"/>
    </row>
    <row r="721" spans="1:14">
      <c r="A721" s="68"/>
      <c r="B721" s="68"/>
      <c r="K721" s="68"/>
      <c r="L721" s="68"/>
      <c r="M721" s="68"/>
      <c r="N721" s="68"/>
    </row>
    <row r="722" spans="1:14">
      <c r="A722" s="68"/>
      <c r="B722" s="68"/>
      <c r="K722" s="68"/>
      <c r="L722" s="68"/>
      <c r="M722" s="68"/>
      <c r="N722" s="68"/>
    </row>
    <row r="723" spans="1:14">
      <c r="A723" s="68"/>
      <c r="B723" s="68"/>
      <c r="K723" s="68"/>
      <c r="L723" s="68"/>
      <c r="M723" s="68"/>
      <c r="N723" s="68"/>
    </row>
    <row r="724" spans="1:14">
      <c r="A724" s="68"/>
      <c r="B724" s="68"/>
      <c r="K724" s="68"/>
      <c r="L724" s="68"/>
      <c r="M724" s="68"/>
      <c r="N724" s="68"/>
    </row>
    <row r="725" spans="1:14">
      <c r="A725" s="68"/>
      <c r="B725" s="68"/>
      <c r="K725" s="68"/>
      <c r="L725" s="68"/>
      <c r="M725" s="68"/>
      <c r="N725" s="68"/>
    </row>
    <row r="726" spans="1:14">
      <c r="A726" s="68"/>
      <c r="B726" s="68"/>
      <c r="K726" s="68"/>
      <c r="L726" s="68"/>
      <c r="M726" s="68"/>
      <c r="N726" s="68"/>
    </row>
    <row r="727" spans="1:14">
      <c r="A727" s="68"/>
      <c r="B727" s="68"/>
      <c r="K727" s="68"/>
      <c r="L727" s="68"/>
      <c r="M727" s="68"/>
      <c r="N727" s="68"/>
    </row>
    <row r="728" spans="1:14">
      <c r="A728" s="68"/>
      <c r="B728" s="68"/>
      <c r="K728" s="68"/>
      <c r="L728" s="68"/>
      <c r="M728" s="68"/>
      <c r="N728" s="68"/>
    </row>
    <row r="729" spans="1:14">
      <c r="A729" s="68"/>
      <c r="B729" s="68"/>
      <c r="K729" s="68"/>
      <c r="L729" s="68"/>
      <c r="M729" s="68"/>
      <c r="N729" s="68"/>
    </row>
    <row r="730" spans="1:14">
      <c r="A730" s="68"/>
      <c r="B730" s="68"/>
      <c r="K730" s="68"/>
      <c r="L730" s="68"/>
      <c r="M730" s="68"/>
      <c r="N730" s="68"/>
    </row>
    <row r="731" spans="1:14">
      <c r="A731" s="68"/>
      <c r="B731" s="68"/>
      <c r="K731" s="68"/>
      <c r="L731" s="68"/>
      <c r="M731" s="68"/>
      <c r="N731" s="68"/>
    </row>
    <row r="732" spans="1:14">
      <c r="A732" s="68"/>
      <c r="B732" s="68"/>
      <c r="K732" s="68"/>
      <c r="L732" s="68"/>
      <c r="M732" s="68"/>
      <c r="N732" s="68"/>
    </row>
    <row r="733" spans="1:14">
      <c r="A733" s="68"/>
      <c r="B733" s="68"/>
      <c r="K733" s="68"/>
      <c r="L733" s="68"/>
      <c r="M733" s="68"/>
      <c r="N733" s="68"/>
    </row>
    <row r="734" spans="1:14">
      <c r="A734" s="68"/>
      <c r="B734" s="68"/>
      <c r="K734" s="68"/>
      <c r="L734" s="68"/>
      <c r="M734" s="68"/>
      <c r="N734" s="68"/>
    </row>
    <row r="735" spans="1:14">
      <c r="A735" s="68"/>
      <c r="B735" s="68"/>
      <c r="K735" s="68"/>
      <c r="L735" s="68"/>
      <c r="M735" s="68"/>
      <c r="N735" s="68"/>
    </row>
    <row r="736" spans="1:14">
      <c r="A736" s="68"/>
      <c r="B736" s="68"/>
      <c r="K736" s="68"/>
      <c r="L736" s="68"/>
      <c r="M736" s="68"/>
      <c r="N736" s="68"/>
    </row>
    <row r="737" spans="1:14">
      <c r="A737" s="68"/>
      <c r="B737" s="68"/>
      <c r="K737" s="68"/>
      <c r="L737" s="68"/>
      <c r="M737" s="68"/>
      <c r="N737" s="68"/>
    </row>
    <row r="738" spans="1:14">
      <c r="A738" s="68"/>
      <c r="B738" s="68"/>
      <c r="K738" s="68"/>
      <c r="L738" s="68"/>
      <c r="M738" s="68"/>
      <c r="N738" s="68"/>
    </row>
    <row r="739" spans="1:14">
      <c r="A739" s="68"/>
      <c r="B739" s="68"/>
      <c r="K739" s="68"/>
      <c r="L739" s="68"/>
      <c r="M739" s="68"/>
      <c r="N739" s="68"/>
    </row>
    <row r="740" spans="1:14">
      <c r="A740" s="68"/>
      <c r="B740" s="68"/>
      <c r="K740" s="68"/>
      <c r="L740" s="68"/>
      <c r="M740" s="68"/>
      <c r="N740" s="68"/>
    </row>
    <row r="741" spans="1:14">
      <c r="A741" s="68"/>
      <c r="B741" s="68"/>
      <c r="K741" s="68"/>
      <c r="L741" s="68"/>
      <c r="M741" s="68"/>
      <c r="N741" s="68"/>
    </row>
    <row r="742" spans="1:14">
      <c r="A742" s="68"/>
      <c r="B742" s="68"/>
      <c r="K742" s="68"/>
      <c r="L742" s="68"/>
      <c r="M742" s="68"/>
      <c r="N742" s="68"/>
    </row>
    <row r="743" spans="1:14">
      <c r="A743" s="68"/>
      <c r="B743" s="68"/>
      <c r="K743" s="68"/>
      <c r="L743" s="68"/>
      <c r="M743" s="68"/>
      <c r="N743" s="68"/>
    </row>
    <row r="744" spans="1:14">
      <c r="A744" s="68"/>
      <c r="B744" s="68"/>
      <c r="K744" s="68"/>
      <c r="L744" s="68"/>
      <c r="M744" s="68"/>
      <c r="N744" s="68"/>
    </row>
    <row r="745" spans="1:14">
      <c r="A745" s="68"/>
      <c r="B745" s="68"/>
      <c r="K745" s="68"/>
      <c r="L745" s="68"/>
      <c r="M745" s="68"/>
      <c r="N745" s="68"/>
    </row>
    <row r="746" spans="1:14">
      <c r="A746" s="68"/>
      <c r="B746" s="68"/>
      <c r="K746" s="68"/>
      <c r="L746" s="68"/>
      <c r="M746" s="68"/>
      <c r="N746" s="68"/>
    </row>
    <row r="747" spans="1:14">
      <c r="A747" s="68"/>
      <c r="B747" s="68"/>
      <c r="K747" s="68"/>
      <c r="L747" s="68"/>
      <c r="M747" s="68"/>
      <c r="N747" s="68"/>
    </row>
    <row r="748" spans="1:14">
      <c r="A748" s="68"/>
      <c r="B748" s="68"/>
      <c r="K748" s="68"/>
      <c r="L748" s="68"/>
      <c r="M748" s="68"/>
      <c r="N748" s="68"/>
    </row>
    <row r="749" spans="1:14">
      <c r="A749" s="68"/>
      <c r="B749" s="68"/>
      <c r="K749" s="68"/>
      <c r="L749" s="68"/>
      <c r="M749" s="68"/>
      <c r="N749" s="68"/>
    </row>
    <row r="750" spans="1:14">
      <c r="A750" s="68"/>
      <c r="B750" s="68"/>
      <c r="K750" s="68"/>
      <c r="L750" s="68"/>
      <c r="M750" s="68"/>
      <c r="N750" s="68"/>
    </row>
    <row r="751" spans="1:14">
      <c r="A751" s="68"/>
      <c r="B751" s="68"/>
      <c r="K751" s="68"/>
      <c r="L751" s="68"/>
      <c r="M751" s="68"/>
      <c r="N751" s="68"/>
    </row>
    <row r="752" spans="1:14">
      <c r="A752" s="68"/>
      <c r="B752" s="68"/>
      <c r="K752" s="68"/>
      <c r="L752" s="68"/>
      <c r="M752" s="68"/>
      <c r="N752" s="68"/>
    </row>
    <row r="753" spans="1:14">
      <c r="A753" s="68"/>
      <c r="B753" s="68"/>
      <c r="K753" s="68"/>
      <c r="L753" s="68"/>
      <c r="M753" s="68"/>
      <c r="N753" s="68"/>
    </row>
    <row r="754" spans="1:14">
      <c r="A754" s="68"/>
      <c r="B754" s="68"/>
      <c r="K754" s="68"/>
      <c r="L754" s="68"/>
      <c r="M754" s="68"/>
      <c r="N754" s="68"/>
    </row>
    <row r="755" spans="1:14">
      <c r="A755" s="68"/>
      <c r="B755" s="68"/>
      <c r="K755" s="68"/>
      <c r="L755" s="68"/>
      <c r="M755" s="68"/>
      <c r="N755" s="68"/>
    </row>
    <row r="756" spans="1:14">
      <c r="A756" s="68"/>
      <c r="B756" s="68"/>
      <c r="K756" s="68"/>
      <c r="L756" s="68"/>
      <c r="M756" s="68"/>
      <c r="N756" s="68"/>
    </row>
    <row r="757" spans="1:14">
      <c r="A757" s="68"/>
      <c r="B757" s="68"/>
      <c r="K757" s="68"/>
      <c r="L757" s="68"/>
      <c r="M757" s="68"/>
      <c r="N757" s="68"/>
    </row>
    <row r="758" spans="1:14">
      <c r="A758" s="68"/>
      <c r="B758" s="68"/>
      <c r="K758" s="68"/>
      <c r="L758" s="68"/>
      <c r="M758" s="68"/>
      <c r="N758" s="68"/>
    </row>
    <row r="759" spans="1:14">
      <c r="A759" s="68"/>
      <c r="B759" s="68"/>
      <c r="K759" s="68"/>
      <c r="L759" s="68"/>
      <c r="M759" s="68"/>
      <c r="N759" s="68"/>
    </row>
    <row r="760" spans="1:14">
      <c r="A760" s="68"/>
      <c r="B760" s="68"/>
      <c r="K760" s="68"/>
      <c r="L760" s="68"/>
      <c r="M760" s="68"/>
      <c r="N760" s="68"/>
    </row>
    <row r="761" spans="1:14">
      <c r="A761" s="68"/>
      <c r="B761" s="68"/>
      <c r="K761" s="68"/>
      <c r="L761" s="68"/>
      <c r="M761" s="68"/>
      <c r="N761" s="68"/>
    </row>
    <row r="762" spans="1:14">
      <c r="A762" s="68"/>
      <c r="B762" s="68"/>
      <c r="K762" s="68"/>
      <c r="L762" s="68"/>
      <c r="M762" s="68"/>
      <c r="N762" s="68"/>
    </row>
    <row r="763" spans="1:14">
      <c r="A763" s="68"/>
      <c r="B763" s="68"/>
      <c r="K763" s="68"/>
      <c r="L763" s="68"/>
      <c r="M763" s="68"/>
      <c r="N763" s="68"/>
    </row>
    <row r="764" spans="1:14">
      <c r="A764" s="68"/>
      <c r="B764" s="68"/>
      <c r="K764" s="68"/>
      <c r="L764" s="68"/>
      <c r="M764" s="68"/>
      <c r="N764" s="68"/>
    </row>
    <row r="765" spans="1:14">
      <c r="A765" s="68"/>
      <c r="B765" s="68"/>
      <c r="K765" s="68"/>
      <c r="L765" s="68"/>
      <c r="M765" s="68"/>
      <c r="N765" s="68"/>
    </row>
    <row r="766" spans="1:14">
      <c r="A766" s="68"/>
      <c r="B766" s="68"/>
      <c r="K766" s="68"/>
      <c r="L766" s="68"/>
      <c r="M766" s="68"/>
      <c r="N766" s="68"/>
    </row>
    <row r="767" spans="1:14">
      <c r="A767" s="68"/>
      <c r="B767" s="68"/>
      <c r="K767" s="68"/>
      <c r="L767" s="68"/>
      <c r="M767" s="68"/>
      <c r="N767" s="68"/>
    </row>
    <row r="768" spans="1:14">
      <c r="A768" s="68"/>
      <c r="B768" s="68"/>
      <c r="K768" s="68"/>
      <c r="L768" s="68"/>
      <c r="M768" s="68"/>
      <c r="N768" s="68"/>
    </row>
    <row r="769" spans="1:14">
      <c r="A769" s="68"/>
      <c r="B769" s="68"/>
      <c r="K769" s="68"/>
      <c r="L769" s="68"/>
      <c r="M769" s="68"/>
      <c r="N769" s="68"/>
    </row>
    <row r="770" spans="1:14">
      <c r="A770" s="68"/>
      <c r="B770" s="68"/>
      <c r="K770" s="68"/>
      <c r="L770" s="68"/>
      <c r="M770" s="68"/>
      <c r="N770" s="68"/>
    </row>
    <row r="771" spans="1:14">
      <c r="A771" s="68"/>
      <c r="B771" s="68"/>
      <c r="K771" s="68"/>
      <c r="L771" s="68"/>
      <c r="M771" s="68"/>
      <c r="N771" s="68"/>
    </row>
    <row r="772" spans="1:14">
      <c r="A772" s="68"/>
      <c r="B772" s="68"/>
      <c r="K772" s="68"/>
      <c r="L772" s="68"/>
      <c r="M772" s="68"/>
      <c r="N772" s="68"/>
    </row>
    <row r="773" spans="1:14">
      <c r="A773" s="68"/>
      <c r="B773" s="68"/>
      <c r="K773" s="68"/>
      <c r="L773" s="68"/>
      <c r="M773" s="68"/>
      <c r="N773" s="68"/>
    </row>
    <row r="774" spans="1:14">
      <c r="A774" s="68"/>
      <c r="B774" s="68"/>
      <c r="K774" s="68"/>
      <c r="L774" s="68"/>
      <c r="M774" s="68"/>
      <c r="N774" s="68"/>
    </row>
    <row r="775" spans="1:14">
      <c r="A775" s="68"/>
      <c r="B775" s="68"/>
      <c r="K775" s="68"/>
      <c r="L775" s="68"/>
      <c r="M775" s="68"/>
      <c r="N775" s="68"/>
    </row>
    <row r="776" spans="1:14">
      <c r="A776" s="68"/>
      <c r="B776" s="68"/>
      <c r="K776" s="68"/>
      <c r="L776" s="68"/>
      <c r="M776" s="68"/>
      <c r="N776" s="68"/>
    </row>
    <row r="777" spans="1:14">
      <c r="A777" s="68"/>
      <c r="B777" s="68"/>
      <c r="K777" s="68"/>
      <c r="L777" s="68"/>
      <c r="M777" s="68"/>
      <c r="N777" s="68"/>
    </row>
    <row r="778" spans="1:14">
      <c r="A778" s="68"/>
      <c r="B778" s="68"/>
      <c r="K778" s="68"/>
      <c r="L778" s="68"/>
      <c r="M778" s="68"/>
      <c r="N778" s="68"/>
    </row>
    <row r="779" spans="1:14">
      <c r="A779" s="68"/>
      <c r="B779" s="68"/>
      <c r="K779" s="68"/>
      <c r="L779" s="68"/>
      <c r="M779" s="68"/>
      <c r="N779" s="68"/>
    </row>
    <row r="780" spans="1:14">
      <c r="A780" s="68"/>
      <c r="B780" s="68"/>
      <c r="K780" s="68"/>
      <c r="L780" s="68"/>
      <c r="M780" s="68"/>
      <c r="N780" s="68"/>
    </row>
    <row r="781" spans="1:14">
      <c r="A781" s="68"/>
      <c r="B781" s="68"/>
      <c r="K781" s="68"/>
      <c r="L781" s="68"/>
      <c r="M781" s="68"/>
      <c r="N781" s="68"/>
    </row>
    <row r="782" spans="1:14">
      <c r="A782" s="68"/>
      <c r="B782" s="68"/>
      <c r="K782" s="68"/>
      <c r="L782" s="68"/>
      <c r="M782" s="68"/>
      <c r="N782" s="68"/>
    </row>
    <row r="783" spans="1:14">
      <c r="A783" s="68"/>
      <c r="B783" s="68"/>
      <c r="K783" s="68"/>
      <c r="L783" s="68"/>
      <c r="M783" s="68"/>
      <c r="N783" s="68"/>
    </row>
    <row r="784" spans="1:14">
      <c r="A784" s="68"/>
      <c r="B784" s="68"/>
      <c r="K784" s="68"/>
      <c r="L784" s="68"/>
      <c r="M784" s="68"/>
      <c r="N784" s="68"/>
    </row>
    <row r="785" spans="1:14">
      <c r="A785" s="68"/>
      <c r="B785" s="68"/>
      <c r="K785" s="68"/>
      <c r="L785" s="68"/>
      <c r="M785" s="68"/>
      <c r="N785" s="68"/>
    </row>
    <row r="786" spans="1:14">
      <c r="A786" s="68"/>
      <c r="B786" s="68"/>
      <c r="K786" s="68"/>
      <c r="L786" s="68"/>
      <c r="M786" s="68"/>
      <c r="N786" s="68"/>
    </row>
    <row r="787" spans="1:14">
      <c r="A787" s="68"/>
      <c r="B787" s="68"/>
      <c r="K787" s="68"/>
      <c r="L787" s="68"/>
      <c r="M787" s="68"/>
      <c r="N787" s="68"/>
    </row>
    <row r="788" spans="1:14">
      <c r="A788" s="68"/>
      <c r="B788" s="68"/>
      <c r="K788" s="68"/>
      <c r="L788" s="68"/>
      <c r="M788" s="68"/>
      <c r="N788" s="68"/>
    </row>
    <row r="789" spans="1:14">
      <c r="A789" s="68"/>
      <c r="B789" s="68"/>
      <c r="K789" s="68"/>
      <c r="L789" s="68"/>
      <c r="M789" s="68"/>
      <c r="N789" s="68"/>
    </row>
    <row r="790" spans="1:14">
      <c r="A790" s="68"/>
      <c r="B790" s="68"/>
      <c r="K790" s="68"/>
      <c r="L790" s="68"/>
      <c r="M790" s="68"/>
      <c r="N790" s="68"/>
    </row>
    <row r="791" spans="1:14">
      <c r="A791" s="68"/>
      <c r="B791" s="68"/>
      <c r="K791" s="68"/>
      <c r="L791" s="68"/>
      <c r="M791" s="68"/>
      <c r="N791" s="68"/>
    </row>
    <row r="792" spans="1:14">
      <c r="A792" s="68"/>
      <c r="B792" s="68"/>
      <c r="K792" s="68"/>
      <c r="L792" s="68"/>
      <c r="M792" s="68"/>
      <c r="N792" s="68"/>
    </row>
    <row r="793" spans="1:14">
      <c r="A793" s="68"/>
      <c r="B793" s="68"/>
      <c r="K793" s="68"/>
      <c r="L793" s="68"/>
      <c r="M793" s="68"/>
      <c r="N793" s="68"/>
    </row>
    <row r="794" spans="1:14">
      <c r="A794" s="68"/>
      <c r="B794" s="68"/>
      <c r="K794" s="68"/>
      <c r="L794" s="68"/>
      <c r="M794" s="68"/>
      <c r="N794" s="68"/>
    </row>
    <row r="795" spans="1:14">
      <c r="A795" s="68"/>
      <c r="B795" s="68"/>
      <c r="K795" s="68"/>
      <c r="L795" s="68"/>
      <c r="M795" s="68"/>
      <c r="N795" s="68"/>
    </row>
    <row r="796" spans="1:14">
      <c r="A796" s="68"/>
      <c r="B796" s="68"/>
      <c r="K796" s="68"/>
      <c r="L796" s="68"/>
      <c r="M796" s="68"/>
      <c r="N796" s="68"/>
    </row>
    <row r="797" spans="1:14">
      <c r="A797" s="68"/>
      <c r="B797" s="68"/>
      <c r="K797" s="68"/>
      <c r="L797" s="68"/>
      <c r="M797" s="68"/>
      <c r="N797" s="68"/>
    </row>
    <row r="798" spans="1:14">
      <c r="A798" s="68"/>
      <c r="B798" s="68"/>
      <c r="K798" s="68"/>
      <c r="L798" s="68"/>
      <c r="M798" s="68"/>
      <c r="N798" s="68"/>
    </row>
    <row r="799" spans="1:14">
      <c r="A799" s="68"/>
      <c r="B799" s="68"/>
      <c r="K799" s="68"/>
      <c r="L799" s="68"/>
      <c r="M799" s="68"/>
      <c r="N799" s="68"/>
    </row>
    <row r="800" spans="1:14">
      <c r="A800" s="68"/>
      <c r="B800" s="68"/>
      <c r="K800" s="68"/>
      <c r="L800" s="68"/>
      <c r="M800" s="68"/>
      <c r="N800" s="68"/>
    </row>
    <row r="801" spans="1:14">
      <c r="A801" s="68"/>
      <c r="B801" s="68"/>
      <c r="K801" s="68"/>
      <c r="L801" s="68"/>
      <c r="M801" s="68"/>
      <c r="N801" s="68"/>
    </row>
    <row r="802" spans="1:14">
      <c r="A802" s="68"/>
      <c r="B802" s="68"/>
      <c r="K802" s="68"/>
      <c r="L802" s="68"/>
      <c r="M802" s="68"/>
      <c r="N802" s="68"/>
    </row>
    <row r="803" spans="1:14">
      <c r="A803" s="68"/>
      <c r="B803" s="68"/>
      <c r="K803" s="68"/>
      <c r="L803" s="68"/>
      <c r="M803" s="68"/>
      <c r="N803" s="68"/>
    </row>
    <row r="804" spans="1:14">
      <c r="A804" s="68"/>
      <c r="B804" s="68"/>
      <c r="K804" s="68"/>
      <c r="L804" s="68"/>
      <c r="M804" s="68"/>
      <c r="N804" s="68"/>
    </row>
    <row r="805" spans="1:14">
      <c r="A805" s="68"/>
      <c r="B805" s="68"/>
      <c r="K805" s="68"/>
      <c r="L805" s="68"/>
      <c r="M805" s="68"/>
      <c r="N805" s="68"/>
    </row>
    <row r="806" spans="1:14">
      <c r="A806" s="68"/>
      <c r="B806" s="68"/>
      <c r="K806" s="68"/>
      <c r="L806" s="68"/>
      <c r="M806" s="68"/>
      <c r="N806" s="68"/>
    </row>
    <row r="807" spans="1:14">
      <c r="A807" s="68"/>
      <c r="B807" s="68"/>
      <c r="K807" s="68"/>
      <c r="L807" s="68"/>
      <c r="M807" s="68"/>
      <c r="N807" s="68"/>
    </row>
    <row r="808" spans="1:14">
      <c r="A808" s="68"/>
      <c r="B808" s="68"/>
      <c r="K808" s="68"/>
      <c r="L808" s="68"/>
      <c r="M808" s="68"/>
      <c r="N808" s="68"/>
    </row>
    <row r="809" spans="1:14">
      <c r="A809" s="68"/>
      <c r="B809" s="68"/>
      <c r="K809" s="68"/>
      <c r="L809" s="68"/>
      <c r="M809" s="68"/>
      <c r="N809" s="68"/>
    </row>
    <row r="810" spans="1:14">
      <c r="A810" s="68"/>
      <c r="B810" s="68"/>
      <c r="K810" s="68"/>
      <c r="L810" s="68"/>
      <c r="M810" s="68"/>
      <c r="N810" s="68"/>
    </row>
    <row r="811" spans="1:14">
      <c r="A811" s="68"/>
      <c r="B811" s="68"/>
      <c r="K811" s="68"/>
      <c r="L811" s="68"/>
      <c r="M811" s="68"/>
      <c r="N811" s="68"/>
    </row>
    <row r="812" spans="1:14">
      <c r="A812" s="68"/>
      <c r="B812" s="68"/>
      <c r="K812" s="68"/>
      <c r="L812" s="68"/>
      <c r="M812" s="68"/>
      <c r="N812" s="68"/>
    </row>
    <row r="813" spans="1:14">
      <c r="A813" s="68"/>
      <c r="B813" s="68"/>
      <c r="K813" s="68"/>
      <c r="L813" s="68"/>
      <c r="M813" s="68"/>
      <c r="N813" s="68"/>
    </row>
    <row r="814" spans="1:14">
      <c r="A814" s="68"/>
      <c r="B814" s="68"/>
      <c r="K814" s="68"/>
      <c r="L814" s="68"/>
      <c r="M814" s="68"/>
      <c r="N814" s="68"/>
    </row>
    <row r="815" spans="1:14">
      <c r="A815" s="68"/>
      <c r="B815" s="68"/>
      <c r="K815" s="68"/>
      <c r="L815" s="68"/>
      <c r="M815" s="68"/>
      <c r="N815" s="68"/>
    </row>
    <row r="816" spans="1:14">
      <c r="A816" s="68"/>
      <c r="B816" s="68"/>
      <c r="K816" s="68"/>
      <c r="L816" s="68"/>
      <c r="M816" s="68"/>
      <c r="N816" s="68"/>
    </row>
    <row r="817" spans="1:14">
      <c r="A817" s="68"/>
      <c r="B817" s="68"/>
      <c r="K817" s="68"/>
      <c r="L817" s="68"/>
      <c r="M817" s="68"/>
      <c r="N817" s="68"/>
    </row>
    <row r="818" spans="1:14">
      <c r="A818" s="68"/>
      <c r="B818" s="68"/>
      <c r="K818" s="68"/>
      <c r="L818" s="68"/>
      <c r="M818" s="68"/>
      <c r="N818" s="68"/>
    </row>
    <row r="819" spans="1:14">
      <c r="A819" s="68"/>
      <c r="B819" s="68"/>
      <c r="K819" s="68"/>
      <c r="L819" s="68"/>
      <c r="M819" s="68"/>
      <c r="N819" s="68"/>
    </row>
    <row r="820" spans="1:14">
      <c r="A820" s="68"/>
      <c r="B820" s="68"/>
      <c r="K820" s="68"/>
      <c r="L820" s="68"/>
      <c r="M820" s="68"/>
      <c r="N820" s="68"/>
    </row>
    <row r="821" spans="1:14">
      <c r="A821" s="68"/>
      <c r="B821" s="68"/>
      <c r="K821" s="68"/>
      <c r="L821" s="68"/>
      <c r="M821" s="68"/>
      <c r="N821" s="68"/>
    </row>
    <row r="822" spans="1:14">
      <c r="A822" s="68"/>
      <c r="B822" s="68"/>
      <c r="K822" s="68"/>
      <c r="L822" s="68"/>
      <c r="M822" s="68"/>
      <c r="N822" s="68"/>
    </row>
    <row r="823" spans="1:14">
      <c r="A823" s="68"/>
      <c r="B823" s="68"/>
      <c r="K823" s="68"/>
      <c r="L823" s="68"/>
      <c r="M823" s="68"/>
      <c r="N823" s="68"/>
    </row>
    <row r="824" spans="1:14">
      <c r="A824" s="68"/>
      <c r="B824" s="68"/>
      <c r="K824" s="68"/>
      <c r="L824" s="68"/>
      <c r="M824" s="68"/>
      <c r="N824" s="68"/>
    </row>
    <row r="825" spans="1:14">
      <c r="A825" s="68"/>
      <c r="B825" s="68"/>
      <c r="K825" s="68"/>
      <c r="L825" s="68"/>
      <c r="M825" s="68"/>
      <c r="N825" s="68"/>
    </row>
    <row r="826" spans="1:14">
      <c r="A826" s="68"/>
      <c r="B826" s="68"/>
      <c r="K826" s="68"/>
      <c r="L826" s="68"/>
      <c r="M826" s="68"/>
      <c r="N826" s="68"/>
    </row>
    <row r="827" spans="1:14">
      <c r="A827" s="68"/>
      <c r="B827" s="68"/>
      <c r="K827" s="68"/>
      <c r="L827" s="68"/>
      <c r="M827" s="68"/>
      <c r="N827" s="68"/>
    </row>
    <row r="828" spans="1:14">
      <c r="A828" s="68"/>
      <c r="B828" s="68"/>
      <c r="K828" s="68"/>
      <c r="L828" s="68"/>
      <c r="M828" s="68"/>
      <c r="N828" s="68"/>
    </row>
    <row r="829" spans="1:14">
      <c r="A829" s="68"/>
      <c r="B829" s="68"/>
      <c r="K829" s="68"/>
      <c r="L829" s="68"/>
      <c r="M829" s="68"/>
      <c r="N829" s="68"/>
    </row>
    <row r="830" spans="1:14">
      <c r="A830" s="68"/>
      <c r="B830" s="68"/>
      <c r="K830" s="68"/>
      <c r="L830" s="68"/>
      <c r="M830" s="68"/>
      <c r="N830" s="68"/>
    </row>
    <row r="831" spans="1:14">
      <c r="A831" s="68"/>
      <c r="B831" s="68"/>
      <c r="K831" s="68"/>
      <c r="L831" s="68"/>
      <c r="M831" s="68"/>
      <c r="N831" s="68"/>
    </row>
    <row r="832" spans="1:14">
      <c r="A832" s="68"/>
      <c r="B832" s="68"/>
      <c r="K832" s="68"/>
      <c r="L832" s="68"/>
      <c r="M832" s="68"/>
      <c r="N832" s="68"/>
    </row>
    <row r="833" spans="1:14">
      <c r="A833" s="68"/>
      <c r="B833" s="68"/>
      <c r="K833" s="68"/>
      <c r="L833" s="68"/>
      <c r="M833" s="68"/>
      <c r="N833" s="68"/>
    </row>
    <row r="834" spans="1:14">
      <c r="A834" s="68"/>
      <c r="B834" s="68"/>
      <c r="K834" s="68"/>
      <c r="L834" s="68"/>
      <c r="M834" s="68"/>
      <c r="N834" s="68"/>
    </row>
    <row r="835" spans="1:14">
      <c r="A835" s="68"/>
      <c r="B835" s="68"/>
      <c r="K835" s="68"/>
      <c r="L835" s="68"/>
      <c r="M835" s="68"/>
      <c r="N835" s="68"/>
    </row>
    <row r="836" spans="1:14">
      <c r="A836" s="68"/>
      <c r="B836" s="68"/>
      <c r="K836" s="68"/>
      <c r="L836" s="68"/>
      <c r="M836" s="68"/>
      <c r="N836" s="68"/>
    </row>
    <row r="837" spans="1:14">
      <c r="A837" s="68"/>
      <c r="B837" s="68"/>
      <c r="K837" s="68"/>
      <c r="L837" s="68"/>
      <c r="M837" s="68"/>
      <c r="N837" s="68"/>
    </row>
    <row r="838" spans="1:14">
      <c r="A838" s="68"/>
      <c r="B838" s="68"/>
      <c r="K838" s="68"/>
      <c r="L838" s="68"/>
      <c r="M838" s="68"/>
      <c r="N838" s="68"/>
    </row>
    <row r="839" spans="1:14">
      <c r="A839" s="68"/>
      <c r="B839" s="68"/>
      <c r="K839" s="68"/>
      <c r="L839" s="68"/>
      <c r="M839" s="68"/>
      <c r="N839" s="68"/>
    </row>
    <row r="840" spans="1:14">
      <c r="A840" s="68"/>
      <c r="B840" s="68"/>
      <c r="K840" s="68"/>
      <c r="L840" s="68"/>
      <c r="M840" s="68"/>
      <c r="N840" s="68"/>
    </row>
    <row r="841" spans="1:14">
      <c r="A841" s="68"/>
      <c r="B841" s="68"/>
      <c r="K841" s="68"/>
      <c r="L841" s="68"/>
      <c r="M841" s="68"/>
      <c r="N841" s="68"/>
    </row>
    <row r="842" spans="1:14">
      <c r="A842" s="68"/>
      <c r="B842" s="68"/>
      <c r="K842" s="68"/>
      <c r="L842" s="68"/>
      <c r="M842" s="68"/>
      <c r="N842" s="68"/>
    </row>
    <row r="843" spans="1:14">
      <c r="A843" s="68"/>
      <c r="B843" s="68"/>
      <c r="K843" s="68"/>
      <c r="L843" s="68"/>
      <c r="M843" s="68"/>
      <c r="N843" s="68"/>
    </row>
    <row r="844" spans="1:14">
      <c r="A844" s="68"/>
      <c r="B844" s="68"/>
      <c r="K844" s="68"/>
      <c r="L844" s="68"/>
      <c r="M844" s="68"/>
      <c r="N844" s="68"/>
    </row>
    <row r="845" spans="1:14">
      <c r="A845" s="68"/>
      <c r="B845" s="68"/>
      <c r="K845" s="68"/>
      <c r="L845" s="68"/>
      <c r="M845" s="68"/>
      <c r="N845" s="68"/>
    </row>
    <row r="846" spans="1:14">
      <c r="A846" s="68"/>
      <c r="B846" s="68"/>
      <c r="K846" s="68"/>
      <c r="L846" s="68"/>
      <c r="M846" s="68"/>
      <c r="N846" s="68"/>
    </row>
    <row r="847" spans="1:14">
      <c r="A847" s="68"/>
      <c r="B847" s="68"/>
      <c r="K847" s="68"/>
      <c r="L847" s="68"/>
      <c r="M847" s="68"/>
      <c r="N847" s="68"/>
    </row>
    <row r="848" spans="1:14">
      <c r="A848" s="68"/>
      <c r="B848" s="68"/>
      <c r="K848" s="68"/>
      <c r="L848" s="68"/>
      <c r="M848" s="68"/>
      <c r="N848" s="68"/>
    </row>
    <row r="849" spans="1:14">
      <c r="A849" s="68"/>
      <c r="B849" s="68"/>
      <c r="K849" s="68"/>
      <c r="L849" s="68"/>
      <c r="M849" s="68"/>
      <c r="N849" s="68"/>
    </row>
    <row r="850" spans="1:14">
      <c r="A850" s="68"/>
      <c r="B850" s="68"/>
      <c r="K850" s="68"/>
      <c r="L850" s="68"/>
      <c r="M850" s="68"/>
      <c r="N850" s="68"/>
    </row>
    <row r="851" spans="1:14">
      <c r="A851" s="68"/>
      <c r="B851" s="68"/>
      <c r="K851" s="68"/>
      <c r="L851" s="68"/>
      <c r="M851" s="68"/>
      <c r="N851" s="68"/>
    </row>
    <row r="852" spans="1:14">
      <c r="A852" s="68"/>
      <c r="B852" s="68"/>
      <c r="K852" s="68"/>
      <c r="L852" s="68"/>
      <c r="M852" s="68"/>
      <c r="N852" s="68"/>
    </row>
    <row r="853" spans="1:14">
      <c r="A853" s="68"/>
      <c r="B853" s="68"/>
      <c r="K853" s="68"/>
      <c r="L853" s="68"/>
      <c r="M853" s="68"/>
      <c r="N853" s="68"/>
    </row>
    <row r="854" spans="1:14">
      <c r="A854" s="68"/>
      <c r="B854" s="68"/>
      <c r="K854" s="68"/>
      <c r="L854" s="68"/>
      <c r="M854" s="68"/>
      <c r="N854" s="68"/>
    </row>
    <row r="855" spans="1:14">
      <c r="A855" s="68"/>
      <c r="B855" s="68"/>
      <c r="K855" s="68"/>
      <c r="L855" s="68"/>
      <c r="M855" s="68"/>
      <c r="N855" s="68"/>
    </row>
    <row r="856" spans="1:14">
      <c r="A856" s="68"/>
      <c r="B856" s="68"/>
      <c r="K856" s="68"/>
      <c r="L856" s="68"/>
      <c r="M856" s="68"/>
      <c r="N856" s="68"/>
    </row>
    <row r="857" spans="1:14">
      <c r="A857" s="68"/>
      <c r="B857" s="68"/>
      <c r="K857" s="68"/>
      <c r="L857" s="68"/>
      <c r="M857" s="68"/>
      <c r="N857" s="68"/>
    </row>
    <row r="858" spans="1:14">
      <c r="A858" s="68"/>
      <c r="B858" s="68"/>
      <c r="K858" s="68"/>
      <c r="L858" s="68"/>
      <c r="M858" s="68"/>
      <c r="N858" s="68"/>
    </row>
    <row r="859" spans="1:14">
      <c r="A859" s="68"/>
      <c r="B859" s="68"/>
      <c r="K859" s="68"/>
      <c r="L859" s="68"/>
      <c r="M859" s="68"/>
      <c r="N859" s="68"/>
    </row>
    <row r="860" spans="1:14">
      <c r="A860" s="68"/>
      <c r="B860" s="68"/>
      <c r="K860" s="68"/>
      <c r="L860" s="68"/>
      <c r="M860" s="68"/>
      <c r="N860" s="68"/>
    </row>
    <row r="861" spans="1:14">
      <c r="A861" s="68"/>
      <c r="B861" s="68"/>
      <c r="K861" s="68"/>
      <c r="L861" s="68"/>
      <c r="M861" s="68"/>
      <c r="N861" s="68"/>
    </row>
    <row r="862" spans="1:14">
      <c r="A862" s="68"/>
      <c r="B862" s="68"/>
      <c r="K862" s="68"/>
      <c r="L862" s="68"/>
      <c r="M862" s="68"/>
      <c r="N862" s="68"/>
    </row>
    <row r="863" spans="1:14">
      <c r="A863" s="68"/>
      <c r="B863" s="68"/>
      <c r="K863" s="68"/>
      <c r="L863" s="68"/>
      <c r="M863" s="68"/>
      <c r="N863" s="68"/>
    </row>
    <row r="864" spans="1:14">
      <c r="A864" s="68"/>
      <c r="B864" s="68"/>
      <c r="K864" s="68"/>
      <c r="L864" s="68"/>
      <c r="M864" s="68"/>
      <c r="N864" s="68"/>
    </row>
    <row r="865" spans="1:14">
      <c r="A865" s="68"/>
      <c r="B865" s="68"/>
      <c r="K865" s="68"/>
      <c r="L865" s="68"/>
      <c r="M865" s="68"/>
      <c r="N865" s="68"/>
    </row>
    <row r="866" spans="1:14">
      <c r="A866" s="68"/>
      <c r="B866" s="68"/>
      <c r="K866" s="68"/>
      <c r="L866" s="68"/>
      <c r="M866" s="68"/>
      <c r="N866" s="68"/>
    </row>
    <row r="867" spans="1:14">
      <c r="A867" s="68"/>
      <c r="B867" s="68"/>
      <c r="K867" s="68"/>
      <c r="L867" s="68"/>
      <c r="M867" s="68"/>
      <c r="N867" s="68"/>
    </row>
    <row r="868" spans="1:14">
      <c r="A868" s="68"/>
      <c r="B868" s="68"/>
      <c r="K868" s="68"/>
      <c r="L868" s="68"/>
      <c r="M868" s="68"/>
      <c r="N868" s="68"/>
    </row>
    <row r="869" spans="1:14">
      <c r="A869" s="68"/>
      <c r="B869" s="68"/>
      <c r="K869" s="68"/>
      <c r="L869" s="68"/>
      <c r="M869" s="68"/>
      <c r="N869" s="68"/>
    </row>
    <row r="870" spans="1:14">
      <c r="A870" s="68"/>
      <c r="B870" s="68"/>
      <c r="K870" s="68"/>
      <c r="L870" s="68"/>
      <c r="M870" s="68"/>
      <c r="N870" s="68"/>
    </row>
    <row r="871" spans="1:14">
      <c r="A871" s="68"/>
      <c r="B871" s="68"/>
      <c r="K871" s="68"/>
      <c r="L871" s="68"/>
      <c r="M871" s="68"/>
      <c r="N871" s="68"/>
    </row>
    <row r="872" spans="1:14">
      <c r="A872" s="68"/>
      <c r="B872" s="68"/>
      <c r="K872" s="68"/>
      <c r="L872" s="68"/>
      <c r="M872" s="68"/>
      <c r="N872" s="68"/>
    </row>
    <row r="873" spans="1:14">
      <c r="A873" s="68"/>
      <c r="B873" s="68"/>
      <c r="K873" s="68"/>
      <c r="L873" s="68"/>
      <c r="M873" s="68"/>
      <c r="N873" s="68"/>
    </row>
    <row r="874" spans="1:14">
      <c r="A874" s="68"/>
      <c r="B874" s="68"/>
      <c r="K874" s="68"/>
      <c r="L874" s="68"/>
      <c r="M874" s="68"/>
      <c r="N874" s="68"/>
    </row>
    <row r="875" spans="1:14">
      <c r="A875" s="68"/>
      <c r="B875" s="68"/>
      <c r="K875" s="68"/>
      <c r="L875" s="68"/>
      <c r="M875" s="68"/>
      <c r="N875" s="68"/>
    </row>
    <row r="876" spans="1:14">
      <c r="A876" s="68"/>
      <c r="B876" s="68"/>
      <c r="K876" s="68"/>
      <c r="L876" s="68"/>
      <c r="M876" s="68"/>
      <c r="N876" s="68"/>
    </row>
    <row r="877" spans="1:14">
      <c r="A877" s="68"/>
      <c r="B877" s="68"/>
      <c r="K877" s="68"/>
      <c r="L877" s="68"/>
      <c r="M877" s="68"/>
      <c r="N877" s="68"/>
    </row>
    <row r="878" spans="1:14">
      <c r="A878" s="68"/>
      <c r="B878" s="68"/>
      <c r="K878" s="68"/>
      <c r="L878" s="68"/>
      <c r="M878" s="68"/>
      <c r="N878" s="68"/>
    </row>
    <row r="879" spans="1:14">
      <c r="A879" s="68"/>
      <c r="B879" s="68"/>
      <c r="K879" s="68"/>
      <c r="L879" s="68"/>
      <c r="M879" s="68"/>
      <c r="N879" s="68"/>
    </row>
    <row r="880" spans="1:14">
      <c r="A880" s="68"/>
      <c r="B880" s="68"/>
      <c r="K880" s="68"/>
      <c r="L880" s="68"/>
      <c r="M880" s="68"/>
      <c r="N880" s="68"/>
    </row>
    <row r="881" spans="1:14">
      <c r="A881" s="68"/>
      <c r="B881" s="68"/>
      <c r="K881" s="68"/>
      <c r="L881" s="68"/>
      <c r="M881" s="68"/>
      <c r="N881" s="68"/>
    </row>
    <row r="882" spans="1:14">
      <c r="A882" s="68"/>
      <c r="B882" s="68"/>
      <c r="K882" s="68"/>
      <c r="L882" s="68"/>
      <c r="M882" s="68"/>
      <c r="N882" s="68"/>
    </row>
    <row r="883" spans="1:14">
      <c r="A883" s="68"/>
      <c r="B883" s="68"/>
      <c r="K883" s="68"/>
      <c r="L883" s="68"/>
      <c r="M883" s="68"/>
      <c r="N883" s="68"/>
    </row>
    <row r="884" spans="1:14">
      <c r="A884" s="68"/>
      <c r="B884" s="68"/>
      <c r="K884" s="68"/>
      <c r="L884" s="68"/>
      <c r="M884" s="68"/>
      <c r="N884" s="68"/>
    </row>
    <row r="885" spans="1:14">
      <c r="A885" s="68"/>
      <c r="B885" s="68"/>
      <c r="K885" s="68"/>
      <c r="L885" s="68"/>
      <c r="M885" s="68"/>
      <c r="N885" s="68"/>
    </row>
    <row r="886" spans="1:14">
      <c r="A886" s="68"/>
      <c r="B886" s="68"/>
      <c r="K886" s="68"/>
      <c r="L886" s="68"/>
      <c r="M886" s="68"/>
      <c r="N886" s="68"/>
    </row>
    <row r="887" spans="1:14">
      <c r="A887" s="68"/>
      <c r="B887" s="68"/>
      <c r="K887" s="68"/>
      <c r="L887" s="68"/>
      <c r="M887" s="68"/>
      <c r="N887" s="68"/>
    </row>
    <row r="888" spans="1:14">
      <c r="A888" s="68"/>
      <c r="B888" s="68"/>
      <c r="K888" s="68"/>
      <c r="L888" s="68"/>
      <c r="M888" s="68"/>
      <c r="N888" s="68"/>
    </row>
    <row r="889" spans="1:14">
      <c r="A889" s="68"/>
      <c r="B889" s="68"/>
      <c r="K889" s="68"/>
      <c r="L889" s="68"/>
      <c r="M889" s="68"/>
      <c r="N889" s="68"/>
    </row>
    <row r="890" spans="1:14">
      <c r="A890" s="68"/>
      <c r="B890" s="68"/>
      <c r="K890" s="68"/>
      <c r="L890" s="68"/>
      <c r="M890" s="68"/>
      <c r="N890" s="68"/>
    </row>
    <row r="891" spans="1:14">
      <c r="A891" s="68"/>
      <c r="B891" s="68"/>
      <c r="K891" s="68"/>
      <c r="L891" s="68"/>
      <c r="M891" s="68"/>
      <c r="N891" s="68"/>
    </row>
    <row r="892" spans="1:14">
      <c r="A892" s="68"/>
      <c r="B892" s="68"/>
      <c r="K892" s="68"/>
      <c r="L892" s="68"/>
      <c r="M892" s="68"/>
      <c r="N892" s="68"/>
    </row>
    <row r="893" spans="1:14">
      <c r="A893" s="68"/>
      <c r="B893" s="68"/>
      <c r="K893" s="68"/>
      <c r="L893" s="68"/>
      <c r="M893" s="68"/>
      <c r="N893" s="68"/>
    </row>
    <row r="894" spans="1:14">
      <c r="A894" s="68"/>
      <c r="B894" s="68"/>
      <c r="K894" s="68"/>
      <c r="L894" s="68"/>
      <c r="M894" s="68"/>
      <c r="N894" s="68"/>
    </row>
    <row r="895" spans="1:14">
      <c r="A895" s="68"/>
      <c r="B895" s="68"/>
      <c r="K895" s="68"/>
      <c r="L895" s="68"/>
      <c r="M895" s="68"/>
      <c r="N895" s="68"/>
    </row>
    <row r="896" spans="1:14">
      <c r="A896" s="68"/>
      <c r="B896" s="68"/>
      <c r="K896" s="68"/>
      <c r="L896" s="68"/>
      <c r="M896" s="68"/>
      <c r="N896" s="68"/>
    </row>
    <row r="897" spans="1:14">
      <c r="A897" s="68"/>
      <c r="B897" s="68"/>
      <c r="K897" s="68"/>
      <c r="L897" s="68"/>
      <c r="M897" s="68"/>
      <c r="N897" s="68"/>
    </row>
    <row r="898" spans="1:14">
      <c r="A898" s="68"/>
      <c r="B898" s="68"/>
      <c r="K898" s="68"/>
      <c r="L898" s="68"/>
      <c r="M898" s="68"/>
      <c r="N898" s="68"/>
    </row>
    <row r="899" spans="1:14">
      <c r="A899" s="68"/>
      <c r="B899" s="68"/>
      <c r="K899" s="68"/>
      <c r="L899" s="68"/>
      <c r="M899" s="68"/>
      <c r="N899" s="68"/>
    </row>
    <row r="900" spans="1:14">
      <c r="A900" s="68"/>
      <c r="B900" s="68"/>
      <c r="K900" s="68"/>
      <c r="L900" s="68"/>
      <c r="M900" s="68"/>
      <c r="N900" s="68"/>
    </row>
    <row r="901" spans="1:14">
      <c r="A901" s="68"/>
      <c r="B901" s="68"/>
      <c r="K901" s="68"/>
      <c r="L901" s="68"/>
      <c r="M901" s="68"/>
      <c r="N901" s="68"/>
    </row>
    <row r="902" spans="1:14">
      <c r="A902" s="68"/>
      <c r="B902" s="68"/>
      <c r="K902" s="68"/>
      <c r="L902" s="68"/>
      <c r="M902" s="68"/>
      <c r="N902" s="68"/>
    </row>
    <row r="903" spans="1:14">
      <c r="A903" s="68"/>
      <c r="B903" s="68"/>
      <c r="K903" s="68"/>
      <c r="L903" s="68"/>
      <c r="M903" s="68"/>
      <c r="N903" s="68"/>
    </row>
    <row r="904" spans="1:14">
      <c r="A904" s="68"/>
      <c r="B904" s="68"/>
      <c r="K904" s="68"/>
      <c r="L904" s="68"/>
      <c r="M904" s="68"/>
      <c r="N904" s="68"/>
    </row>
    <row r="905" spans="1:14">
      <c r="A905" s="68"/>
      <c r="B905" s="68"/>
      <c r="K905" s="68"/>
      <c r="L905" s="68"/>
      <c r="M905" s="68"/>
      <c r="N905" s="68"/>
    </row>
    <row r="906" spans="1:14">
      <c r="A906" s="68"/>
      <c r="B906" s="68"/>
      <c r="K906" s="68"/>
      <c r="L906" s="68"/>
      <c r="M906" s="68"/>
      <c r="N906" s="68"/>
    </row>
    <row r="907" spans="1:14">
      <c r="A907" s="68"/>
      <c r="B907" s="68"/>
      <c r="K907" s="68"/>
      <c r="L907" s="68"/>
      <c r="M907" s="68"/>
      <c r="N907" s="68"/>
    </row>
    <row r="908" spans="1:14">
      <c r="A908" s="68"/>
      <c r="B908" s="68"/>
      <c r="K908" s="68"/>
      <c r="L908" s="68"/>
      <c r="M908" s="68"/>
      <c r="N908" s="68"/>
    </row>
    <row r="909" spans="1:14">
      <c r="A909" s="68"/>
      <c r="B909" s="68"/>
      <c r="K909" s="68"/>
      <c r="L909" s="68"/>
      <c r="M909" s="68"/>
      <c r="N909" s="68"/>
    </row>
    <row r="910" spans="1:14">
      <c r="A910" s="68"/>
      <c r="B910" s="68"/>
      <c r="K910" s="68"/>
      <c r="L910" s="68"/>
      <c r="M910" s="68"/>
      <c r="N910" s="68"/>
    </row>
    <row r="911" spans="1:14">
      <c r="A911" s="68"/>
      <c r="B911" s="68"/>
      <c r="K911" s="68"/>
      <c r="L911" s="68"/>
      <c r="M911" s="68"/>
      <c r="N911" s="68"/>
    </row>
    <row r="912" spans="1:14">
      <c r="A912" s="68"/>
      <c r="B912" s="68"/>
      <c r="K912" s="68"/>
      <c r="L912" s="68"/>
      <c r="M912" s="68"/>
      <c r="N912" s="68"/>
    </row>
    <row r="913" spans="1:14">
      <c r="A913" s="68"/>
      <c r="B913" s="68"/>
      <c r="K913" s="68"/>
      <c r="L913" s="68"/>
      <c r="M913" s="68"/>
      <c r="N913" s="68"/>
    </row>
    <row r="914" spans="1:14">
      <c r="A914" s="68"/>
      <c r="B914" s="68"/>
      <c r="K914" s="68"/>
      <c r="L914" s="68"/>
      <c r="M914" s="68"/>
      <c r="N914" s="68"/>
    </row>
    <row r="915" spans="1:14">
      <c r="A915" s="68"/>
      <c r="B915" s="68"/>
      <c r="K915" s="68"/>
      <c r="L915" s="68"/>
      <c r="M915" s="68"/>
      <c r="N915" s="68"/>
    </row>
    <row r="916" spans="1:14">
      <c r="A916" s="68"/>
      <c r="B916" s="68"/>
      <c r="K916" s="68"/>
      <c r="L916" s="68"/>
      <c r="M916" s="68"/>
      <c r="N916" s="68"/>
    </row>
    <row r="917" spans="1:14">
      <c r="A917" s="68"/>
      <c r="B917" s="68"/>
      <c r="K917" s="68"/>
      <c r="L917" s="68"/>
      <c r="M917" s="68"/>
      <c r="N917" s="68"/>
    </row>
    <row r="918" spans="1:14">
      <c r="A918" s="68"/>
      <c r="B918" s="68"/>
      <c r="K918" s="68"/>
      <c r="L918" s="68"/>
      <c r="M918" s="68"/>
      <c r="N918" s="68"/>
    </row>
    <row r="919" spans="1:14">
      <c r="A919" s="68"/>
      <c r="B919" s="68"/>
      <c r="K919" s="68"/>
      <c r="L919" s="68"/>
      <c r="M919" s="68"/>
      <c r="N919" s="68"/>
    </row>
    <row r="920" spans="1:14">
      <c r="A920" s="68"/>
      <c r="B920" s="68"/>
      <c r="K920" s="68"/>
      <c r="L920" s="68"/>
      <c r="M920" s="68"/>
      <c r="N920" s="68"/>
    </row>
    <row r="921" spans="1:14">
      <c r="A921" s="68"/>
      <c r="B921" s="68"/>
      <c r="K921" s="68"/>
      <c r="L921" s="68"/>
      <c r="M921" s="68"/>
      <c r="N921" s="68"/>
    </row>
    <row r="922" spans="1:14">
      <c r="A922" s="68"/>
      <c r="B922" s="68"/>
      <c r="K922" s="68"/>
      <c r="L922" s="68"/>
      <c r="M922" s="68"/>
      <c r="N922" s="68"/>
    </row>
    <row r="923" spans="1:14">
      <c r="A923" s="68"/>
      <c r="B923" s="68"/>
      <c r="K923" s="68"/>
      <c r="L923" s="68"/>
      <c r="M923" s="68"/>
      <c r="N923" s="68"/>
    </row>
    <row r="924" spans="1:14">
      <c r="A924" s="68"/>
      <c r="B924" s="68"/>
      <c r="K924" s="68"/>
      <c r="L924" s="68"/>
      <c r="M924" s="68"/>
      <c r="N924" s="68"/>
    </row>
    <row r="925" spans="1:14">
      <c r="A925" s="68"/>
      <c r="B925" s="68"/>
      <c r="K925" s="68"/>
      <c r="L925" s="68"/>
      <c r="M925" s="68"/>
      <c r="N925" s="68"/>
    </row>
    <row r="926" spans="1:14">
      <c r="A926" s="68"/>
      <c r="B926" s="68"/>
      <c r="K926" s="68"/>
      <c r="L926" s="68"/>
      <c r="M926" s="68"/>
      <c r="N926" s="68"/>
    </row>
    <row r="927" spans="1:14">
      <c r="A927" s="68"/>
      <c r="B927" s="68"/>
      <c r="K927" s="68"/>
      <c r="L927" s="68"/>
      <c r="M927" s="68"/>
      <c r="N927" s="68"/>
    </row>
    <row r="928" spans="1:14">
      <c r="A928" s="68"/>
      <c r="B928" s="68"/>
      <c r="K928" s="68"/>
      <c r="L928" s="68"/>
      <c r="M928" s="68"/>
      <c r="N928" s="68"/>
    </row>
    <row r="929" spans="1:14">
      <c r="A929" s="68"/>
      <c r="B929" s="68"/>
      <c r="K929" s="68"/>
      <c r="L929" s="68"/>
      <c r="M929" s="68"/>
      <c r="N929" s="68"/>
    </row>
    <row r="930" spans="1:14">
      <c r="A930" s="68"/>
      <c r="B930" s="68"/>
      <c r="K930" s="68"/>
      <c r="L930" s="68"/>
      <c r="M930" s="68"/>
      <c r="N930" s="68"/>
    </row>
    <row r="931" spans="1:14">
      <c r="A931" s="68"/>
      <c r="B931" s="68"/>
      <c r="K931" s="68"/>
      <c r="L931" s="68"/>
      <c r="M931" s="68"/>
      <c r="N931" s="68"/>
    </row>
    <row r="932" spans="1:14">
      <c r="A932" s="68"/>
      <c r="B932" s="68"/>
      <c r="K932" s="68"/>
      <c r="L932" s="68"/>
      <c r="M932" s="68"/>
      <c r="N932" s="68"/>
    </row>
    <row r="933" spans="1:14">
      <c r="A933" s="68"/>
      <c r="B933" s="68"/>
      <c r="K933" s="68"/>
      <c r="L933" s="68"/>
      <c r="M933" s="68"/>
      <c r="N933" s="68"/>
    </row>
    <row r="934" spans="1:14">
      <c r="A934" s="68"/>
      <c r="B934" s="68"/>
      <c r="K934" s="68"/>
      <c r="L934" s="68"/>
      <c r="M934" s="68"/>
      <c r="N934" s="68"/>
    </row>
    <row r="935" spans="1:14">
      <c r="A935" s="68"/>
      <c r="B935" s="68"/>
      <c r="K935" s="68"/>
      <c r="L935" s="68"/>
      <c r="M935" s="68"/>
      <c r="N935" s="68"/>
    </row>
    <row r="936" spans="1:14">
      <c r="A936" s="68"/>
      <c r="B936" s="68"/>
      <c r="K936" s="68"/>
      <c r="L936" s="68"/>
      <c r="M936" s="68"/>
      <c r="N936" s="68"/>
    </row>
    <row r="937" spans="1:14">
      <c r="A937" s="68"/>
      <c r="B937" s="68"/>
      <c r="K937" s="68"/>
      <c r="L937" s="68"/>
      <c r="M937" s="68"/>
      <c r="N937" s="68"/>
    </row>
    <row r="938" spans="1:14">
      <c r="A938" s="68"/>
      <c r="B938" s="68"/>
      <c r="K938" s="68"/>
      <c r="L938" s="68"/>
      <c r="M938" s="68"/>
      <c r="N938" s="68"/>
    </row>
    <row r="939" spans="1:14">
      <c r="A939" s="68"/>
      <c r="B939" s="68"/>
      <c r="K939" s="68"/>
      <c r="L939" s="68"/>
      <c r="M939" s="68"/>
      <c r="N939" s="68"/>
    </row>
    <row r="940" spans="1:14">
      <c r="A940" s="68"/>
      <c r="B940" s="68"/>
      <c r="K940" s="68"/>
      <c r="L940" s="68"/>
      <c r="M940" s="68"/>
      <c r="N940" s="68"/>
    </row>
    <row r="941" spans="1:14">
      <c r="A941" s="68"/>
      <c r="B941" s="68"/>
      <c r="K941" s="68"/>
      <c r="L941" s="68"/>
      <c r="M941" s="68"/>
      <c r="N941" s="68"/>
    </row>
    <row r="942" spans="1:14">
      <c r="A942" s="68"/>
      <c r="B942" s="68"/>
      <c r="K942" s="68"/>
      <c r="L942" s="68"/>
      <c r="M942" s="68"/>
      <c r="N942" s="68"/>
    </row>
    <row r="943" spans="1:14">
      <c r="A943" s="68"/>
      <c r="B943" s="68"/>
      <c r="K943" s="68"/>
      <c r="L943" s="68"/>
      <c r="M943" s="68"/>
      <c r="N943" s="68"/>
    </row>
    <row r="944" spans="1:14">
      <c r="A944" s="68"/>
      <c r="B944" s="68"/>
      <c r="K944" s="68"/>
      <c r="L944" s="68"/>
      <c r="M944" s="68"/>
      <c r="N944" s="68"/>
    </row>
    <row r="945" spans="1:14">
      <c r="A945" s="68"/>
      <c r="B945" s="68"/>
      <c r="K945" s="68"/>
      <c r="L945" s="68"/>
      <c r="M945" s="68"/>
      <c r="N945" s="68"/>
    </row>
    <row r="946" spans="1:14">
      <c r="A946" s="68"/>
      <c r="B946" s="68"/>
      <c r="K946" s="68"/>
      <c r="L946" s="68"/>
      <c r="M946" s="68"/>
      <c r="N946" s="68"/>
    </row>
    <row r="947" spans="1:14">
      <c r="A947" s="68"/>
      <c r="B947" s="68"/>
      <c r="K947" s="68"/>
      <c r="L947" s="68"/>
      <c r="M947" s="68"/>
      <c r="N947" s="68"/>
    </row>
    <row r="948" spans="1:14">
      <c r="A948" s="68"/>
      <c r="B948" s="68"/>
      <c r="K948" s="68"/>
      <c r="L948" s="68"/>
      <c r="M948" s="68"/>
      <c r="N948" s="68"/>
    </row>
    <row r="949" spans="1:14">
      <c r="A949" s="68"/>
      <c r="B949" s="68"/>
      <c r="K949" s="68"/>
      <c r="L949" s="68"/>
      <c r="M949" s="68"/>
      <c r="N949" s="68"/>
    </row>
    <row r="950" spans="1:14">
      <c r="A950" s="68"/>
      <c r="B950" s="68"/>
      <c r="K950" s="68"/>
      <c r="L950" s="68"/>
      <c r="M950" s="68"/>
      <c r="N950" s="68"/>
    </row>
    <row r="951" spans="1:14">
      <c r="A951" s="68"/>
      <c r="B951" s="68"/>
      <c r="K951" s="68"/>
      <c r="L951" s="68"/>
      <c r="M951" s="68"/>
      <c r="N951" s="68"/>
    </row>
    <row r="952" spans="1:14">
      <c r="A952" s="68"/>
      <c r="B952" s="68"/>
      <c r="K952" s="68"/>
      <c r="L952" s="68"/>
      <c r="M952" s="68"/>
      <c r="N952" s="68"/>
    </row>
    <row r="953" spans="1:14">
      <c r="A953" s="68"/>
      <c r="B953" s="68"/>
      <c r="K953" s="68"/>
      <c r="L953" s="68"/>
      <c r="M953" s="68"/>
      <c r="N953" s="68"/>
    </row>
    <row r="954" spans="1:14">
      <c r="A954" s="68"/>
      <c r="B954" s="68"/>
      <c r="K954" s="68"/>
      <c r="L954" s="68"/>
      <c r="M954" s="68"/>
      <c r="N954" s="68"/>
    </row>
    <row r="955" spans="1:14">
      <c r="A955" s="68"/>
      <c r="B955" s="68"/>
      <c r="K955" s="68"/>
      <c r="L955" s="68"/>
      <c r="M955" s="68"/>
      <c r="N955" s="68"/>
    </row>
    <row r="956" spans="1:14">
      <c r="A956" s="68"/>
      <c r="B956" s="68"/>
      <c r="K956" s="68"/>
      <c r="L956" s="68"/>
      <c r="M956" s="68"/>
      <c r="N956" s="68"/>
    </row>
    <row r="957" spans="1:14">
      <c r="A957" s="68"/>
      <c r="B957" s="68"/>
      <c r="K957" s="68"/>
      <c r="L957" s="68"/>
      <c r="M957" s="68"/>
      <c r="N957" s="68"/>
    </row>
    <row r="958" spans="1:14">
      <c r="A958" s="68"/>
      <c r="B958" s="68"/>
      <c r="K958" s="68"/>
      <c r="L958" s="68"/>
      <c r="M958" s="68"/>
      <c r="N958" s="68"/>
    </row>
    <row r="959" spans="1:14">
      <c r="A959" s="68"/>
      <c r="B959" s="68"/>
      <c r="K959" s="68"/>
      <c r="L959" s="68"/>
      <c r="M959" s="68"/>
      <c r="N959" s="68"/>
    </row>
    <row r="960" spans="1:14">
      <c r="A960" s="68"/>
      <c r="B960" s="68"/>
      <c r="K960" s="68"/>
      <c r="L960" s="68"/>
      <c r="M960" s="68"/>
      <c r="N960" s="68"/>
    </row>
    <row r="961" spans="1:14">
      <c r="A961" s="68"/>
      <c r="B961" s="68"/>
      <c r="K961" s="68"/>
      <c r="L961" s="68"/>
      <c r="M961" s="68"/>
      <c r="N961" s="68"/>
    </row>
    <row r="962" spans="1:14">
      <c r="A962" s="68"/>
      <c r="B962" s="68"/>
      <c r="K962" s="68"/>
      <c r="L962" s="68"/>
      <c r="M962" s="68"/>
      <c r="N962" s="68"/>
    </row>
    <row r="963" spans="1:14">
      <c r="A963" s="68"/>
      <c r="B963" s="68"/>
      <c r="K963" s="68"/>
      <c r="L963" s="68"/>
      <c r="M963" s="68"/>
      <c r="N963" s="68"/>
    </row>
    <row r="964" spans="1:14">
      <c r="A964" s="68"/>
      <c r="B964" s="68"/>
      <c r="K964" s="68"/>
      <c r="L964" s="68"/>
      <c r="M964" s="68"/>
      <c r="N964" s="68"/>
    </row>
    <row r="965" spans="1:14">
      <c r="A965" s="68"/>
      <c r="B965" s="68"/>
      <c r="K965" s="68"/>
      <c r="L965" s="68"/>
      <c r="M965" s="68"/>
      <c r="N965" s="68"/>
    </row>
    <row r="966" spans="1:14">
      <c r="A966" s="68"/>
      <c r="B966" s="68"/>
      <c r="K966" s="68"/>
      <c r="L966" s="68"/>
      <c r="M966" s="68"/>
      <c r="N966" s="68"/>
    </row>
    <row r="967" spans="1:14">
      <c r="A967" s="68"/>
      <c r="B967" s="68"/>
      <c r="K967" s="68"/>
      <c r="L967" s="68"/>
      <c r="M967" s="68"/>
      <c r="N967" s="68"/>
    </row>
    <row r="968" spans="1:14">
      <c r="A968" s="68"/>
      <c r="B968" s="68"/>
      <c r="K968" s="68"/>
      <c r="L968" s="68"/>
      <c r="M968" s="68"/>
      <c r="N968" s="68"/>
    </row>
    <row r="969" spans="1:14">
      <c r="A969" s="68"/>
      <c r="B969" s="68"/>
      <c r="K969" s="68"/>
      <c r="L969" s="68"/>
      <c r="M969" s="68"/>
      <c r="N969" s="68"/>
    </row>
    <row r="970" spans="1:14">
      <c r="A970" s="68"/>
      <c r="B970" s="68"/>
      <c r="K970" s="68"/>
      <c r="L970" s="68"/>
      <c r="M970" s="68"/>
      <c r="N970" s="68"/>
    </row>
    <row r="971" spans="1:14">
      <c r="A971" s="68"/>
      <c r="B971" s="68"/>
      <c r="K971" s="68"/>
      <c r="L971" s="68"/>
      <c r="M971" s="68"/>
      <c r="N971" s="68"/>
    </row>
    <row r="972" spans="1:14">
      <c r="A972" s="68"/>
      <c r="B972" s="68"/>
      <c r="K972" s="68"/>
      <c r="L972" s="68"/>
      <c r="M972" s="68"/>
      <c r="N972" s="68"/>
    </row>
    <row r="973" spans="1:14">
      <c r="A973" s="68"/>
      <c r="B973" s="68"/>
      <c r="K973" s="68"/>
      <c r="L973" s="68"/>
      <c r="M973" s="68"/>
      <c r="N973" s="68"/>
    </row>
    <row r="974" spans="1:14">
      <c r="A974" s="68"/>
      <c r="B974" s="68"/>
      <c r="K974" s="68"/>
      <c r="L974" s="68"/>
      <c r="M974" s="68"/>
      <c r="N974" s="68"/>
    </row>
    <row r="975" spans="1:14">
      <c r="A975" s="68"/>
      <c r="B975" s="68"/>
      <c r="K975" s="68"/>
      <c r="L975" s="68"/>
      <c r="M975" s="68"/>
      <c r="N975" s="68"/>
    </row>
    <row r="976" spans="1:14">
      <c r="A976" s="68"/>
      <c r="B976" s="68"/>
      <c r="K976" s="68"/>
      <c r="L976" s="68"/>
      <c r="M976" s="68"/>
      <c r="N976" s="68"/>
    </row>
    <row r="977" spans="1:14">
      <c r="A977" s="68"/>
      <c r="B977" s="68"/>
      <c r="K977" s="68"/>
      <c r="L977" s="68"/>
      <c r="M977" s="68"/>
      <c r="N977" s="68"/>
    </row>
    <row r="978" spans="1:14">
      <c r="A978" s="68"/>
      <c r="B978" s="68"/>
      <c r="K978" s="68"/>
      <c r="L978" s="68"/>
      <c r="M978" s="68"/>
      <c r="N978" s="68"/>
    </row>
    <row r="979" spans="1:14">
      <c r="A979" s="68"/>
      <c r="B979" s="68"/>
      <c r="K979" s="68"/>
      <c r="L979" s="68"/>
      <c r="M979" s="68"/>
      <c r="N979" s="68"/>
    </row>
    <row r="980" spans="1:14">
      <c r="A980" s="68"/>
      <c r="B980" s="68"/>
      <c r="K980" s="68"/>
      <c r="L980" s="68"/>
      <c r="M980" s="68"/>
      <c r="N980" s="68"/>
    </row>
    <row r="981" spans="1:14">
      <c r="A981" s="68"/>
      <c r="B981" s="68"/>
      <c r="K981" s="68"/>
      <c r="L981" s="68"/>
      <c r="M981" s="68"/>
      <c r="N981" s="68"/>
    </row>
    <row r="982" spans="1:14">
      <c r="A982" s="68"/>
      <c r="B982" s="68"/>
      <c r="K982" s="68"/>
      <c r="L982" s="68"/>
      <c r="M982" s="68"/>
      <c r="N982" s="68"/>
    </row>
    <row r="983" spans="1:14">
      <c r="A983" s="68"/>
      <c r="B983" s="68"/>
      <c r="K983" s="68"/>
      <c r="L983" s="68"/>
      <c r="M983" s="68"/>
      <c r="N983" s="68"/>
    </row>
    <row r="984" spans="1:14">
      <c r="A984" s="68"/>
      <c r="B984" s="68"/>
      <c r="K984" s="68"/>
      <c r="L984" s="68"/>
      <c r="M984" s="68"/>
      <c r="N984" s="68"/>
    </row>
    <row r="985" spans="1:14">
      <c r="A985" s="68"/>
      <c r="B985" s="68"/>
      <c r="K985" s="68"/>
      <c r="L985" s="68"/>
      <c r="M985" s="68"/>
      <c r="N985" s="68"/>
    </row>
    <row r="986" spans="1:14">
      <c r="A986" s="68"/>
      <c r="B986" s="68"/>
      <c r="K986" s="68"/>
      <c r="L986" s="68"/>
      <c r="M986" s="68"/>
      <c r="N986" s="68"/>
    </row>
    <row r="987" spans="1:14">
      <c r="A987" s="68"/>
      <c r="B987" s="68"/>
      <c r="K987" s="68"/>
      <c r="L987" s="68"/>
      <c r="M987" s="68"/>
      <c r="N987" s="68"/>
    </row>
    <row r="988" spans="1:14">
      <c r="A988" s="68"/>
      <c r="B988" s="68"/>
      <c r="K988" s="68"/>
      <c r="L988" s="68"/>
      <c r="M988" s="68"/>
      <c r="N988" s="68"/>
    </row>
    <row r="989" spans="1:14">
      <c r="A989" s="68"/>
      <c r="B989" s="68"/>
      <c r="K989" s="68"/>
      <c r="L989" s="68"/>
      <c r="M989" s="68"/>
      <c r="N989" s="68"/>
    </row>
    <row r="990" spans="1:14">
      <c r="A990" s="68"/>
      <c r="B990" s="68"/>
      <c r="K990" s="68"/>
      <c r="L990" s="68"/>
      <c r="M990" s="68"/>
      <c r="N990" s="68"/>
    </row>
    <row r="991" spans="1:14">
      <c r="A991" s="68"/>
      <c r="B991" s="68"/>
      <c r="K991" s="68"/>
      <c r="L991" s="68"/>
      <c r="M991" s="68"/>
      <c r="N991" s="68"/>
    </row>
    <row r="992" spans="1:14">
      <c r="A992" s="68"/>
      <c r="B992" s="68"/>
      <c r="K992" s="68"/>
      <c r="L992" s="68"/>
      <c r="M992" s="68"/>
      <c r="N992" s="68"/>
    </row>
    <row r="993" spans="1:14">
      <c r="A993" s="68"/>
      <c r="B993" s="68"/>
      <c r="K993" s="68"/>
      <c r="L993" s="68"/>
      <c r="M993" s="68"/>
      <c r="N993" s="68"/>
    </row>
    <row r="994" spans="1:14">
      <c r="A994" s="68"/>
      <c r="B994" s="68"/>
      <c r="K994" s="68"/>
      <c r="L994" s="68"/>
      <c r="M994" s="68"/>
      <c r="N994" s="68"/>
    </row>
    <row r="995" spans="1:14">
      <c r="A995" s="68"/>
      <c r="B995" s="68"/>
      <c r="K995" s="68"/>
      <c r="L995" s="68"/>
      <c r="M995" s="68"/>
      <c r="N995" s="68"/>
    </row>
    <row r="996" spans="1:14">
      <c r="A996" s="68"/>
      <c r="B996" s="68"/>
      <c r="K996" s="68"/>
      <c r="L996" s="68"/>
      <c r="M996" s="68"/>
      <c r="N996" s="68"/>
    </row>
    <row r="997" spans="1:14">
      <c r="A997" s="68"/>
      <c r="B997" s="68"/>
      <c r="K997" s="68"/>
      <c r="L997" s="68"/>
      <c r="M997" s="68"/>
      <c r="N997" s="68"/>
    </row>
    <row r="998" spans="1:14">
      <c r="A998" s="68"/>
      <c r="B998" s="68"/>
      <c r="K998" s="68"/>
      <c r="L998" s="68"/>
      <c r="M998" s="68"/>
      <c r="N998" s="68"/>
    </row>
    <row r="999" spans="1:14">
      <c r="A999" s="68"/>
      <c r="B999" s="68"/>
      <c r="K999" s="68"/>
      <c r="L999" s="68"/>
      <c r="M999" s="68"/>
      <c r="N999" s="68"/>
    </row>
    <row r="1000" spans="1:14">
      <c r="A1000" s="68"/>
      <c r="B1000" s="68"/>
      <c r="K1000" s="68"/>
      <c r="L1000" s="68"/>
      <c r="M1000" s="68"/>
      <c r="N1000" s="68"/>
    </row>
    <row r="1001" spans="1:14">
      <c r="A1001" s="68"/>
      <c r="B1001" s="68"/>
      <c r="K1001" s="68"/>
      <c r="L1001" s="68"/>
      <c r="M1001" s="68"/>
      <c r="N1001" s="68"/>
    </row>
    <row r="1002" spans="1:14">
      <c r="A1002" s="68"/>
      <c r="B1002" s="68"/>
      <c r="K1002" s="68"/>
      <c r="L1002" s="68"/>
      <c r="M1002" s="68"/>
      <c r="N1002" s="68"/>
    </row>
    <row r="1003" spans="1:14">
      <c r="A1003" s="68"/>
      <c r="B1003" s="68"/>
      <c r="K1003" s="68"/>
      <c r="L1003" s="68"/>
      <c r="M1003" s="68"/>
      <c r="N1003" s="68"/>
    </row>
    <row r="1004" spans="1:14">
      <c r="A1004" s="68"/>
      <c r="B1004" s="68"/>
      <c r="K1004" s="68"/>
      <c r="L1004" s="68"/>
      <c r="M1004" s="68"/>
      <c r="N1004" s="68"/>
    </row>
    <row r="1005" spans="1:14">
      <c r="A1005" s="68"/>
      <c r="B1005" s="68"/>
      <c r="K1005" s="68"/>
      <c r="L1005" s="68"/>
      <c r="M1005" s="68"/>
      <c r="N1005" s="68"/>
    </row>
    <row r="1006" spans="1:14">
      <c r="A1006" s="68"/>
      <c r="B1006" s="68"/>
      <c r="K1006" s="68"/>
      <c r="L1006" s="68"/>
      <c r="M1006" s="68"/>
      <c r="N1006" s="68"/>
    </row>
    <row r="1007" spans="1:14">
      <c r="A1007" s="68"/>
      <c r="B1007" s="68"/>
      <c r="K1007" s="68"/>
      <c r="L1007" s="68"/>
      <c r="M1007" s="68"/>
      <c r="N1007" s="68"/>
    </row>
    <row r="1008" spans="1:14">
      <c r="A1008" s="68"/>
      <c r="B1008" s="68"/>
      <c r="K1008" s="68"/>
      <c r="L1008" s="68"/>
      <c r="M1008" s="68"/>
      <c r="N1008" s="68"/>
    </row>
    <row r="1009" spans="1:14">
      <c r="A1009" s="68"/>
      <c r="B1009" s="68"/>
      <c r="K1009" s="68"/>
      <c r="L1009" s="68"/>
      <c r="M1009" s="68"/>
      <c r="N1009" s="68"/>
    </row>
    <row r="1010" spans="1:14">
      <c r="A1010" s="68"/>
      <c r="B1010" s="68"/>
      <c r="K1010" s="68"/>
      <c r="L1010" s="68"/>
      <c r="M1010" s="68"/>
      <c r="N1010" s="68"/>
    </row>
    <row r="1011" spans="1:14">
      <c r="A1011" s="68"/>
      <c r="B1011" s="68"/>
      <c r="K1011" s="68"/>
      <c r="L1011" s="68"/>
      <c r="M1011" s="68"/>
      <c r="N1011" s="68"/>
    </row>
    <row r="1012" spans="1:14">
      <c r="A1012" s="68"/>
      <c r="B1012" s="68"/>
      <c r="K1012" s="68"/>
      <c r="L1012" s="68"/>
      <c r="M1012" s="68"/>
      <c r="N1012" s="68"/>
    </row>
    <row r="1013" spans="1:14">
      <c r="A1013" s="68"/>
      <c r="B1013" s="68"/>
      <c r="K1013" s="68"/>
      <c r="L1013" s="68"/>
      <c r="M1013" s="68"/>
      <c r="N1013" s="68"/>
    </row>
    <row r="1014" spans="1:14">
      <c r="A1014" s="68"/>
      <c r="B1014" s="68"/>
      <c r="K1014" s="68"/>
      <c r="L1014" s="68"/>
      <c r="M1014" s="68"/>
      <c r="N1014" s="68"/>
    </row>
    <row r="1015" spans="1:14">
      <c r="A1015" s="68"/>
      <c r="B1015" s="68"/>
      <c r="K1015" s="68"/>
      <c r="L1015" s="68"/>
      <c r="M1015" s="68"/>
      <c r="N1015" s="68"/>
    </row>
    <row r="1016" spans="1:14">
      <c r="A1016" s="68"/>
      <c r="B1016" s="68"/>
      <c r="K1016" s="68"/>
      <c r="L1016" s="68"/>
      <c r="M1016" s="68"/>
      <c r="N1016" s="68"/>
    </row>
    <row r="1017" spans="1:14">
      <c r="A1017" s="68"/>
      <c r="B1017" s="68"/>
      <c r="K1017" s="68"/>
      <c r="L1017" s="68"/>
      <c r="M1017" s="68"/>
      <c r="N1017" s="68"/>
    </row>
    <row r="1018" spans="1:14">
      <c r="A1018" s="68"/>
      <c r="B1018" s="68"/>
      <c r="K1018" s="68"/>
      <c r="L1018" s="68"/>
      <c r="M1018" s="68"/>
      <c r="N1018" s="68"/>
    </row>
    <row r="1019" spans="1:14">
      <c r="A1019" s="68"/>
      <c r="B1019" s="68"/>
      <c r="K1019" s="68"/>
      <c r="L1019" s="68"/>
      <c r="M1019" s="68"/>
      <c r="N1019" s="68"/>
    </row>
    <row r="1020" spans="1:14">
      <c r="A1020" s="68"/>
      <c r="B1020" s="68"/>
      <c r="K1020" s="68"/>
      <c r="L1020" s="68"/>
      <c r="M1020" s="68"/>
      <c r="N1020" s="68"/>
    </row>
    <row r="1021" spans="1:14">
      <c r="A1021" s="68"/>
      <c r="B1021" s="68"/>
      <c r="K1021" s="68"/>
      <c r="L1021" s="68"/>
      <c r="M1021" s="68"/>
      <c r="N1021" s="68"/>
    </row>
    <row r="1022" spans="1:14">
      <c r="A1022" s="68"/>
      <c r="B1022" s="68"/>
      <c r="K1022" s="68"/>
      <c r="L1022" s="68"/>
      <c r="M1022" s="68"/>
      <c r="N1022" s="68"/>
    </row>
    <row r="1023" spans="1:14">
      <c r="A1023" s="68"/>
      <c r="B1023" s="68"/>
      <c r="K1023" s="68"/>
      <c r="L1023" s="68"/>
      <c r="M1023" s="68"/>
      <c r="N1023" s="68"/>
    </row>
    <row r="1024" spans="1:14">
      <c r="A1024" s="68"/>
      <c r="B1024" s="68"/>
      <c r="K1024" s="68"/>
      <c r="L1024" s="68"/>
      <c r="M1024" s="68"/>
      <c r="N1024" s="68"/>
    </row>
    <row r="1025" spans="1:14">
      <c r="A1025" s="68"/>
      <c r="B1025" s="68"/>
      <c r="K1025" s="68"/>
      <c r="L1025" s="68"/>
      <c r="M1025" s="68"/>
      <c r="N1025" s="68"/>
    </row>
    <row r="1026" spans="1:14">
      <c r="A1026" s="68"/>
      <c r="B1026" s="68"/>
      <c r="K1026" s="68"/>
      <c r="L1026" s="68"/>
      <c r="M1026" s="68"/>
      <c r="N1026" s="68"/>
    </row>
    <row r="1027" spans="1:14">
      <c r="A1027" s="68"/>
      <c r="B1027" s="68"/>
      <c r="K1027" s="68"/>
      <c r="L1027" s="68"/>
      <c r="M1027" s="68"/>
      <c r="N1027" s="68"/>
    </row>
    <row r="1028" spans="1:14">
      <c r="A1028" s="68"/>
      <c r="B1028" s="68"/>
      <c r="K1028" s="68"/>
      <c r="L1028" s="68"/>
      <c r="M1028" s="68"/>
      <c r="N1028" s="68"/>
    </row>
    <row r="1029" spans="1:14">
      <c r="A1029" s="68"/>
      <c r="B1029" s="68"/>
      <c r="K1029" s="68"/>
      <c r="L1029" s="68"/>
      <c r="M1029" s="68"/>
      <c r="N1029" s="68"/>
    </row>
    <row r="1030" spans="1:14">
      <c r="A1030" s="68"/>
      <c r="B1030" s="68"/>
      <c r="K1030" s="68"/>
      <c r="L1030" s="68"/>
      <c r="M1030" s="68"/>
      <c r="N1030" s="68"/>
    </row>
    <row r="1031" spans="1:14">
      <c r="A1031" s="68"/>
      <c r="B1031" s="68"/>
      <c r="K1031" s="68"/>
      <c r="L1031" s="68"/>
      <c r="M1031" s="68"/>
      <c r="N1031" s="68"/>
    </row>
    <row r="1032" spans="1:14">
      <c r="A1032" s="68"/>
      <c r="B1032" s="68"/>
      <c r="K1032" s="68"/>
      <c r="L1032" s="68"/>
      <c r="M1032" s="68"/>
      <c r="N1032" s="68"/>
    </row>
    <row r="1033" spans="1:14">
      <c r="A1033" s="68"/>
      <c r="B1033" s="68"/>
      <c r="K1033" s="68"/>
      <c r="L1033" s="68"/>
      <c r="M1033" s="68"/>
      <c r="N1033" s="68"/>
    </row>
    <row r="1034" spans="1:14">
      <c r="A1034" s="68"/>
      <c r="B1034" s="68"/>
      <c r="K1034" s="68"/>
      <c r="L1034" s="68"/>
      <c r="M1034" s="68"/>
      <c r="N1034" s="68"/>
    </row>
    <row r="1035" spans="1:14">
      <c r="A1035" s="68"/>
      <c r="B1035" s="68"/>
      <c r="K1035" s="68"/>
      <c r="L1035" s="68"/>
      <c r="M1035" s="68"/>
      <c r="N1035" s="68"/>
    </row>
    <row r="1036" spans="1:14">
      <c r="A1036" s="68"/>
      <c r="B1036" s="68"/>
      <c r="K1036" s="68"/>
      <c r="L1036" s="68"/>
      <c r="M1036" s="68"/>
      <c r="N1036" s="68"/>
    </row>
    <row r="1037" spans="1:14">
      <c r="A1037" s="68"/>
      <c r="B1037" s="68"/>
      <c r="K1037" s="68"/>
      <c r="L1037" s="68"/>
      <c r="M1037" s="68"/>
      <c r="N1037" s="68"/>
    </row>
    <row r="1038" spans="1:14">
      <c r="A1038" s="68"/>
      <c r="B1038" s="68"/>
      <c r="K1038" s="68"/>
      <c r="L1038" s="68"/>
      <c r="M1038" s="68"/>
      <c r="N1038" s="68"/>
    </row>
    <row r="1039" spans="1:14">
      <c r="A1039" s="68"/>
      <c r="B1039" s="68"/>
      <c r="K1039" s="68"/>
      <c r="L1039" s="68"/>
      <c r="M1039" s="68"/>
      <c r="N1039" s="68"/>
    </row>
    <row r="1040" spans="1:14">
      <c r="A1040" s="68"/>
      <c r="B1040" s="68"/>
      <c r="K1040" s="68"/>
      <c r="L1040" s="68"/>
      <c r="M1040" s="68"/>
      <c r="N1040" s="68"/>
    </row>
    <row r="1041" spans="1:14">
      <c r="A1041" s="68"/>
      <c r="B1041" s="68"/>
      <c r="K1041" s="68"/>
      <c r="L1041" s="68"/>
      <c r="M1041" s="68"/>
      <c r="N1041" s="68"/>
    </row>
    <row r="1042" spans="1:14">
      <c r="A1042" s="68"/>
      <c r="B1042" s="68"/>
      <c r="K1042" s="68"/>
      <c r="L1042" s="68"/>
      <c r="M1042" s="68"/>
      <c r="N1042" s="68"/>
    </row>
    <row r="1043" spans="1:14">
      <c r="A1043" s="68"/>
      <c r="B1043" s="68"/>
      <c r="K1043" s="68"/>
      <c r="L1043" s="68"/>
      <c r="M1043" s="68"/>
      <c r="N1043" s="68"/>
    </row>
    <row r="1044" spans="1:14">
      <c r="A1044" s="68"/>
      <c r="B1044" s="68"/>
      <c r="K1044" s="68"/>
      <c r="L1044" s="68"/>
      <c r="M1044" s="68"/>
      <c r="N1044" s="68"/>
    </row>
    <row r="1045" spans="1:14">
      <c r="A1045" s="68"/>
      <c r="B1045" s="68"/>
      <c r="K1045" s="68"/>
      <c r="L1045" s="68"/>
      <c r="M1045" s="68"/>
      <c r="N1045" s="68"/>
    </row>
    <row r="1046" spans="1:14">
      <c r="A1046" s="68"/>
      <c r="B1046" s="68"/>
      <c r="K1046" s="68"/>
      <c r="L1046" s="68"/>
      <c r="M1046" s="68"/>
      <c r="N1046" s="68"/>
    </row>
    <row r="1047" spans="1:14">
      <c r="A1047" s="68"/>
      <c r="B1047" s="68"/>
      <c r="K1047" s="68"/>
      <c r="L1047" s="68"/>
      <c r="M1047" s="68"/>
      <c r="N1047" s="68"/>
    </row>
    <row r="1048" spans="1:14">
      <c r="A1048" s="68"/>
      <c r="B1048" s="68"/>
      <c r="K1048" s="68"/>
      <c r="L1048" s="68"/>
      <c r="M1048" s="68"/>
      <c r="N1048" s="68"/>
    </row>
    <row r="1049" spans="1:14">
      <c r="A1049" s="68"/>
      <c r="B1049" s="68"/>
      <c r="K1049" s="68"/>
      <c r="L1049" s="68"/>
      <c r="M1049" s="68"/>
      <c r="N1049" s="68"/>
    </row>
    <row r="1050" spans="1:14">
      <c r="A1050" s="68"/>
      <c r="B1050" s="68"/>
      <c r="K1050" s="68"/>
      <c r="L1050" s="68"/>
      <c r="M1050" s="68"/>
      <c r="N1050" s="68"/>
    </row>
    <row r="1051" spans="1:14">
      <c r="A1051" s="68"/>
      <c r="B1051" s="68"/>
      <c r="K1051" s="68"/>
      <c r="L1051" s="68"/>
      <c r="M1051" s="68"/>
      <c r="N1051" s="68"/>
    </row>
    <row r="1052" spans="1:14">
      <c r="A1052" s="68"/>
      <c r="B1052" s="68"/>
      <c r="K1052" s="68"/>
      <c r="L1052" s="68"/>
      <c r="M1052" s="68"/>
      <c r="N1052" s="68"/>
    </row>
    <row r="1053" spans="1:14">
      <c r="A1053" s="68"/>
      <c r="B1053" s="68"/>
      <c r="K1053" s="68"/>
      <c r="L1053" s="68"/>
      <c r="M1053" s="68"/>
      <c r="N1053" s="68"/>
    </row>
    <row r="1054" spans="1:14">
      <c r="A1054" s="68"/>
      <c r="B1054" s="68"/>
      <c r="K1054" s="68"/>
      <c r="L1054" s="68"/>
      <c r="M1054" s="68"/>
      <c r="N1054" s="68"/>
    </row>
    <row r="1055" spans="1:14">
      <c r="A1055" s="68"/>
      <c r="B1055" s="68"/>
      <c r="K1055" s="68"/>
      <c r="L1055" s="68"/>
      <c r="M1055" s="68"/>
      <c r="N1055" s="68"/>
    </row>
    <row r="1056" spans="1:14">
      <c r="A1056" s="68"/>
      <c r="B1056" s="68"/>
      <c r="K1056" s="68"/>
      <c r="L1056" s="68"/>
      <c r="M1056" s="68"/>
      <c r="N1056" s="68"/>
    </row>
    <row r="1057" spans="1:14">
      <c r="A1057" s="68"/>
      <c r="B1057" s="68"/>
      <c r="K1057" s="68"/>
      <c r="L1057" s="68"/>
      <c r="M1057" s="68"/>
      <c r="N1057" s="68"/>
    </row>
    <row r="1058" spans="1:14">
      <c r="A1058" s="68"/>
      <c r="B1058" s="68"/>
      <c r="K1058" s="68"/>
      <c r="L1058" s="68"/>
      <c r="M1058" s="68"/>
      <c r="N1058" s="68"/>
    </row>
    <row r="1059" spans="1:14">
      <c r="A1059" s="68"/>
      <c r="B1059" s="68"/>
      <c r="K1059" s="68"/>
      <c r="L1059" s="68"/>
      <c r="M1059" s="68"/>
      <c r="N1059" s="68"/>
    </row>
    <row r="1060" spans="1:14">
      <c r="A1060" s="68"/>
      <c r="B1060" s="68"/>
      <c r="K1060" s="68"/>
      <c r="L1060" s="68"/>
      <c r="M1060" s="68"/>
      <c r="N1060" s="68"/>
    </row>
    <row r="1061" spans="1:14">
      <c r="A1061" s="68"/>
      <c r="B1061" s="68"/>
      <c r="K1061" s="68"/>
      <c r="L1061" s="68"/>
      <c r="M1061" s="68"/>
      <c r="N1061" s="68"/>
    </row>
    <row r="1062" spans="1:14">
      <c r="A1062" s="68"/>
      <c r="B1062" s="68"/>
      <c r="K1062" s="68"/>
      <c r="L1062" s="68"/>
      <c r="M1062" s="68"/>
      <c r="N1062" s="68"/>
    </row>
    <row r="1063" spans="1:14">
      <c r="A1063" s="68"/>
      <c r="B1063" s="68"/>
      <c r="K1063" s="68"/>
      <c r="L1063" s="68"/>
      <c r="M1063" s="68"/>
      <c r="N1063" s="68"/>
    </row>
    <row r="1064" spans="1:14">
      <c r="A1064" s="68"/>
      <c r="B1064" s="68"/>
      <c r="K1064" s="68"/>
      <c r="L1064" s="68"/>
      <c r="M1064" s="68"/>
      <c r="N1064" s="68"/>
    </row>
    <row r="1065" spans="1:14">
      <c r="A1065" s="68"/>
      <c r="B1065" s="68"/>
      <c r="K1065" s="68"/>
      <c r="L1065" s="68"/>
      <c r="M1065" s="68"/>
      <c r="N1065" s="68"/>
    </row>
    <row r="1066" spans="1:14">
      <c r="A1066" s="68"/>
      <c r="B1066" s="68"/>
      <c r="K1066" s="68"/>
      <c r="L1066" s="68"/>
      <c r="M1066" s="68"/>
      <c r="N1066" s="68"/>
    </row>
    <row r="1067" spans="1:14">
      <c r="A1067" s="68"/>
      <c r="B1067" s="68"/>
      <c r="K1067" s="68"/>
      <c r="L1067" s="68"/>
      <c r="M1067" s="68"/>
      <c r="N1067" s="68"/>
    </row>
    <row r="1068" spans="1:14">
      <c r="A1068" s="68"/>
      <c r="B1068" s="68"/>
      <c r="K1068" s="68"/>
      <c r="L1068" s="68"/>
      <c r="M1068" s="68"/>
      <c r="N1068" s="68"/>
    </row>
    <row r="1069" spans="1:14">
      <c r="A1069" s="68"/>
      <c r="B1069" s="68"/>
      <c r="K1069" s="68"/>
      <c r="L1069" s="68"/>
      <c r="M1069" s="68"/>
      <c r="N1069" s="68"/>
    </row>
    <row r="1070" spans="1:14">
      <c r="A1070" s="68"/>
      <c r="B1070" s="68"/>
      <c r="K1070" s="68"/>
      <c r="L1070" s="68"/>
      <c r="M1070" s="68"/>
      <c r="N1070" s="68"/>
    </row>
    <row r="1071" spans="1:14">
      <c r="A1071" s="68"/>
      <c r="B1071" s="68"/>
      <c r="K1071" s="68"/>
      <c r="L1071" s="68"/>
      <c r="M1071" s="68"/>
      <c r="N1071" s="68"/>
    </row>
    <row r="1072" spans="1:14">
      <c r="A1072" s="68"/>
      <c r="B1072" s="68"/>
      <c r="K1072" s="68"/>
      <c r="L1072" s="68"/>
      <c r="M1072" s="68"/>
      <c r="N1072" s="68"/>
    </row>
    <row r="1073" spans="1:14">
      <c r="A1073" s="68"/>
      <c r="B1073" s="68"/>
      <c r="K1073" s="68"/>
      <c r="L1073" s="68"/>
      <c r="M1073" s="68"/>
      <c r="N1073" s="68"/>
    </row>
    <row r="1074" spans="1:14">
      <c r="A1074" s="68"/>
      <c r="B1074" s="68"/>
      <c r="K1074" s="68"/>
      <c r="L1074" s="68"/>
      <c r="M1074" s="68"/>
      <c r="N1074" s="68"/>
    </row>
    <row r="1075" spans="1:14">
      <c r="A1075" s="68"/>
      <c r="B1075" s="68"/>
      <c r="K1075" s="68"/>
      <c r="L1075" s="68"/>
      <c r="M1075" s="68"/>
      <c r="N1075" s="68"/>
    </row>
    <row r="1076" spans="1:14">
      <c r="A1076" s="68"/>
      <c r="B1076" s="68"/>
      <c r="K1076" s="68"/>
      <c r="L1076" s="68"/>
      <c r="M1076" s="68"/>
      <c r="N1076" s="68"/>
    </row>
    <row r="1077" spans="1:14">
      <c r="A1077" s="68"/>
      <c r="B1077" s="68"/>
      <c r="K1077" s="68"/>
      <c r="L1077" s="68"/>
      <c r="M1077" s="68"/>
      <c r="N1077" s="68"/>
    </row>
    <row r="1078" spans="1:14">
      <c r="A1078" s="68"/>
      <c r="B1078" s="68"/>
      <c r="K1078" s="68"/>
      <c r="L1078" s="68"/>
      <c r="M1078" s="68"/>
      <c r="N1078" s="68"/>
    </row>
    <row r="1079" spans="1:14">
      <c r="A1079" s="68"/>
      <c r="B1079" s="68"/>
      <c r="K1079" s="68"/>
      <c r="L1079" s="68"/>
      <c r="M1079" s="68"/>
      <c r="N1079" s="68"/>
    </row>
    <row r="1080" spans="1:14">
      <c r="A1080" s="68"/>
      <c r="B1080" s="68"/>
      <c r="K1080" s="68"/>
      <c r="L1080" s="68"/>
      <c r="M1080" s="68"/>
      <c r="N1080" s="68"/>
    </row>
    <row r="1081" spans="1:14">
      <c r="A1081" s="68"/>
      <c r="B1081" s="68"/>
      <c r="K1081" s="68"/>
      <c r="L1081" s="68"/>
      <c r="M1081" s="68"/>
      <c r="N1081" s="68"/>
    </row>
    <row r="1082" spans="1:14">
      <c r="A1082" s="68"/>
      <c r="B1082" s="68"/>
      <c r="K1082" s="68"/>
      <c r="L1082" s="68"/>
      <c r="M1082" s="68"/>
      <c r="N1082" s="68"/>
    </row>
    <row r="1083" spans="1:14">
      <c r="A1083" s="68"/>
      <c r="B1083" s="68"/>
      <c r="K1083" s="68"/>
      <c r="L1083" s="68"/>
      <c r="M1083" s="68"/>
      <c r="N1083" s="68"/>
    </row>
    <row r="1084" spans="1:14">
      <c r="A1084" s="68"/>
      <c r="B1084" s="68"/>
      <c r="K1084" s="68"/>
      <c r="L1084" s="68"/>
      <c r="M1084" s="68"/>
      <c r="N1084" s="68"/>
    </row>
    <row r="1085" spans="1:14">
      <c r="A1085" s="68"/>
      <c r="B1085" s="68"/>
      <c r="K1085" s="68"/>
      <c r="L1085" s="68"/>
      <c r="M1085" s="68"/>
      <c r="N1085" s="68"/>
    </row>
    <row r="1086" spans="1:14">
      <c r="A1086" s="68"/>
      <c r="B1086" s="68"/>
      <c r="K1086" s="68"/>
      <c r="L1086" s="68"/>
      <c r="M1086" s="68"/>
      <c r="N1086" s="68"/>
    </row>
  </sheetData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7" tint="0.39997558519241921"/>
  </sheetPr>
  <dimension ref="B1:Q65"/>
  <sheetViews>
    <sheetView showGridLines="0" zoomScale="85" zoomScaleNormal="85" workbookViewId="0">
      <pane xSplit="3" ySplit="6" topLeftCell="D7" activePane="bottomRight" state="frozen"/>
      <selection pane="topRight" activeCell="B1" sqref="B1"/>
      <selection pane="bottomLeft" activeCell="A2" sqref="A2"/>
      <selection pane="bottomRight" activeCell="J39" sqref="J39"/>
    </sheetView>
  </sheetViews>
  <sheetFormatPr defaultColWidth="9" defaultRowHeight="16.5"/>
  <cols>
    <col min="1" max="1" width="4.125" style="70" customWidth="1"/>
    <col min="2" max="2" width="1" style="70" customWidth="1"/>
    <col min="3" max="3" width="40.375" style="70" customWidth="1"/>
    <col min="4" max="14" width="13.875" style="70" customWidth="1"/>
    <col min="15" max="15" width="1" style="70" customWidth="1"/>
    <col min="16" max="16384" width="9" style="70"/>
  </cols>
  <sheetData>
    <row r="1" spans="2:15" s="69" customFormat="1" ht="12" customHeight="1"/>
    <row r="2" spans="2:15" s="48" customFormat="1" ht="12" customHeight="1">
      <c r="C2" s="93"/>
      <c r="H2" s="94"/>
    </row>
    <row r="3" spans="2:15" s="48" customFormat="1" ht="12" customHeight="1">
      <c r="C3" s="95"/>
      <c r="D3" s="96"/>
      <c r="E3" s="96"/>
      <c r="F3" s="96"/>
      <c r="G3" s="96"/>
      <c r="H3" s="96"/>
      <c r="I3" s="24"/>
      <c r="J3" s="24"/>
      <c r="K3" s="24"/>
      <c r="L3" s="24"/>
      <c r="M3" s="45"/>
      <c r="N3" s="45"/>
      <c r="O3" s="24"/>
    </row>
    <row r="4" spans="2:15" s="18" customFormat="1" ht="15.6" customHeight="1">
      <c r="C4" s="97"/>
      <c r="D4" s="98"/>
      <c r="E4" s="98"/>
      <c r="F4" s="98"/>
      <c r="G4" s="98"/>
      <c r="H4" s="98"/>
      <c r="I4" s="16"/>
      <c r="J4" s="16"/>
      <c r="K4" s="16"/>
      <c r="L4" s="16"/>
      <c r="M4" s="16"/>
      <c r="N4" s="16"/>
      <c r="O4" s="16"/>
    </row>
    <row r="5" spans="2:15" s="18" customFormat="1" ht="6" customHeight="1">
      <c r="B5" s="48"/>
      <c r="C5" s="95"/>
      <c r="D5" s="96"/>
      <c r="E5" s="96"/>
      <c r="F5" s="96"/>
      <c r="G5" s="96"/>
      <c r="H5" s="96"/>
      <c r="I5" s="24"/>
      <c r="J5" s="24"/>
      <c r="K5" s="24"/>
      <c r="L5" s="24"/>
      <c r="M5" s="24"/>
      <c r="N5" s="24"/>
      <c r="O5" s="24"/>
    </row>
    <row r="6" spans="2:15" s="68" customFormat="1" ht="24.95" customHeight="1">
      <c r="B6" s="69"/>
      <c r="C6" s="160" t="s">
        <v>264</v>
      </c>
      <c r="D6" s="158">
        <v>2013</v>
      </c>
      <c r="E6" s="158">
        <v>2014</v>
      </c>
      <c r="F6" s="158">
        <v>2015</v>
      </c>
      <c r="G6" s="158">
        <v>2016</v>
      </c>
      <c r="H6" s="158">
        <v>2017</v>
      </c>
      <c r="I6" s="158">
        <v>2018</v>
      </c>
      <c r="J6" s="159" t="s">
        <v>38</v>
      </c>
      <c r="K6" s="159" t="s">
        <v>128</v>
      </c>
      <c r="L6" s="159" t="s">
        <v>151</v>
      </c>
      <c r="M6" s="159" t="s">
        <v>152</v>
      </c>
      <c r="N6" s="159" t="s">
        <v>1062</v>
      </c>
      <c r="O6" s="69"/>
    </row>
    <row r="7" spans="2:15" ht="24.6" customHeight="1">
      <c r="B7" s="69"/>
      <c r="C7" s="110" t="s">
        <v>260</v>
      </c>
      <c r="D7" s="84"/>
      <c r="E7" s="84"/>
      <c r="F7" s="84"/>
      <c r="G7" s="84"/>
      <c r="H7" s="84"/>
      <c r="I7" s="190"/>
      <c r="J7" s="190"/>
      <c r="K7" s="190"/>
      <c r="L7" s="190"/>
      <c r="M7" s="190"/>
      <c r="N7" s="190"/>
      <c r="O7" s="69"/>
    </row>
    <row r="8" spans="2:15" ht="24.95" customHeight="1">
      <c r="B8" s="69"/>
      <c r="C8" s="111" t="s">
        <v>814</v>
      </c>
      <c r="D8" s="84">
        <v>44985</v>
      </c>
      <c r="E8" s="84">
        <v>63310</v>
      </c>
      <c r="F8" s="84">
        <v>80669</v>
      </c>
      <c r="G8" s="84">
        <v>107810</v>
      </c>
      <c r="H8" s="84">
        <v>153983</v>
      </c>
      <c r="I8" s="190">
        <f>'业务表-年度'!F6*100</f>
        <v>176646</v>
      </c>
      <c r="J8" s="190">
        <f ca="1">'业务表-年度'!G6*100</f>
        <v>195849.91844415871</v>
      </c>
      <c r="K8" s="190">
        <f ca="1">'业务表-年度'!H6*100</f>
        <v>220180.68233234799</v>
      </c>
      <c r="L8" s="190">
        <f ca="1">'业务表-年度'!I6*100</f>
        <v>248430.47791176999</v>
      </c>
      <c r="M8" s="190">
        <f ca="1">'业务表-年度'!J6*100</f>
        <v>278795.1101154419</v>
      </c>
      <c r="N8" s="190">
        <f ca="1">'业务表-年度'!K6*100</f>
        <v>309397.93666349998</v>
      </c>
      <c r="O8" s="69"/>
    </row>
    <row r="9" spans="2:15" ht="24.95" customHeight="1">
      <c r="B9" s="69"/>
      <c r="C9" s="111" t="s">
        <v>815</v>
      </c>
      <c r="D9" s="84">
        <v>5034</v>
      </c>
      <c r="E9" s="84">
        <v>8308</v>
      </c>
      <c r="F9" s="84">
        <v>17468</v>
      </c>
      <c r="G9" s="84">
        <v>26970</v>
      </c>
      <c r="H9" s="84">
        <v>40439</v>
      </c>
      <c r="I9" s="190">
        <f>'业务表-年度'!F10*100</f>
        <v>58079.000000000007</v>
      </c>
      <c r="J9" s="190">
        <f ca="1">'业务表-年度'!G10*100</f>
        <v>75918.023442322956</v>
      </c>
      <c r="K9" s="190">
        <f ca="1">'业务表-年度'!H10*100</f>
        <v>92770.629512957836</v>
      </c>
      <c r="L9" s="190">
        <f ca="1">'业务表-年度'!I10*100</f>
        <v>111507.85752849458</v>
      </c>
      <c r="M9" s="190">
        <f ca="1">'业务表-年度'!J10*100</f>
        <v>132013.31455097365</v>
      </c>
      <c r="N9" s="190">
        <f ca="1">'业务表-年度'!K10*100</f>
        <v>154083.71023048036</v>
      </c>
      <c r="O9" s="69"/>
    </row>
    <row r="10" spans="2:15" ht="24.95" customHeight="1">
      <c r="B10" s="69"/>
      <c r="C10" s="111" t="s">
        <v>262</v>
      </c>
      <c r="D10" s="84">
        <v>10418</v>
      </c>
      <c r="E10" s="84">
        <v>7314</v>
      </c>
      <c r="F10" s="84">
        <v>4726</v>
      </c>
      <c r="G10" s="84">
        <v>17158</v>
      </c>
      <c r="H10" s="84">
        <v>43338</v>
      </c>
      <c r="I10" s="190">
        <f>'业务表-年度'!F14*100</f>
        <v>77969</v>
      </c>
      <c r="J10" s="190">
        <f>'业务表-年度'!G14*100</f>
        <v>116225.66459278665</v>
      </c>
      <c r="K10" s="190">
        <f>'业务表-年度'!H14*100</f>
        <v>160016.25041710612</v>
      </c>
      <c r="L10" s="190">
        <f>'业务表-年度'!I14*100</f>
        <v>202593.73590681175</v>
      </c>
      <c r="M10" s="190">
        <f>'业务表-年度'!J14*100</f>
        <v>252064.28722328946</v>
      </c>
      <c r="N10" s="190">
        <f>'业务表-年度'!K14*100</f>
        <v>312439.14333762031</v>
      </c>
      <c r="O10" s="69"/>
    </row>
    <row r="11" spans="2:15" ht="24.95" customHeight="1">
      <c r="B11" s="69"/>
      <c r="C11" s="110" t="s">
        <v>261</v>
      </c>
      <c r="D11" s="84">
        <v>60437</v>
      </c>
      <c r="E11" s="84">
        <v>78932</v>
      </c>
      <c r="F11" s="84">
        <v>102863</v>
      </c>
      <c r="G11" s="84">
        <v>151938</v>
      </c>
      <c r="H11" s="84">
        <v>237760</v>
      </c>
      <c r="I11" s="190">
        <f>SUM(I8:I10)</f>
        <v>312694</v>
      </c>
      <c r="J11" s="190">
        <f t="shared" ref="J11:M11" ca="1" si="0">SUM(J8:J10)</f>
        <v>387993.60647926829</v>
      </c>
      <c r="K11" s="190">
        <f t="shared" ca="1" si="0"/>
        <v>472967.56226241193</v>
      </c>
      <c r="L11" s="190">
        <f t="shared" ca="1" si="0"/>
        <v>562532.07134707633</v>
      </c>
      <c r="M11" s="190">
        <f t="shared" ca="1" si="0"/>
        <v>662872.71188970504</v>
      </c>
      <c r="N11" s="190">
        <f t="shared" ref="N11" ca="1" si="1">SUM(N8:N10)</f>
        <v>775920.79023160064</v>
      </c>
      <c r="O11" s="69"/>
    </row>
    <row r="12" spans="2:15" ht="24.95" customHeight="1">
      <c r="B12" s="69"/>
      <c r="C12" s="199" t="s">
        <v>156</v>
      </c>
      <c r="D12" s="84"/>
      <c r="E12" s="55">
        <f t="shared" ref="E12:F12" si="2">E11/D11-1</f>
        <v>0.30602114598672991</v>
      </c>
      <c r="F12" s="55">
        <f t="shared" si="2"/>
        <v>0.30318502001722991</v>
      </c>
      <c r="G12" s="55">
        <f>G11/F11-1</f>
        <v>0.47709088787999576</v>
      </c>
      <c r="H12" s="55">
        <f>H11/G11-1</f>
        <v>0.56484881991338565</v>
      </c>
      <c r="I12" s="55">
        <f t="shared" ref="I12:N12" si="3">I11/H11-1</f>
        <v>0.31516655450874831</v>
      </c>
      <c r="J12" s="55">
        <f t="shared" ca="1" si="3"/>
        <v>0.2408092463535223</v>
      </c>
      <c r="K12" s="55">
        <f t="shared" ca="1" si="3"/>
        <v>0.21900864953475474</v>
      </c>
      <c r="L12" s="55">
        <f t="shared" ca="1" si="3"/>
        <v>0.18936712838453018</v>
      </c>
      <c r="M12" s="55">
        <f t="shared" ca="1" si="3"/>
        <v>0.17837319088731496</v>
      </c>
      <c r="N12" s="55">
        <f t="shared" ca="1" si="3"/>
        <v>0.17054266424638342</v>
      </c>
      <c r="O12" s="69"/>
    </row>
    <row r="13" spans="2:15" ht="24.95" customHeight="1">
      <c r="B13" s="69"/>
      <c r="C13" s="111" t="s">
        <v>263</v>
      </c>
      <c r="D13" s="84">
        <v>-27778</v>
      </c>
      <c r="E13" s="84">
        <v>-30873</v>
      </c>
      <c r="F13" s="84">
        <v>-41631</v>
      </c>
      <c r="G13" s="84">
        <v>-67439</v>
      </c>
      <c r="H13" s="84">
        <v>-120835</v>
      </c>
      <c r="I13" s="190">
        <f>'业务表-年度'!F18*100</f>
        <v>-170549.899</v>
      </c>
      <c r="J13" s="190">
        <f ca="1">'业务表-年度'!G18*100</f>
        <v>-232582.95836452098</v>
      </c>
      <c r="K13" s="190">
        <f ca="1">'业务表-年度'!H18*100</f>
        <v>-288123.9263092035</v>
      </c>
      <c r="L13" s="190">
        <f ca="1">'业务表-年度'!I18*100</f>
        <v>-344693.99809665774</v>
      </c>
      <c r="M13" s="190">
        <f ca="1">'业务表-年度'!J18*100</f>
        <v>-407278.64832070429</v>
      </c>
      <c r="N13" s="190">
        <f ca="1">'业务表-年度'!K18*100</f>
        <v>-478188.12815301708</v>
      </c>
      <c r="O13" s="69"/>
    </row>
    <row r="14" spans="2:15" ht="24.95" customHeight="1">
      <c r="B14" s="69"/>
      <c r="C14" s="111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69"/>
    </row>
    <row r="15" spans="2:15" ht="24.95" customHeight="1">
      <c r="B15" s="69"/>
      <c r="C15" s="110" t="s">
        <v>157</v>
      </c>
      <c r="D15" s="84">
        <f>D11+D13</f>
        <v>32659</v>
      </c>
      <c r="E15" s="84">
        <f>E11+E13</f>
        <v>48059</v>
      </c>
      <c r="F15" s="84">
        <f>F11+F13</f>
        <v>61232</v>
      </c>
      <c r="G15" s="84">
        <f t="shared" ref="G15:M15" si="4">G11+G13</f>
        <v>84499</v>
      </c>
      <c r="H15" s="84">
        <f t="shared" si="4"/>
        <v>116925</v>
      </c>
      <c r="I15" s="84">
        <f t="shared" si="4"/>
        <v>142144.101</v>
      </c>
      <c r="J15" s="84">
        <f t="shared" ca="1" si="4"/>
        <v>155410.64811474731</v>
      </c>
      <c r="K15" s="84">
        <f t="shared" ca="1" si="4"/>
        <v>184843.63595320843</v>
      </c>
      <c r="L15" s="84">
        <f t="shared" ca="1" si="4"/>
        <v>217838.07325041859</v>
      </c>
      <c r="M15" s="84">
        <f t="shared" ca="1" si="4"/>
        <v>255594.06356900075</v>
      </c>
      <c r="N15" s="84">
        <f t="shared" ref="N15" ca="1" si="5">N11+N13</f>
        <v>297732.66207858355</v>
      </c>
      <c r="O15" s="69"/>
    </row>
    <row r="16" spans="2:15" ht="24.95" customHeight="1">
      <c r="B16" s="69"/>
      <c r="C16" s="199" t="s">
        <v>159</v>
      </c>
      <c r="D16" s="84"/>
      <c r="E16" s="55">
        <f t="shared" ref="E16:N16" si="6">E15/D15-1</f>
        <v>0.47153923880094317</v>
      </c>
      <c r="F16" s="55">
        <f t="shared" si="6"/>
        <v>0.27410058469797538</v>
      </c>
      <c r="G16" s="55">
        <f t="shared" si="6"/>
        <v>0.37998105565717277</v>
      </c>
      <c r="H16" s="55">
        <f>H15/G15-1</f>
        <v>0.38374418632173168</v>
      </c>
      <c r="I16" s="55">
        <f t="shared" si="6"/>
        <v>0.21568613213598464</v>
      </c>
      <c r="J16" s="55">
        <f t="shared" ca="1" si="6"/>
        <v>9.333167554204258E-2</v>
      </c>
      <c r="K16" s="55">
        <f t="shared" ca="1" si="6"/>
        <v>0.18938848911259476</v>
      </c>
      <c r="L16" s="55">
        <f t="shared" ca="1" si="6"/>
        <v>0.17849917919577396</v>
      </c>
      <c r="M16" s="55">
        <f t="shared" ca="1" si="6"/>
        <v>0.17332135634150259</v>
      </c>
      <c r="N16" s="55">
        <f t="shared" ca="1" si="6"/>
        <v>0.16486532559159772</v>
      </c>
      <c r="O16" s="69"/>
    </row>
    <row r="17" spans="2:15" ht="24.95" customHeight="1">
      <c r="B17" s="69"/>
      <c r="C17" s="199" t="s">
        <v>158</v>
      </c>
      <c r="D17" s="55">
        <f t="shared" ref="D17:M17" si="7">D15/D11</f>
        <v>0.54038089249962773</v>
      </c>
      <c r="E17" s="55">
        <f t="shared" si="7"/>
        <v>0.608865859220595</v>
      </c>
      <c r="F17" s="55">
        <f t="shared" si="7"/>
        <v>0.59527721338090467</v>
      </c>
      <c r="G17" s="55">
        <f t="shared" si="7"/>
        <v>0.55614132080190604</v>
      </c>
      <c r="H17" s="55">
        <f t="shared" si="7"/>
        <v>0.49177742261103635</v>
      </c>
      <c r="I17" s="55">
        <f t="shared" si="7"/>
        <v>0.45457892060608773</v>
      </c>
      <c r="J17" s="55">
        <f t="shared" ca="1" si="7"/>
        <v>0.40054950782559195</v>
      </c>
      <c r="K17" s="55">
        <f t="shared" ca="1" si="7"/>
        <v>0.39081672973304976</v>
      </c>
      <c r="L17" s="55">
        <f t="shared" ca="1" si="7"/>
        <v>0.38724560668828922</v>
      </c>
      <c r="M17" s="55">
        <f t="shared" ca="1" si="7"/>
        <v>0.38558543591326605</v>
      </c>
      <c r="N17" s="55">
        <f t="shared" ref="N17" ca="1" si="8">N15/N11</f>
        <v>0.38371527844964026</v>
      </c>
      <c r="O17" s="69"/>
    </row>
    <row r="18" spans="2:15" ht="24.95" customHeight="1">
      <c r="B18" s="69"/>
      <c r="C18" s="699"/>
      <c r="D18" s="700"/>
      <c r="E18" s="700"/>
      <c r="F18" s="700"/>
      <c r="G18" s="700"/>
      <c r="H18" s="700"/>
      <c r="I18" s="700"/>
      <c r="J18" s="700"/>
      <c r="K18" s="700"/>
      <c r="L18" s="700"/>
      <c r="M18" s="700"/>
      <c r="N18" s="645"/>
      <c r="O18" s="69"/>
    </row>
    <row r="19" spans="2:15" ht="24.95" customHeight="1">
      <c r="B19" s="69"/>
      <c r="C19" s="222" t="s">
        <v>160</v>
      </c>
      <c r="D19" s="84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69"/>
    </row>
    <row r="20" spans="2:15" ht="24.95" customHeight="1">
      <c r="B20" s="69"/>
      <c r="C20" s="111" t="s">
        <v>44</v>
      </c>
      <c r="D20" s="84">
        <v>1314</v>
      </c>
      <c r="E20" s="84">
        <v>1676</v>
      </c>
      <c r="F20" s="84">
        <v>2327</v>
      </c>
      <c r="G20" s="84">
        <v>2619</v>
      </c>
      <c r="H20" s="84">
        <v>3940</v>
      </c>
      <c r="I20" s="190">
        <f>'业务表-年度'!F38*100</f>
        <v>4647.4799999999996</v>
      </c>
      <c r="J20" s="190">
        <f ca="1">'业务表-年度'!G38*100</f>
        <v>6915.5701692311068</v>
      </c>
      <c r="K20" s="190">
        <f ca="1">'业务表-年度'!H38*100</f>
        <v>8346.476522339286</v>
      </c>
      <c r="L20" s="190">
        <f ca="1">'业务表-年度'!I38*100</f>
        <v>9786.7111774590121</v>
      </c>
      <c r="M20" s="190">
        <f ca="1">'业务表-年度'!J38*100</f>
        <v>11254.526871526374</v>
      </c>
      <c r="N20" s="190">
        <f ca="1">'业务表-年度'!K38*100</f>
        <v>12626.484250870479</v>
      </c>
      <c r="O20" s="69"/>
    </row>
    <row r="21" spans="2:15" ht="24.95" customHeight="1">
      <c r="B21" s="69"/>
      <c r="C21" s="111" t="s">
        <v>816</v>
      </c>
      <c r="D21" s="84">
        <v>904</v>
      </c>
      <c r="E21" s="84">
        <v>2759</v>
      </c>
      <c r="F21" s="84">
        <v>1886</v>
      </c>
      <c r="G21" s="84">
        <v>3594</v>
      </c>
      <c r="H21" s="84">
        <v>20140</v>
      </c>
      <c r="I21" s="190">
        <f>'业务表-年度'!F42*100</f>
        <v>16714</v>
      </c>
      <c r="J21" s="190">
        <f ca="1">'业务表-年度'!G42*100</f>
        <v>7157.2750261327092</v>
      </c>
      <c r="K21" s="190">
        <f ca="1">'业务表-年度'!H42*100</f>
        <v>7567.4809961985911</v>
      </c>
      <c r="L21" s="190">
        <f ca="1">'业务表-年度'!I42*100</f>
        <v>7875.4489988590676</v>
      </c>
      <c r="M21" s="190">
        <f ca="1">'业务表-年度'!J42*100</f>
        <v>8285.9088986213119</v>
      </c>
      <c r="N21" s="190">
        <f ca="1">'业务表-年度'!K42*100</f>
        <v>8845.4970086402482</v>
      </c>
      <c r="O21" s="69"/>
    </row>
    <row r="22" spans="2:15" ht="24.95" customHeight="1">
      <c r="B22" s="69"/>
      <c r="C22" s="111" t="s">
        <v>817</v>
      </c>
      <c r="D22" s="84">
        <v>-5695</v>
      </c>
      <c r="E22" s="84">
        <v>-7797</v>
      </c>
      <c r="F22" s="84">
        <v>-7993</v>
      </c>
      <c r="G22" s="84">
        <v>-12136</v>
      </c>
      <c r="H22" s="84">
        <v>-17652</v>
      </c>
      <c r="I22" s="190">
        <f>'业务表-年度'!F50*100</f>
        <v>-24233.000000000004</v>
      </c>
      <c r="J22" s="190">
        <f ca="1">'业务表-年度'!G50*100</f>
        <v>-28115.348215085858</v>
      </c>
      <c r="K22" s="190">
        <f ca="1">'业务表-年度'!H50*100</f>
        <v>-32855.748270250675</v>
      </c>
      <c r="L22" s="190">
        <f ca="1">'业务表-年度'!I50*100</f>
        <v>-37353.128359229413</v>
      </c>
      <c r="M22" s="190">
        <f ca="1">'业务表-年度'!J50*100</f>
        <v>-41913.287101899565</v>
      </c>
      <c r="N22" s="190">
        <f ca="1">'业务表-年度'!K50*100</f>
        <v>-46581.574024238762</v>
      </c>
      <c r="O22" s="69"/>
    </row>
    <row r="23" spans="2:15" ht="24.95" customHeight="1">
      <c r="B23" s="69"/>
      <c r="C23" s="111" t="s">
        <v>818</v>
      </c>
      <c r="D23" s="84">
        <v>-9988</v>
      </c>
      <c r="E23" s="84">
        <v>-14155</v>
      </c>
      <c r="F23" s="84">
        <v>-16825</v>
      </c>
      <c r="G23" s="84">
        <v>-22459</v>
      </c>
      <c r="H23" s="84">
        <v>-33051</v>
      </c>
      <c r="I23" s="190">
        <f>('业务表-年度'!F54+'业务表-年度'!F58)*100</f>
        <v>-41522</v>
      </c>
      <c r="J23" s="190">
        <f ca="1">('业务表-年度'!G54+'业务表-年度'!G58)*100</f>
        <v>-50860.024021841571</v>
      </c>
      <c r="K23" s="190">
        <f ca="1">('业务表-年度'!H54+'业务表-年度'!H58)*100</f>
        <v>-60370.030948628744</v>
      </c>
      <c r="L23" s="190">
        <f ca="1">('业务表-年度'!I54+'业务表-年度'!I58)*100</f>
        <v>-70267.168469058815</v>
      </c>
      <c r="M23" s="190">
        <f ca="1">('业务表-年度'!J54+'业务表-年度'!J58)*100</f>
        <v>-80997.419647664748</v>
      </c>
      <c r="N23" s="190">
        <f ca="1">('业务表-年度'!K54+'业务表-年度'!K58)*100</f>
        <v>-92699.864384603614</v>
      </c>
      <c r="O23" s="69"/>
    </row>
    <row r="24" spans="2:15" ht="24.95" customHeight="1">
      <c r="B24" s="69"/>
      <c r="C24" s="111" t="s">
        <v>161</v>
      </c>
      <c r="D24" s="84">
        <f t="shared" ref="D24:G24" si="9">SUM(D20:D23)</f>
        <v>-13465</v>
      </c>
      <c r="E24" s="84">
        <f t="shared" si="9"/>
        <v>-17517</v>
      </c>
      <c r="F24" s="84">
        <f t="shared" si="9"/>
        <v>-20605</v>
      </c>
      <c r="G24" s="84">
        <f t="shared" si="9"/>
        <v>-28382</v>
      </c>
      <c r="H24" s="84">
        <f>SUM(H20:H23)</f>
        <v>-26623</v>
      </c>
      <c r="I24" s="84">
        <f t="shared" ref="I24" si="10">SUM(I20:I23)</f>
        <v>-44393.520000000004</v>
      </c>
      <c r="J24" s="84">
        <f t="shared" ref="J24" ca="1" si="11">SUM(J20:J23)</f>
        <v>-64902.527041563611</v>
      </c>
      <c r="K24" s="84">
        <f t="shared" ref="K24" ca="1" si="12">SUM(K20:K23)</f>
        <v>-77311.821700341534</v>
      </c>
      <c r="L24" s="84">
        <f t="shared" ref="L24" ca="1" si="13">SUM(L20:L23)</f>
        <v>-89958.136651970155</v>
      </c>
      <c r="M24" s="84">
        <f ca="1">SUM(M20:M23)</f>
        <v>-103370.27097941663</v>
      </c>
      <c r="N24" s="84">
        <f ca="1">SUM(N20:N23)</f>
        <v>-117809.45714933165</v>
      </c>
      <c r="O24" s="69"/>
    </row>
    <row r="25" spans="2:15" ht="24.95" customHeight="1">
      <c r="B25" s="69"/>
      <c r="C25" s="699"/>
      <c r="D25" s="700"/>
      <c r="E25" s="700"/>
      <c r="F25" s="700"/>
      <c r="G25" s="700"/>
      <c r="H25" s="700"/>
      <c r="I25" s="700"/>
      <c r="J25" s="700"/>
      <c r="K25" s="700"/>
      <c r="L25" s="700"/>
      <c r="M25" s="700"/>
      <c r="N25" s="645"/>
      <c r="O25" s="69"/>
    </row>
    <row r="26" spans="2:15" ht="24.95" customHeight="1">
      <c r="B26" s="69"/>
      <c r="C26" s="110" t="s">
        <v>223</v>
      </c>
      <c r="D26" s="84">
        <f t="shared" ref="D26:M26" si="14">D15+D24</f>
        <v>19194</v>
      </c>
      <c r="E26" s="84">
        <f t="shared" si="14"/>
        <v>30542</v>
      </c>
      <c r="F26" s="84">
        <f t="shared" si="14"/>
        <v>40627</v>
      </c>
      <c r="G26" s="84">
        <f t="shared" si="14"/>
        <v>56117</v>
      </c>
      <c r="H26" s="84">
        <f t="shared" si="14"/>
        <v>90302</v>
      </c>
      <c r="I26" s="84">
        <f t="shared" si="14"/>
        <v>97750.580999999991</v>
      </c>
      <c r="J26" s="84">
        <f t="shared" ca="1" si="14"/>
        <v>90508.121073183691</v>
      </c>
      <c r="K26" s="84">
        <f t="shared" ca="1" si="14"/>
        <v>107531.8142528669</v>
      </c>
      <c r="L26" s="84">
        <f t="shared" ca="1" si="14"/>
        <v>127879.93659844843</v>
      </c>
      <c r="M26" s="84">
        <f t="shared" ca="1" si="14"/>
        <v>152223.79258958413</v>
      </c>
      <c r="N26" s="84">
        <f t="shared" ref="N26" ca="1" si="15">N15+N24</f>
        <v>179923.20492925192</v>
      </c>
      <c r="O26" s="69"/>
    </row>
    <row r="27" spans="2:15" ht="24.95" customHeight="1">
      <c r="B27" s="69"/>
      <c r="C27" s="199" t="s">
        <v>156</v>
      </c>
      <c r="D27" s="84"/>
      <c r="E27" s="55">
        <f t="shared" ref="E27:G27" si="16">E26/D26-1</f>
        <v>0.59122642492445565</v>
      </c>
      <c r="F27" s="55">
        <f t="shared" si="16"/>
        <v>0.3302010346408224</v>
      </c>
      <c r="G27" s="55">
        <f t="shared" si="16"/>
        <v>0.38127353730277891</v>
      </c>
      <c r="H27" s="55">
        <f>H26/G26-1</f>
        <v>0.60917369068196803</v>
      </c>
      <c r="I27" s="55">
        <f t="shared" ref="I27" si="17">I26/H26-1</f>
        <v>8.2485227348231493E-2</v>
      </c>
      <c r="J27" s="55">
        <f t="shared" ref="J27" ca="1" si="18">J26/I26-1</f>
        <v>-7.4091221276897601E-2</v>
      </c>
      <c r="K27" s="55">
        <f t="shared" ref="K27" ca="1" si="19">K26/J26-1</f>
        <v>0.18809022856543534</v>
      </c>
      <c r="L27" s="55">
        <f t="shared" ref="L27" ca="1" si="20">L26/K26-1</f>
        <v>0.18922885740337114</v>
      </c>
      <c r="M27" s="55">
        <f t="shared" ref="M27:N27" ca="1" si="21">M26/L26-1</f>
        <v>0.1903649363510167</v>
      </c>
      <c r="N27" s="55">
        <f t="shared" ca="1" si="21"/>
        <v>0.1819650651744642</v>
      </c>
      <c r="O27" s="69"/>
    </row>
    <row r="28" spans="2:15" ht="24.95" customHeight="1">
      <c r="B28" s="69"/>
      <c r="C28" s="647"/>
      <c r="D28" s="648"/>
      <c r="E28" s="648"/>
      <c r="F28" s="648"/>
      <c r="G28" s="648"/>
      <c r="H28" s="648"/>
      <c r="I28" s="648"/>
      <c r="J28" s="648"/>
      <c r="K28" s="648"/>
      <c r="L28" s="648"/>
      <c r="M28" s="648"/>
      <c r="N28" s="648"/>
      <c r="O28" s="69"/>
    </row>
    <row r="29" spans="2:15" ht="24.95" customHeight="1">
      <c r="B29" s="69"/>
      <c r="C29" s="222" t="s">
        <v>162</v>
      </c>
      <c r="D29" s="84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69"/>
    </row>
    <row r="30" spans="2:15" ht="24.95" customHeight="1">
      <c r="B30" s="69"/>
      <c r="C30" s="111" t="s">
        <v>819</v>
      </c>
      <c r="D30" s="84">
        <v>-84</v>
      </c>
      <c r="E30" s="84">
        <v>-1182</v>
      </c>
      <c r="F30" s="84">
        <v>-1618</v>
      </c>
      <c r="G30" s="84">
        <v>-1955</v>
      </c>
      <c r="H30" s="84">
        <v>-2908</v>
      </c>
      <c r="I30" s="190">
        <f>'业务表-年度'!F66*100</f>
        <v>0</v>
      </c>
      <c r="J30" s="190">
        <f ca="1">'业务表-年度'!G66*100</f>
        <v>-5575.2668519256713</v>
      </c>
      <c r="K30" s="190">
        <f ca="1">'业务表-年度'!H66*100</f>
        <v>-6786.6624174251892</v>
      </c>
      <c r="L30" s="190">
        <f ca="1">'业务表-年度'!I66*100</f>
        <v>-8206.4531570015351</v>
      </c>
      <c r="M30" s="190">
        <f ca="1">'业务表-年度'!J66*100</f>
        <v>-9938.8541479953165</v>
      </c>
      <c r="N30" s="190">
        <f>'业务表-年度'!K66*100</f>
        <v>-14088.961924987199</v>
      </c>
      <c r="O30" s="69"/>
    </row>
    <row r="31" spans="2:15" ht="24.95" customHeight="1">
      <c r="B31" s="69"/>
      <c r="C31" s="111" t="s">
        <v>820</v>
      </c>
      <c r="D31" s="84">
        <v>171</v>
      </c>
      <c r="E31" s="84">
        <v>-347</v>
      </c>
      <c r="F31" s="84">
        <v>-2793</v>
      </c>
      <c r="G31" s="84">
        <v>-2522</v>
      </c>
      <c r="H31" s="84">
        <v>821</v>
      </c>
      <c r="I31" s="190">
        <f>'业务表-年度'!F70*100</f>
        <v>1487</v>
      </c>
      <c r="J31" s="190">
        <f ca="1">'业务表-年度'!G70*100</f>
        <v>1551.9744259170732</v>
      </c>
      <c r="K31" s="190">
        <f ca="1">'业务表-年度'!H70*100</f>
        <v>1655.3864679184421</v>
      </c>
      <c r="L31" s="190">
        <f ca="1">'业务表-年度'!I70*100</f>
        <v>1856.3558354453519</v>
      </c>
      <c r="M31" s="190">
        <f ca="1">'业务表-年度'!J70*100</f>
        <v>1988.618135669115</v>
      </c>
      <c r="N31" s="190">
        <f ca="1">'业务表-年度'!K70*100</f>
        <v>2017.3940546021615</v>
      </c>
      <c r="O31" s="69"/>
    </row>
    <row r="32" spans="2:15" ht="24.95" customHeight="1">
      <c r="B32" s="69"/>
      <c r="C32" s="699"/>
      <c r="D32" s="700"/>
      <c r="E32" s="700"/>
      <c r="F32" s="700"/>
      <c r="G32" s="700"/>
      <c r="H32" s="700"/>
      <c r="I32" s="700"/>
      <c r="J32" s="700"/>
      <c r="K32" s="700"/>
      <c r="L32" s="700"/>
      <c r="M32" s="700"/>
      <c r="N32" s="645"/>
      <c r="O32" s="69"/>
    </row>
    <row r="33" spans="2:17" ht="24.95" customHeight="1">
      <c r="B33" s="69"/>
      <c r="C33" s="110" t="s">
        <v>821</v>
      </c>
      <c r="D33" s="84">
        <f t="shared" ref="D33:M33" si="22">D26+SUM(D30:D31)</f>
        <v>19281</v>
      </c>
      <c r="E33" s="84">
        <f t="shared" si="22"/>
        <v>29013</v>
      </c>
      <c r="F33" s="84">
        <f t="shared" si="22"/>
        <v>36216</v>
      </c>
      <c r="G33" s="84">
        <f t="shared" si="22"/>
        <v>51640</v>
      </c>
      <c r="H33" s="84">
        <f t="shared" si="22"/>
        <v>88215</v>
      </c>
      <c r="I33" s="84">
        <f t="shared" si="22"/>
        <v>99237.580999999991</v>
      </c>
      <c r="J33" s="84">
        <f t="shared" ca="1" si="22"/>
        <v>86484.828647175091</v>
      </c>
      <c r="K33" s="84">
        <f t="shared" ca="1" si="22"/>
        <v>102400.53830336015</v>
      </c>
      <c r="L33" s="84">
        <f t="shared" ca="1" si="22"/>
        <v>121529.83927689225</v>
      </c>
      <c r="M33" s="84">
        <f t="shared" ca="1" si="22"/>
        <v>144273.55657725793</v>
      </c>
      <c r="N33" s="84">
        <f t="shared" ref="N33" ca="1" si="23">N26+SUM(N30:N31)</f>
        <v>167851.63705886688</v>
      </c>
      <c r="O33" s="69"/>
    </row>
    <row r="34" spans="2:17" ht="24.95" customHeight="1">
      <c r="B34" s="69"/>
      <c r="C34" s="199" t="s">
        <v>156</v>
      </c>
      <c r="D34" s="84"/>
      <c r="E34" s="55">
        <f t="shared" ref="E34:N34" si="24">E33/D33-1</f>
        <v>0.5047456044810954</v>
      </c>
      <c r="F34" s="55">
        <f t="shared" si="24"/>
        <v>0.24826801778513086</v>
      </c>
      <c r="G34" s="55">
        <f t="shared" si="24"/>
        <v>0.42588910978573002</v>
      </c>
      <c r="H34" s="55">
        <f>H33/G33-1</f>
        <v>0.70826878388845849</v>
      </c>
      <c r="I34" s="55">
        <f t="shared" si="24"/>
        <v>0.12495132347106486</v>
      </c>
      <c r="J34" s="55">
        <f t="shared" ca="1" si="24"/>
        <v>-0.12850728750456852</v>
      </c>
      <c r="K34" s="55">
        <f t="shared" ca="1" si="24"/>
        <v>0.18402892050714525</v>
      </c>
      <c r="L34" s="55">
        <f t="shared" ca="1" si="24"/>
        <v>0.18680859779136916</v>
      </c>
      <c r="M34" s="55">
        <f t="shared" ca="1" si="24"/>
        <v>0.18714512777842685</v>
      </c>
      <c r="N34" s="55">
        <f t="shared" ca="1" si="24"/>
        <v>0.16342620949378883</v>
      </c>
      <c r="O34" s="69"/>
    </row>
    <row r="35" spans="2:17" ht="24.95" customHeight="1">
      <c r="B35" s="69"/>
      <c r="C35" s="111" t="s">
        <v>222</v>
      </c>
      <c r="D35" s="84">
        <v>-3718</v>
      </c>
      <c r="E35" s="84">
        <v>-5125</v>
      </c>
      <c r="F35" s="84">
        <v>-7108</v>
      </c>
      <c r="G35" s="84">
        <v>-10193</v>
      </c>
      <c r="H35" s="84">
        <v>-15744</v>
      </c>
      <c r="I35" s="190">
        <f>'业务表-年度'!F78*100</f>
        <v>-14482</v>
      </c>
      <c r="J35" s="190">
        <f ca="1">'业务表-年度'!G78*100</f>
        <v>-14373.472151202099</v>
      </c>
      <c r="K35" s="190">
        <f ca="1">'业务表-年度'!H78*100</f>
        <v>-16957.428901845189</v>
      </c>
      <c r="L35" s="190">
        <f ca="1">'业务表-年度'!I78*100</f>
        <v>-20053.217205477209</v>
      </c>
      <c r="M35" s="190">
        <f ca="1">'业务表-年度'!J78*100</f>
        <v>-23729.456769943881</v>
      </c>
      <c r="N35" s="190">
        <f ca="1">'业务表-年度'!K78*100</f>
        <v>-27896.345906237195</v>
      </c>
      <c r="O35" s="69"/>
    </row>
    <row r="36" spans="2:17" ht="24.95" customHeight="1">
      <c r="B36" s="69"/>
      <c r="C36" s="699"/>
      <c r="D36" s="700"/>
      <c r="E36" s="700"/>
      <c r="F36" s="700"/>
      <c r="G36" s="700"/>
      <c r="H36" s="700"/>
      <c r="I36" s="700"/>
      <c r="J36" s="700"/>
      <c r="K36" s="700"/>
      <c r="L36" s="700"/>
      <c r="M36" s="700"/>
      <c r="N36" s="645"/>
      <c r="O36" s="69"/>
    </row>
    <row r="37" spans="2:17" ht="24.95" customHeight="1">
      <c r="B37" s="69"/>
      <c r="C37" s="110" t="s">
        <v>247</v>
      </c>
      <c r="D37" s="84">
        <f>D33+D35</f>
        <v>15563</v>
      </c>
      <c r="E37" s="84">
        <f>E33+E35</f>
        <v>23888</v>
      </c>
      <c r="F37" s="84">
        <f>F33+F35</f>
        <v>29108</v>
      </c>
      <c r="G37" s="84">
        <f t="shared" ref="G37:M37" si="25">G33+G35</f>
        <v>41447</v>
      </c>
      <c r="H37" s="84">
        <f t="shared" si="25"/>
        <v>72471</v>
      </c>
      <c r="I37" s="84">
        <f t="shared" si="25"/>
        <v>84755.580999999991</v>
      </c>
      <c r="J37" s="84">
        <f t="shared" ca="1" si="25"/>
        <v>72111.356495972985</v>
      </c>
      <c r="K37" s="84">
        <f t="shared" ca="1" si="25"/>
        <v>85443.109401514957</v>
      </c>
      <c r="L37" s="84">
        <f t="shared" ca="1" si="25"/>
        <v>101476.62207141504</v>
      </c>
      <c r="M37" s="84">
        <f t="shared" ca="1" si="25"/>
        <v>120544.09980731405</v>
      </c>
      <c r="N37" s="84">
        <f t="shared" ref="N37" ca="1" si="26">N33+N35</f>
        <v>139955.29115262968</v>
      </c>
      <c r="O37" s="69"/>
    </row>
    <row r="38" spans="2:17" ht="24.95" customHeight="1">
      <c r="B38" s="69"/>
      <c r="C38" s="110" t="s">
        <v>822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69"/>
    </row>
    <row r="39" spans="2:17" ht="24.95" customHeight="1">
      <c r="B39" s="69"/>
      <c r="C39" s="110" t="s">
        <v>248</v>
      </c>
      <c r="D39" s="84">
        <f>D37-D41</f>
        <v>15502</v>
      </c>
      <c r="E39" s="84">
        <f>E37-E41</f>
        <v>23810</v>
      </c>
      <c r="F39" s="84">
        <f t="shared" ref="F39:M39" si="27">F37-F41</f>
        <v>28806</v>
      </c>
      <c r="G39" s="84">
        <f t="shared" si="27"/>
        <v>41095</v>
      </c>
      <c r="H39" s="84">
        <f t="shared" si="27"/>
        <v>71510</v>
      </c>
      <c r="I39" s="84">
        <f t="shared" si="27"/>
        <v>78719</v>
      </c>
      <c r="J39" s="84">
        <f t="shared" ca="1" si="27"/>
        <v>68236.395999943255</v>
      </c>
      <c r="K39" s="84">
        <f t="shared" ca="1" si="27"/>
        <v>80427.31506240266</v>
      </c>
      <c r="L39" s="84">
        <f t="shared" ca="1" si="27"/>
        <v>95094.223646476908</v>
      </c>
      <c r="M39" s="84">
        <f t="shared" ca="1" si="27"/>
        <v>112541.21949380693</v>
      </c>
      <c r="N39" s="84">
        <f t="shared" ref="N39" ca="1" si="28">N37-N41</f>
        <v>132320.20253223524</v>
      </c>
      <c r="O39" s="69"/>
    </row>
    <row r="40" spans="2:17" ht="24.95" customHeight="1">
      <c r="B40" s="69"/>
      <c r="C40" s="199" t="s">
        <v>156</v>
      </c>
      <c r="D40" s="84"/>
      <c r="E40" s="55">
        <f>E39/D39-1</f>
        <v>0.53593084763256349</v>
      </c>
      <c r="F40" s="55">
        <f>F39/E39-1</f>
        <v>0.20982780344393115</v>
      </c>
      <c r="G40" s="55">
        <f>G39/F39-1</f>
        <v>0.42661251128237176</v>
      </c>
      <c r="H40" s="55">
        <f>H39/G39-1</f>
        <v>0.74011436914466477</v>
      </c>
      <c r="I40" s="55">
        <f t="shared" ref="I40" si="29">I39/H39-1</f>
        <v>0.10081107537407363</v>
      </c>
      <c r="J40" s="55">
        <f t="shared" ref="J40" ca="1" si="30">J39/I39-1</f>
        <v>-0.13316485219650587</v>
      </c>
      <c r="K40" s="55">
        <f t="shared" ref="K40" ca="1" si="31">K39/J39-1</f>
        <v>0.17865713573837549</v>
      </c>
      <c r="L40" s="55">
        <f t="shared" ref="L40" ca="1" si="32">L39/K39-1</f>
        <v>0.18236228043537639</v>
      </c>
      <c r="M40" s="55">
        <f t="shared" ref="M40:N40" ca="1" si="33">M39/L39-1</f>
        <v>0.18347061659802932</v>
      </c>
      <c r="N40" s="55">
        <f t="shared" ca="1" si="33"/>
        <v>0.17574878899829893</v>
      </c>
      <c r="O40" s="69"/>
    </row>
    <row r="41" spans="2:17" ht="24.95" customHeight="1">
      <c r="B41" s="69"/>
      <c r="C41" s="116" t="s">
        <v>249</v>
      </c>
      <c r="D41" s="84">
        <v>61</v>
      </c>
      <c r="E41" s="84">
        <v>78</v>
      </c>
      <c r="F41" s="84">
        <v>302</v>
      </c>
      <c r="G41" s="84">
        <v>352</v>
      </c>
      <c r="H41" s="84">
        <v>961</v>
      </c>
      <c r="I41" s="190">
        <f>'业务表-年度'!F85*100</f>
        <v>6036.5809999999892</v>
      </c>
      <c r="J41" s="190">
        <f ca="1">'业务表-年度'!G85*100</f>
        <v>3874.9604960297233</v>
      </c>
      <c r="K41" s="190">
        <f ca="1">'业务表-年度'!H85*100</f>
        <v>5015.7943391122899</v>
      </c>
      <c r="L41" s="190">
        <f ca="1">'业务表-年度'!I85*100</f>
        <v>6382.3984249381283</v>
      </c>
      <c r="M41" s="190">
        <f ca="1">'业务表-年度'!J85*100</f>
        <v>8002.8803135071257</v>
      </c>
      <c r="N41" s="190">
        <f ca="1">'业务表-年度'!K85*100</f>
        <v>7635.0886203944356</v>
      </c>
      <c r="O41" s="69"/>
      <c r="Q41" s="224"/>
    </row>
    <row r="42" spans="2:17" ht="24.95" customHeight="1">
      <c r="B42" s="69"/>
      <c r="C42" s="110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69"/>
    </row>
    <row r="43" spans="2:17" ht="24.95" customHeight="1">
      <c r="B43" s="69"/>
      <c r="C43" s="111" t="s">
        <v>163</v>
      </c>
      <c r="D43" s="84">
        <v>1760.22</v>
      </c>
      <c r="E43" s="84">
        <v>2662.44</v>
      </c>
      <c r="F43" s="84">
        <v>3704.21</v>
      </c>
      <c r="G43" s="84">
        <v>5171.3999999999996</v>
      </c>
      <c r="H43" s="84">
        <v>6990.92</v>
      </c>
      <c r="I43" s="84">
        <v>8341.7551000000003</v>
      </c>
      <c r="J43" s="84">
        <f ca="1">IF(J39*资产负债假设!J35&gt;0,J39*资产负债假设!J35,0)</f>
        <v>6823.6395999943261</v>
      </c>
      <c r="K43" s="84">
        <f ca="1">IF(K39*资产负债假设!K35&gt;0,K39*资产负债假设!K35,0)</f>
        <v>8042.7315062402668</v>
      </c>
      <c r="L43" s="84">
        <f ca="1">IF(L39*资产负债假设!L35&gt;0,L39*资产负债假设!L35,0)</f>
        <v>9509.4223646476912</v>
      </c>
      <c r="M43" s="84">
        <f ca="1">IF(M39*资产负债假设!M35&gt;0,M39*资产负债假设!M35,0)</f>
        <v>11254.121949380693</v>
      </c>
      <c r="N43" s="84">
        <f ca="1">IF(N39*资产负债假设!N35&gt;0,N39*资产负债假设!N35,0)</f>
        <v>13232.020253223525</v>
      </c>
      <c r="O43" s="69"/>
    </row>
    <row r="44" spans="2:17" ht="24.95" customHeight="1">
      <c r="B44" s="69"/>
      <c r="C44" s="111" t="s">
        <v>164</v>
      </c>
      <c r="D44" s="55">
        <f t="shared" ref="D44:N44" si="34">D43/D39</f>
        <v>0.11354792929944524</v>
      </c>
      <c r="E44" s="55">
        <f t="shared" si="34"/>
        <v>0.1118202435951281</v>
      </c>
      <c r="F44" s="55">
        <f t="shared" si="34"/>
        <v>0.12859161285843226</v>
      </c>
      <c r="G44" s="55">
        <f t="shared" si="34"/>
        <v>0.12584012653607493</v>
      </c>
      <c r="H44" s="55">
        <f t="shared" si="34"/>
        <v>9.7761431967556989E-2</v>
      </c>
      <c r="I44" s="55">
        <f t="shared" si="34"/>
        <v>0.10596876357677308</v>
      </c>
      <c r="J44" s="55">
        <f t="shared" ca="1" si="34"/>
        <v>0.1</v>
      </c>
      <c r="K44" s="55">
        <f t="shared" ca="1" si="34"/>
        <v>0.1</v>
      </c>
      <c r="L44" s="55">
        <f t="shared" ca="1" si="34"/>
        <v>0.1</v>
      </c>
      <c r="M44" s="55">
        <f t="shared" ca="1" si="34"/>
        <v>0.1</v>
      </c>
      <c r="N44" s="55">
        <f t="shared" ca="1" si="34"/>
        <v>0.1</v>
      </c>
      <c r="O44" s="69"/>
    </row>
    <row r="45" spans="2:17" ht="24.95" customHeight="1">
      <c r="B45" s="69"/>
      <c r="C45" s="111" t="s">
        <v>165</v>
      </c>
      <c r="D45" s="84">
        <f t="shared" ref="D45:M45" si="35">D39-D43</f>
        <v>13741.78</v>
      </c>
      <c r="E45" s="84">
        <f t="shared" si="35"/>
        <v>21147.56</v>
      </c>
      <c r="F45" s="84">
        <f t="shared" si="35"/>
        <v>25101.79</v>
      </c>
      <c r="G45" s="84">
        <f t="shared" si="35"/>
        <v>35923.599999999999</v>
      </c>
      <c r="H45" s="84">
        <f t="shared" si="35"/>
        <v>64519.08</v>
      </c>
      <c r="I45" s="84">
        <f t="shared" si="35"/>
        <v>70377.244900000005</v>
      </c>
      <c r="J45" s="84">
        <f t="shared" ca="1" si="35"/>
        <v>61412.756399948928</v>
      </c>
      <c r="K45" s="84">
        <f t="shared" ca="1" si="35"/>
        <v>72384.583556162397</v>
      </c>
      <c r="L45" s="84">
        <f t="shared" ca="1" si="35"/>
        <v>85584.801281829219</v>
      </c>
      <c r="M45" s="84">
        <f t="shared" ca="1" si="35"/>
        <v>101287.09754442624</v>
      </c>
      <c r="N45" s="84">
        <f t="shared" ref="N45" ca="1" si="36">N39-N43</f>
        <v>119088.18227901171</v>
      </c>
      <c r="O45" s="69"/>
    </row>
    <row r="46" spans="2:17" ht="24.95" customHeight="1">
      <c r="B46" s="69"/>
      <c r="C46" s="699"/>
      <c r="D46" s="700"/>
      <c r="E46" s="700"/>
      <c r="F46" s="700"/>
      <c r="G46" s="700"/>
      <c r="H46" s="700"/>
      <c r="I46" s="700"/>
      <c r="J46" s="700"/>
      <c r="K46" s="700"/>
      <c r="L46" s="700"/>
      <c r="M46" s="700"/>
      <c r="N46" s="645"/>
      <c r="O46" s="69"/>
    </row>
    <row r="47" spans="2:17" ht="24.95" customHeight="1">
      <c r="B47" s="69"/>
      <c r="C47" s="111" t="s">
        <v>166</v>
      </c>
      <c r="D47" s="84">
        <v>2813</v>
      </c>
      <c r="E47" s="84">
        <v>-1913</v>
      </c>
      <c r="F47" s="84">
        <v>15615</v>
      </c>
      <c r="G47" s="84">
        <v>7170</v>
      </c>
      <c r="H47" s="84">
        <v>6590</v>
      </c>
      <c r="I47" s="84">
        <v>-12224</v>
      </c>
      <c r="J47" s="84"/>
      <c r="K47" s="84"/>
      <c r="L47" s="84"/>
      <c r="M47" s="84"/>
      <c r="N47" s="84"/>
      <c r="O47" s="69"/>
    </row>
    <row r="48" spans="2:17" ht="24.95" customHeight="1">
      <c r="B48" s="69"/>
      <c r="C48" s="223" t="s">
        <v>167</v>
      </c>
      <c r="D48" s="84">
        <f t="shared" ref="D48:M48" si="37">D47+D37</f>
        <v>18376</v>
      </c>
      <c r="E48" s="84">
        <f t="shared" si="37"/>
        <v>21975</v>
      </c>
      <c r="F48" s="84">
        <f t="shared" si="37"/>
        <v>44723</v>
      </c>
      <c r="G48" s="84">
        <f t="shared" si="37"/>
        <v>48617</v>
      </c>
      <c r="H48" s="84">
        <f t="shared" si="37"/>
        <v>79061</v>
      </c>
      <c r="I48" s="84">
        <f t="shared" si="37"/>
        <v>72531.580999999991</v>
      </c>
      <c r="J48" s="84">
        <f t="shared" ca="1" si="37"/>
        <v>72111.356495972985</v>
      </c>
      <c r="K48" s="84">
        <f t="shared" ca="1" si="37"/>
        <v>85443.109401514957</v>
      </c>
      <c r="L48" s="84">
        <f t="shared" ca="1" si="37"/>
        <v>101476.62207141504</v>
      </c>
      <c r="M48" s="84">
        <f t="shared" ca="1" si="37"/>
        <v>120544.09980731405</v>
      </c>
      <c r="N48" s="84">
        <f t="shared" ref="N48" ca="1" si="38">N47+N37</f>
        <v>139955.29115262968</v>
      </c>
      <c r="O48" s="69"/>
    </row>
    <row r="49" spans="2:15" ht="24.95" customHeight="1">
      <c r="B49" s="69"/>
      <c r="C49" s="116" t="s">
        <v>250</v>
      </c>
      <c r="D49" s="84">
        <v>18327</v>
      </c>
      <c r="E49" s="84">
        <v>21891</v>
      </c>
      <c r="F49" s="84">
        <v>44416</v>
      </c>
      <c r="G49" s="84">
        <v>48194</v>
      </c>
      <c r="H49" s="84">
        <v>78218</v>
      </c>
      <c r="I49" s="84">
        <f>I39</f>
        <v>78719</v>
      </c>
      <c r="J49" s="84">
        <f t="shared" ref="J49:M49" ca="1" si="39">J39</f>
        <v>68236.395999943255</v>
      </c>
      <c r="K49" s="84">
        <f t="shared" ca="1" si="39"/>
        <v>80427.31506240266</v>
      </c>
      <c r="L49" s="84">
        <f t="shared" ca="1" si="39"/>
        <v>95094.223646476908</v>
      </c>
      <c r="M49" s="84">
        <f t="shared" ca="1" si="39"/>
        <v>112541.21949380693</v>
      </c>
      <c r="N49" s="84">
        <f t="shared" ref="N49" ca="1" si="40">N39</f>
        <v>132320.20253223524</v>
      </c>
      <c r="O49" s="69"/>
    </row>
    <row r="50" spans="2:15" ht="24.95" customHeight="1">
      <c r="B50" s="69"/>
      <c r="C50" s="111" t="s">
        <v>251</v>
      </c>
      <c r="D50" s="84">
        <f t="shared" ref="D50:M50" si="41">D48-D49</f>
        <v>49</v>
      </c>
      <c r="E50" s="84">
        <f t="shared" si="41"/>
        <v>84</v>
      </c>
      <c r="F50" s="84">
        <f t="shared" si="41"/>
        <v>307</v>
      </c>
      <c r="G50" s="84">
        <f t="shared" si="41"/>
        <v>423</v>
      </c>
      <c r="H50" s="84">
        <f t="shared" si="41"/>
        <v>843</v>
      </c>
      <c r="I50" s="84">
        <f t="shared" si="41"/>
        <v>-6187.419000000009</v>
      </c>
      <c r="J50" s="84">
        <f t="shared" ca="1" si="41"/>
        <v>3874.9604960297293</v>
      </c>
      <c r="K50" s="84">
        <f t="shared" ca="1" si="41"/>
        <v>5015.7943391122972</v>
      </c>
      <c r="L50" s="84">
        <f t="shared" ca="1" si="41"/>
        <v>6382.3984249381319</v>
      </c>
      <c r="M50" s="84">
        <f t="shared" ca="1" si="41"/>
        <v>8002.8803135071212</v>
      </c>
      <c r="N50" s="84">
        <f t="shared" ref="N50" ca="1" si="42">N48-N49</f>
        <v>7635.0886203944392</v>
      </c>
      <c r="O50" s="69"/>
    </row>
    <row r="51" spans="2:15" ht="24.95" customHeight="1">
      <c r="B51" s="69"/>
      <c r="C51" s="699"/>
      <c r="D51" s="700"/>
      <c r="E51" s="700"/>
      <c r="F51" s="700"/>
      <c r="G51" s="700"/>
      <c r="H51" s="700"/>
      <c r="I51" s="700"/>
      <c r="J51" s="700"/>
      <c r="K51" s="700"/>
      <c r="L51" s="700"/>
      <c r="M51" s="700"/>
      <c r="N51" s="645"/>
      <c r="O51" s="69"/>
    </row>
    <row r="52" spans="2:15" ht="24.95" customHeight="1">
      <c r="B52" s="69"/>
      <c r="C52" s="223" t="s">
        <v>220</v>
      </c>
      <c r="D52" s="219">
        <f>D39/资产负债假设!$J$31</f>
        <v>1.6309779117797685</v>
      </c>
      <c r="E52" s="219">
        <f>E39/资产负债假设!$J$31</f>
        <v>2.505069286509888</v>
      </c>
      <c r="F52" s="219">
        <f>F39/资产负债假设!$J$31</f>
        <v>3.0307024723731137</v>
      </c>
      <c r="G52" s="219">
        <f>G39/资产负债假设!$J$31</f>
        <v>4.3236380650619006</v>
      </c>
      <c r="H52" s="219">
        <f>H39/资产负债假设!$J$31</f>
        <v>7.5236247239950487</v>
      </c>
      <c r="I52" s="219">
        <f>I39/资产负债假设!$J$31</f>
        <v>8.2820894231319571</v>
      </c>
      <c r="J52" s="219">
        <f ca="1">J39/资产负债假设!J31</f>
        <v>7.179206209222345</v>
      </c>
      <c r="K52" s="219">
        <f ca="1">K39/资产负债假设!K31</f>
        <v>8.4618226274371704</v>
      </c>
      <c r="L52" s="219">
        <f ca="1">L39/资产负债假设!L31</f>
        <v>10.00493989841628</v>
      </c>
      <c r="M52" s="219">
        <f ca="1">M39/资产负债假设!M31</f>
        <v>11.840552390604941</v>
      </c>
      <c r="N52" s="219">
        <f ca="1">N39/资产负债假设!N31</f>
        <v>13.921515134324672</v>
      </c>
      <c r="O52" s="69"/>
    </row>
    <row r="53" spans="2:15" ht="24.95" hidden="1" customHeight="1">
      <c r="B53" s="69"/>
      <c r="C53" s="250" t="s">
        <v>168</v>
      </c>
      <c r="D53" s="219"/>
      <c r="E53" s="219"/>
      <c r="F53" s="219"/>
      <c r="G53" s="219"/>
      <c r="H53" s="219"/>
      <c r="I53" s="219">
        <f>I39/(资产负债假设!$H$31+资产负债假设!$H$32)</f>
        <v>605.53076923076924</v>
      </c>
      <c r="J53" s="219">
        <f ca="1">J39/(资产负债假设!J31+资产负债假设!J32)</f>
        <v>7.0823382029992796</v>
      </c>
      <c r="K53" s="219">
        <f ca="1">K39/(资产负债假设!K31+资产负债假设!K32)</f>
        <v>8.347648460677604</v>
      </c>
      <c r="L53" s="219">
        <f ca="1">L39/(资产负债假设!L31+资产负债假设!L32)</f>
        <v>9.869944670239633</v>
      </c>
      <c r="M53" s="219">
        <f ca="1">M39/(资产负债假设!M31+资产负债假设!M32)</f>
        <v>11.68078950467693</v>
      </c>
      <c r="N53" s="646"/>
      <c r="O53" s="69"/>
    </row>
    <row r="54" spans="2:15" ht="24.95" hidden="1" customHeight="1">
      <c r="B54" s="69"/>
      <c r="C54" s="250" t="s">
        <v>812</v>
      </c>
      <c r="D54" s="84"/>
      <c r="E54" s="84"/>
      <c r="F54" s="84"/>
      <c r="G54" s="84"/>
      <c r="H54" s="84"/>
      <c r="I54" s="84">
        <f>资产负债假设!H31</f>
        <v>0</v>
      </c>
      <c r="J54" s="84">
        <f>资产负债假设!J31</f>
        <v>9504.7271259999998</v>
      </c>
      <c r="K54" s="84">
        <f>资产负债假设!K31</f>
        <v>9504.7271259999998</v>
      </c>
      <c r="L54" s="84">
        <f>资产负债假设!L31</f>
        <v>9504.7271259999998</v>
      </c>
      <c r="M54" s="84">
        <f>资产负债假设!M31</f>
        <v>9504.7271259999998</v>
      </c>
      <c r="N54" s="643"/>
      <c r="O54" s="69"/>
    </row>
    <row r="55" spans="2:15" ht="24.95" hidden="1" customHeight="1">
      <c r="B55" s="69"/>
      <c r="C55" s="250" t="s">
        <v>813</v>
      </c>
      <c r="D55" s="84"/>
      <c r="E55" s="84"/>
      <c r="F55" s="84"/>
      <c r="G55" s="84"/>
      <c r="H55" s="84"/>
      <c r="I55" s="84">
        <f>资产负债假设!H31+资产负债假设!H32</f>
        <v>130</v>
      </c>
      <c r="J55" s="84">
        <f>资产负债假设!J31+资产负债假设!J32</f>
        <v>9634.7271259999998</v>
      </c>
      <c r="K55" s="84">
        <f>资产负债假设!K31+资产负债假设!K32</f>
        <v>9634.7271259999998</v>
      </c>
      <c r="L55" s="84">
        <f>资产负债假设!L31+资产负债假设!L32</f>
        <v>9634.7271259999998</v>
      </c>
      <c r="M55" s="84">
        <f>资产负债假设!M31+资产负债假设!M32</f>
        <v>9634.7271259999998</v>
      </c>
      <c r="N55" s="643"/>
      <c r="O55" s="69"/>
    </row>
    <row r="56" spans="2:15" ht="24.95" customHeight="1">
      <c r="B56" s="69"/>
      <c r="C56" s="673"/>
      <c r="D56" s="674"/>
      <c r="E56" s="674"/>
      <c r="F56" s="674"/>
      <c r="G56" s="674"/>
      <c r="H56" s="674"/>
      <c r="I56" s="674"/>
      <c r="J56" s="674"/>
      <c r="K56" s="674"/>
      <c r="L56" s="674"/>
      <c r="M56" s="674"/>
      <c r="N56" s="644"/>
      <c r="O56" s="69"/>
    </row>
    <row r="57" spans="2:15" ht="24.95" customHeight="1">
      <c r="B57" s="69"/>
      <c r="C57" s="110" t="s">
        <v>89</v>
      </c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69"/>
    </row>
    <row r="58" spans="2:15" s="108" customFormat="1" ht="24.95" customHeight="1">
      <c r="B58" s="109"/>
      <c r="C58" s="30" t="s">
        <v>77</v>
      </c>
      <c r="D58" s="112">
        <f t="shared" ref="D58:M58" si="43">D37/D11</f>
        <v>0.25750781805847411</v>
      </c>
      <c r="E58" s="112">
        <f t="shared" si="43"/>
        <v>0.30264024730147471</v>
      </c>
      <c r="F58" s="112">
        <f t="shared" si="43"/>
        <v>0.28297833040062997</v>
      </c>
      <c r="G58" s="112">
        <f t="shared" si="43"/>
        <v>0.27278890073582646</v>
      </c>
      <c r="H58" s="112">
        <f t="shared" si="43"/>
        <v>0.30480736877523551</v>
      </c>
      <c r="I58" s="112">
        <f t="shared" si="43"/>
        <v>0.27104959161352632</v>
      </c>
      <c r="J58" s="112">
        <f t="shared" ca="1" si="43"/>
        <v>0.18585707416760261</v>
      </c>
      <c r="K58" s="112">
        <f t="shared" ca="1" si="43"/>
        <v>0.18065321222623171</v>
      </c>
      <c r="L58" s="112">
        <f t="shared" ca="1" si="43"/>
        <v>0.18039259846716374</v>
      </c>
      <c r="M58" s="112">
        <f t="shared" ca="1" si="43"/>
        <v>0.18185105171046972</v>
      </c>
      <c r="N58" s="112">
        <f t="shared" ref="N58" ca="1" si="44">N37/N11</f>
        <v>0.18037316813080256</v>
      </c>
      <c r="O58" s="109"/>
    </row>
    <row r="59" spans="2:15" s="108" customFormat="1" ht="24.95" customHeight="1">
      <c r="B59" s="109"/>
      <c r="C59" s="30" t="s">
        <v>72</v>
      </c>
      <c r="D59" s="112"/>
      <c r="E59" s="112">
        <f>E37/BS!D61</f>
        <v>0.29087721007257317</v>
      </c>
      <c r="F59" s="112">
        <f>F37/BS!E61</f>
        <v>0.2383947583947584</v>
      </c>
      <c r="G59" s="112">
        <f>G37/BS!F61</f>
        <v>0.22253781268960038</v>
      </c>
      <c r="H59" s="112">
        <f>H37/BS!G61</f>
        <v>0.26154034926901798</v>
      </c>
      <c r="I59" s="112">
        <f>I37/BS!H61</f>
        <v>0.23793912247653751</v>
      </c>
      <c r="J59" s="112">
        <f ca="1">J37/BS!I61</f>
        <v>0.1669358187782983</v>
      </c>
      <c r="K59" s="112">
        <f ca="1">K37/BS!J61</f>
        <v>0.16363990151558838</v>
      </c>
      <c r="L59" s="112">
        <f ca="1">L37/BS!K61</f>
        <v>0.16125404163875087</v>
      </c>
      <c r="M59" s="112">
        <f ca="1">M37/BS!L61</f>
        <v>0.15934781888002506</v>
      </c>
      <c r="N59" s="112">
        <f ca="1">N37/BS!M61</f>
        <v>0.15479086816953694</v>
      </c>
      <c r="O59" s="109"/>
    </row>
    <row r="60" spans="2:15" s="108" customFormat="1" ht="24.95" customHeight="1">
      <c r="B60" s="109"/>
      <c r="C60" s="30" t="s">
        <v>90</v>
      </c>
      <c r="D60" s="112"/>
      <c r="E60" s="73">
        <f t="shared" ref="E60:N60" si="45">E11/D11-1</f>
        <v>0.30602114598672991</v>
      </c>
      <c r="F60" s="73">
        <f t="shared" si="45"/>
        <v>0.30318502001722991</v>
      </c>
      <c r="G60" s="73">
        <f t="shared" si="45"/>
        <v>0.47709088787999576</v>
      </c>
      <c r="H60" s="73">
        <f t="shared" si="45"/>
        <v>0.56484881991338565</v>
      </c>
      <c r="I60" s="73">
        <f t="shared" si="45"/>
        <v>0.31516655450874831</v>
      </c>
      <c r="J60" s="73">
        <f t="shared" ca="1" si="45"/>
        <v>0.2408092463535223</v>
      </c>
      <c r="K60" s="73">
        <f t="shared" ca="1" si="45"/>
        <v>0.21900864953475474</v>
      </c>
      <c r="L60" s="73">
        <f t="shared" ca="1" si="45"/>
        <v>0.18936712838453018</v>
      </c>
      <c r="M60" s="73">
        <f t="shared" ca="1" si="45"/>
        <v>0.17837319088731496</v>
      </c>
      <c r="N60" s="73">
        <f t="shared" ca="1" si="45"/>
        <v>0.17054266424638342</v>
      </c>
      <c r="O60" s="109"/>
    </row>
    <row r="61" spans="2:15" ht="24.95" customHeight="1">
      <c r="B61" s="69"/>
      <c r="C61" s="30" t="s">
        <v>73</v>
      </c>
      <c r="D61" s="73"/>
      <c r="E61" s="73">
        <f t="shared" ref="E61:N61" si="46">E39/D39-1</f>
        <v>0.53593084763256349</v>
      </c>
      <c r="F61" s="73">
        <f t="shared" si="46"/>
        <v>0.20982780344393115</v>
      </c>
      <c r="G61" s="73">
        <f t="shared" si="46"/>
        <v>0.42661251128237176</v>
      </c>
      <c r="H61" s="73">
        <f t="shared" si="46"/>
        <v>0.74011436914466477</v>
      </c>
      <c r="I61" s="73">
        <f t="shared" si="46"/>
        <v>0.10081107537407363</v>
      </c>
      <c r="J61" s="73">
        <f t="shared" ca="1" si="46"/>
        <v>-0.13316485219650587</v>
      </c>
      <c r="K61" s="73">
        <f t="shared" ca="1" si="46"/>
        <v>0.17865713573837549</v>
      </c>
      <c r="L61" s="73">
        <f t="shared" ca="1" si="46"/>
        <v>0.18236228043537639</v>
      </c>
      <c r="M61" s="73">
        <f t="shared" ca="1" si="46"/>
        <v>0.18347061659802932</v>
      </c>
      <c r="N61" s="73">
        <f t="shared" ca="1" si="46"/>
        <v>0.17574878899829893</v>
      </c>
      <c r="O61" s="69"/>
    </row>
    <row r="62" spans="2:15" ht="6" customHeight="1"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</row>
    <row r="64" spans="2:15">
      <c r="J64" s="70" t="s">
        <v>1</v>
      </c>
    </row>
    <row r="65" spans="3:3">
      <c r="C65" s="70" t="s">
        <v>0</v>
      </c>
    </row>
  </sheetData>
  <mergeCells count="7">
    <mergeCell ref="C18:M18"/>
    <mergeCell ref="C25:M25"/>
    <mergeCell ref="C56:M56"/>
    <mergeCell ref="C36:M36"/>
    <mergeCell ref="C32:M32"/>
    <mergeCell ref="C46:M46"/>
    <mergeCell ref="C51:M51"/>
  </mergeCells>
  <phoneticPr fontId="3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7" tint="0.39997558519241921"/>
    <outlinePr summaryBelow="0"/>
  </sheetPr>
  <dimension ref="B1:Q73"/>
  <sheetViews>
    <sheetView showGridLines="0" zoomScale="85" zoomScaleNormal="85" workbookViewId="0">
      <pane xSplit="3" ySplit="6" topLeftCell="D45" activePane="bottomRight" state="frozen"/>
      <selection pane="topRight" activeCell="D1" sqref="D1"/>
      <selection pane="bottomLeft" activeCell="A7" sqref="A7"/>
      <selection pane="bottomRight" activeCell="D49" sqref="D49"/>
    </sheetView>
  </sheetViews>
  <sheetFormatPr defaultColWidth="9" defaultRowHeight="16.5" outlineLevelRow="1"/>
  <cols>
    <col min="1" max="1" width="4.125" style="70" customWidth="1"/>
    <col min="2" max="2" width="1" style="70" customWidth="1"/>
    <col min="3" max="3" width="33.5" style="113" customWidth="1"/>
    <col min="4" max="13" width="15.625" style="70" customWidth="1"/>
    <col min="14" max="14" width="1" style="70" customWidth="1"/>
    <col min="15" max="16" width="13.375" style="70" customWidth="1"/>
    <col min="17" max="16384" width="9" style="70"/>
  </cols>
  <sheetData>
    <row r="1" spans="2:14" s="69" customFormat="1" ht="12" customHeight="1">
      <c r="C1" s="109"/>
    </row>
    <row r="2" spans="2:14" s="48" customFormat="1" ht="12" customHeight="1">
      <c r="C2" s="389"/>
      <c r="G2" s="94"/>
      <c r="H2" s="94"/>
    </row>
    <row r="3" spans="2:14" s="48" customFormat="1" ht="12" customHeight="1">
      <c r="C3" s="390"/>
      <c r="D3" s="96"/>
      <c r="E3" s="96"/>
      <c r="F3" s="96"/>
      <c r="G3" s="96"/>
      <c r="H3" s="96"/>
      <c r="I3" s="24"/>
      <c r="J3" s="24"/>
      <c r="K3" s="24"/>
      <c r="L3" s="45"/>
      <c r="M3" s="45"/>
      <c r="N3" s="24"/>
    </row>
    <row r="4" spans="2:14" s="18" customFormat="1" ht="23.1" customHeight="1">
      <c r="C4" s="391"/>
      <c r="D4" s="185"/>
      <c r="E4" s="185"/>
      <c r="F4" s="185"/>
      <c r="G4" s="185"/>
      <c r="H4" s="185"/>
      <c r="I4" s="16"/>
      <c r="J4" s="16"/>
      <c r="K4" s="16"/>
      <c r="L4" s="16"/>
      <c r="M4" s="16"/>
      <c r="N4" s="16"/>
    </row>
    <row r="5" spans="2:14" s="18" customFormat="1" ht="6" customHeight="1">
      <c r="B5" s="48"/>
      <c r="C5" s="390"/>
      <c r="D5" s="96"/>
      <c r="E5" s="96"/>
      <c r="F5" s="96"/>
      <c r="G5" s="96"/>
      <c r="H5" s="96"/>
      <c r="I5" s="24"/>
      <c r="J5" s="24"/>
      <c r="K5" s="24"/>
      <c r="L5" s="24"/>
      <c r="M5" s="24"/>
      <c r="N5" s="24"/>
    </row>
    <row r="6" spans="2:14" s="68" customFormat="1" ht="24.95" customHeight="1">
      <c r="B6" s="69"/>
      <c r="C6" s="392" t="s">
        <v>265</v>
      </c>
      <c r="D6" s="158">
        <v>2014</v>
      </c>
      <c r="E6" s="158">
        <v>2015</v>
      </c>
      <c r="F6" s="158">
        <v>2016</v>
      </c>
      <c r="G6" s="158">
        <v>2017</v>
      </c>
      <c r="H6" s="158">
        <v>2018</v>
      </c>
      <c r="I6" s="159" t="s">
        <v>38</v>
      </c>
      <c r="J6" s="159" t="s">
        <v>128</v>
      </c>
      <c r="K6" s="159" t="s">
        <v>151</v>
      </c>
      <c r="L6" s="159" t="s">
        <v>152</v>
      </c>
      <c r="M6" s="159" t="s">
        <v>1062</v>
      </c>
      <c r="N6" s="69"/>
    </row>
    <row r="7" spans="2:14" ht="24.95" customHeight="1">
      <c r="B7" s="69"/>
      <c r="C7" s="106" t="s">
        <v>169</v>
      </c>
      <c r="D7" s="83">
        <v>42713</v>
      </c>
      <c r="E7" s="83">
        <v>43438</v>
      </c>
      <c r="F7" s="83">
        <v>71902</v>
      </c>
      <c r="G7" s="83">
        <v>105697</v>
      </c>
      <c r="H7" s="83">
        <v>97814</v>
      </c>
      <c r="I7" s="83">
        <f ca="1">CS!K91</f>
        <v>188537.60676924424</v>
      </c>
      <c r="J7" s="83">
        <f ca="1">CS!L91</f>
        <v>245773.8608935714</v>
      </c>
      <c r="K7" s="83">
        <f ca="1">CS!M91</f>
        <v>303383.2470983605</v>
      </c>
      <c r="L7" s="83">
        <f ca="1">CS!N91</f>
        <v>362095.874861055</v>
      </c>
      <c r="M7" s="83">
        <f ca="1">CS!O91</f>
        <v>416974.17003481911</v>
      </c>
      <c r="N7" s="99"/>
    </row>
    <row r="8" spans="2:14" ht="24.95" customHeight="1">
      <c r="B8" s="69"/>
      <c r="C8" s="106" t="s">
        <v>170</v>
      </c>
      <c r="D8" s="83">
        <v>10798</v>
      </c>
      <c r="E8" s="83">
        <v>37331</v>
      </c>
      <c r="F8" s="83">
        <v>50320</v>
      </c>
      <c r="G8" s="83">
        <v>36724</v>
      </c>
      <c r="H8" s="83">
        <v>62918</v>
      </c>
      <c r="I8" s="204">
        <f t="shared" ref="I8:M8" si="0">H8</f>
        <v>62918</v>
      </c>
      <c r="J8" s="204">
        <f t="shared" si="0"/>
        <v>62918</v>
      </c>
      <c r="K8" s="204">
        <f t="shared" si="0"/>
        <v>62918</v>
      </c>
      <c r="L8" s="204">
        <f t="shared" si="0"/>
        <v>62918</v>
      </c>
      <c r="M8" s="204">
        <f t="shared" si="0"/>
        <v>62918</v>
      </c>
      <c r="N8" s="99"/>
    </row>
    <row r="9" spans="2:14" ht="24.95" customHeight="1">
      <c r="B9" s="69"/>
      <c r="C9" s="106" t="s">
        <v>823</v>
      </c>
      <c r="D9" s="83">
        <v>9174</v>
      </c>
      <c r="E9" s="83">
        <v>54731</v>
      </c>
      <c r="F9" s="83">
        <v>750</v>
      </c>
      <c r="G9" s="83">
        <v>1606</v>
      </c>
      <c r="H9" s="83">
        <v>2590</v>
      </c>
      <c r="I9" s="204">
        <f t="shared" ref="I9:M10" si="1">H9</f>
        <v>2590</v>
      </c>
      <c r="J9" s="204">
        <f t="shared" si="1"/>
        <v>2590</v>
      </c>
      <c r="K9" s="204">
        <f t="shared" si="1"/>
        <v>2590</v>
      </c>
      <c r="L9" s="204">
        <f t="shared" si="1"/>
        <v>2590</v>
      </c>
      <c r="M9" s="204">
        <f t="shared" si="1"/>
        <v>2590</v>
      </c>
      <c r="N9" s="99"/>
    </row>
    <row r="10" spans="2:14" ht="24.95" customHeight="1">
      <c r="B10" s="69"/>
      <c r="C10" s="106" t="s">
        <v>1083</v>
      </c>
      <c r="D10" s="83"/>
      <c r="E10" s="83"/>
      <c r="F10" s="83"/>
      <c r="G10" s="83"/>
      <c r="H10" s="83">
        <v>6175</v>
      </c>
      <c r="I10" s="204">
        <f>H10</f>
        <v>6175</v>
      </c>
      <c r="J10" s="204">
        <f t="shared" si="1"/>
        <v>6175</v>
      </c>
      <c r="K10" s="204">
        <f t="shared" si="1"/>
        <v>6175</v>
      </c>
      <c r="L10" s="204">
        <f t="shared" si="1"/>
        <v>6175</v>
      </c>
      <c r="M10" s="204">
        <f t="shared" si="1"/>
        <v>6175</v>
      </c>
      <c r="N10" s="99"/>
    </row>
    <row r="11" spans="2:14" ht="24.95" customHeight="1">
      <c r="B11" s="69"/>
      <c r="C11" s="106" t="s">
        <v>224</v>
      </c>
      <c r="D11" s="83">
        <v>244</v>
      </c>
      <c r="E11" s="83">
        <v>222</v>
      </c>
      <c r="F11" s="83">
        <v>263</v>
      </c>
      <c r="G11" s="83">
        <v>295</v>
      </c>
      <c r="H11" s="83">
        <v>324</v>
      </c>
      <c r="I11" s="204">
        <f ca="1">H11*IS!J13/IS!I13</f>
        <v>441.8465150196588</v>
      </c>
      <c r="J11" s="204">
        <f ca="1">I11*IS!K13/IS!J13</f>
        <v>547.35976199072343</v>
      </c>
      <c r="K11" s="204">
        <f ca="1">J11*IS!L13/IS!K13</f>
        <v>654.82803588946763</v>
      </c>
      <c r="L11" s="204">
        <f ca="1">K11*IS!M13/IS!L13</f>
        <v>773.72242862429459</v>
      </c>
      <c r="M11" s="204">
        <f ca="1">L11*IS!N13/IS!M13</f>
        <v>908.43181045552831</v>
      </c>
      <c r="N11" s="99"/>
    </row>
    <row r="12" spans="2:14" ht="24.95" customHeight="1">
      <c r="B12" s="69"/>
      <c r="C12" s="106" t="s">
        <v>824</v>
      </c>
      <c r="D12" s="83">
        <v>4588</v>
      </c>
      <c r="E12" s="83">
        <v>7061</v>
      </c>
      <c r="F12" s="83">
        <v>10152</v>
      </c>
      <c r="G12" s="83">
        <v>16549</v>
      </c>
      <c r="H12" s="83">
        <v>28427</v>
      </c>
      <c r="I12" s="83">
        <f ca="1">IS!J11/资产负债假设!J8</f>
        <v>38799.360647926827</v>
      </c>
      <c r="J12" s="83">
        <f ca="1">IS!K11/资产负债假设!K8</f>
        <v>47296.756226241196</v>
      </c>
      <c r="K12" s="83">
        <f ca="1">IS!L11/资产负债假设!L8</f>
        <v>56253.207134707634</v>
      </c>
      <c r="L12" s="83">
        <f ca="1">IS!M11/资产负债假设!M8</f>
        <v>66287.27118897051</v>
      </c>
      <c r="M12" s="83">
        <f ca="1">IS!N11/资产负债假设!N8</f>
        <v>77592.079023160069</v>
      </c>
      <c r="N12" s="99"/>
    </row>
    <row r="13" spans="2:14" ht="24.95" customHeight="1">
      <c r="B13" s="69"/>
      <c r="C13" s="106" t="s">
        <v>825</v>
      </c>
      <c r="D13" s="83">
        <v>7804</v>
      </c>
      <c r="E13" s="83">
        <v>11397</v>
      </c>
      <c r="F13" s="83">
        <v>14118</v>
      </c>
      <c r="G13" s="83">
        <v>17110</v>
      </c>
      <c r="H13" s="83">
        <v>18493</v>
      </c>
      <c r="I13" s="83">
        <f ca="1">-IS!J13/资产负债假设!J9</f>
        <v>23258.295836452096</v>
      </c>
      <c r="J13" s="83">
        <f ca="1">-IS!K13/资产负债假设!K9</f>
        <v>28812.392630920349</v>
      </c>
      <c r="K13" s="83">
        <f ca="1">-IS!L13/资产负债假设!L9</f>
        <v>34469.399809665774</v>
      </c>
      <c r="L13" s="83">
        <f ca="1">-IS!M13/资产负债假设!M9</f>
        <v>40727.864832070431</v>
      </c>
      <c r="M13" s="83">
        <f ca="1">-IS!N13/资产负债假设!N9</f>
        <v>47818.81281530171</v>
      </c>
      <c r="N13" s="99"/>
    </row>
    <row r="14" spans="2:14" ht="24.95" customHeight="1">
      <c r="B14" s="69"/>
      <c r="C14" s="106" t="s">
        <v>826</v>
      </c>
      <c r="D14" s="83"/>
      <c r="E14" s="83">
        <v>1198</v>
      </c>
      <c r="F14" s="83">
        <v>1649</v>
      </c>
      <c r="G14" s="83">
        <v>465</v>
      </c>
      <c r="H14" s="83">
        <v>339</v>
      </c>
      <c r="I14" s="204">
        <f t="shared" ref="I14:M14" si="2">H14</f>
        <v>339</v>
      </c>
      <c r="J14" s="204">
        <f t="shared" si="2"/>
        <v>339</v>
      </c>
      <c r="K14" s="204">
        <f t="shared" si="2"/>
        <v>339</v>
      </c>
      <c r="L14" s="204">
        <f t="shared" si="2"/>
        <v>339</v>
      </c>
      <c r="M14" s="204">
        <f t="shared" si="2"/>
        <v>339</v>
      </c>
      <c r="N14" s="99"/>
    </row>
    <row r="15" spans="2:14" ht="24.95" customHeight="1">
      <c r="B15" s="69"/>
      <c r="C15" s="107" t="s">
        <v>171</v>
      </c>
      <c r="D15" s="202">
        <f t="shared" ref="D15:M15" si="3">SUM(D7:D14)</f>
        <v>75321</v>
      </c>
      <c r="E15" s="202">
        <f t="shared" si="3"/>
        <v>155378</v>
      </c>
      <c r="F15" s="202">
        <f t="shared" si="3"/>
        <v>149154</v>
      </c>
      <c r="G15" s="202">
        <f t="shared" si="3"/>
        <v>178446</v>
      </c>
      <c r="H15" s="202">
        <f t="shared" si="3"/>
        <v>217080</v>
      </c>
      <c r="I15" s="202">
        <f t="shared" ca="1" si="3"/>
        <v>323059.10976864281</v>
      </c>
      <c r="J15" s="202">
        <f t="shared" ca="1" si="3"/>
        <v>394452.36951272364</v>
      </c>
      <c r="K15" s="202">
        <f t="shared" ca="1" si="3"/>
        <v>466782.68207862345</v>
      </c>
      <c r="L15" s="202">
        <f t="shared" ca="1" si="3"/>
        <v>541906.73331072018</v>
      </c>
      <c r="M15" s="202">
        <f t="shared" ca="1" si="3"/>
        <v>615315.49368373642</v>
      </c>
      <c r="N15" s="99" t="s">
        <v>7</v>
      </c>
    </row>
    <row r="16" spans="2:14" ht="24.95" customHeight="1">
      <c r="B16" s="69"/>
      <c r="C16" s="106" t="s">
        <v>241</v>
      </c>
      <c r="D16" s="83">
        <v>7918</v>
      </c>
      <c r="E16" s="83">
        <v>9973</v>
      </c>
      <c r="F16" s="83">
        <v>13900</v>
      </c>
      <c r="G16" s="83">
        <v>23597</v>
      </c>
      <c r="H16" s="83">
        <v>35091</v>
      </c>
      <c r="I16" s="83">
        <f ca="1">资本开支假设!H22</f>
        <v>46917.377486299738</v>
      </c>
      <c r="J16" s="83">
        <f ca="1">资本开支假设!I22</f>
        <v>60749.785427719646</v>
      </c>
      <c r="K16" s="83">
        <f ca="1">资本开支假设!J22</f>
        <v>75964.647015773022</v>
      </c>
      <c r="L16" s="83">
        <f ca="1">资本开支假设!K22</f>
        <v>92798.749885298501</v>
      </c>
      <c r="M16" s="83">
        <f ca="1">资本开支假设!L22</f>
        <v>111534.06311366067</v>
      </c>
      <c r="N16" s="99"/>
    </row>
    <row r="17" spans="2:14" ht="24.95" customHeight="1">
      <c r="B17" s="69"/>
      <c r="C17" s="106" t="s">
        <v>266</v>
      </c>
      <c r="D17" s="83">
        <v>3830</v>
      </c>
      <c r="E17" s="83">
        <v>4248</v>
      </c>
      <c r="F17" s="83">
        <v>4674</v>
      </c>
      <c r="G17" s="83">
        <v>3163</v>
      </c>
      <c r="H17" s="83">
        <v>4879</v>
      </c>
      <c r="I17" s="83">
        <f ca="1">资本开支假设!H23</f>
        <v>7121.6474513634539</v>
      </c>
      <c r="J17" s="83">
        <f ca="1">资本开支假设!I23</f>
        <v>8681.3498421491913</v>
      </c>
      <c r="K17" s="83">
        <f ca="1">资本开支假设!J23</f>
        <v>10325.312132258479</v>
      </c>
      <c r="L17" s="83">
        <f ca="1">资本开支假设!K23</f>
        <v>12167.071004196931</v>
      </c>
      <c r="M17" s="83">
        <f ca="1">资本开支假设!L23</f>
        <v>14242.075709327595</v>
      </c>
      <c r="N17" s="99"/>
    </row>
    <row r="18" spans="2:14" ht="24.95" customHeight="1">
      <c r="B18" s="69"/>
      <c r="C18" s="106" t="s">
        <v>827</v>
      </c>
      <c r="D18" s="83">
        <v>268</v>
      </c>
      <c r="E18" s="83">
        <v>292</v>
      </c>
      <c r="F18" s="83">
        <v>854</v>
      </c>
      <c r="G18" s="83">
        <v>800</v>
      </c>
      <c r="H18" s="83">
        <v>725</v>
      </c>
      <c r="I18" s="204">
        <f t="shared" ref="I18:M18" si="4">H18</f>
        <v>725</v>
      </c>
      <c r="J18" s="204">
        <f t="shared" si="4"/>
        <v>725</v>
      </c>
      <c r="K18" s="204">
        <f t="shared" si="4"/>
        <v>725</v>
      </c>
      <c r="L18" s="204">
        <f t="shared" si="4"/>
        <v>725</v>
      </c>
      <c r="M18" s="204">
        <f t="shared" si="4"/>
        <v>725</v>
      </c>
      <c r="N18" s="99"/>
    </row>
    <row r="19" spans="2:14" ht="24.95" customHeight="1">
      <c r="B19" s="69"/>
      <c r="C19" s="106" t="s">
        <v>828</v>
      </c>
      <c r="D19" s="83">
        <v>751</v>
      </c>
      <c r="E19" s="83">
        <v>2293</v>
      </c>
      <c r="F19" s="83">
        <v>5174</v>
      </c>
      <c r="G19" s="83">
        <v>5111</v>
      </c>
      <c r="H19" s="83">
        <v>7106</v>
      </c>
      <c r="I19" s="83">
        <f ca="1">资本开支假设!H48</f>
        <v>7046.7560057741039</v>
      </c>
      <c r="J19" s="83">
        <f ca="1">资本开支假设!I48</f>
        <v>8364.2373443108008</v>
      </c>
      <c r="K19" s="83">
        <f ca="1">资本开支假设!J48</f>
        <v>9931.6299058939785</v>
      </c>
      <c r="L19" s="83">
        <f ca="1">资本开支假设!K48</f>
        <v>11776.717358631298</v>
      </c>
      <c r="M19" s="83">
        <f ca="1">资本开支假设!L48</f>
        <v>13932.687920619086</v>
      </c>
      <c r="N19" s="99"/>
    </row>
    <row r="20" spans="2:14" ht="24.95" customHeight="1">
      <c r="B20" s="69"/>
      <c r="C20" s="106" t="s">
        <v>201</v>
      </c>
      <c r="D20" s="83">
        <v>9304</v>
      </c>
      <c r="E20" s="83">
        <v>13439</v>
      </c>
      <c r="F20" s="83">
        <v>36467</v>
      </c>
      <c r="G20" s="83">
        <v>40266</v>
      </c>
      <c r="H20" s="83">
        <v>56650</v>
      </c>
      <c r="I20" s="83">
        <f ca="1">资本开支假设!H35</f>
        <v>52293.782852536569</v>
      </c>
      <c r="J20" s="83">
        <f ca="1">资本开支假设!I35</f>
        <v>59952.072258687593</v>
      </c>
      <c r="K20" s="83">
        <f ca="1">资本开支假设!J35</f>
        <v>67803.683070137427</v>
      </c>
      <c r="L20" s="83">
        <f ca="1">资本开支假设!K35</f>
        <v>76243.201648070812</v>
      </c>
      <c r="M20" s="83">
        <f ca="1">资本开支假设!L35</f>
        <v>85448.297105687801</v>
      </c>
      <c r="N20" s="99"/>
    </row>
    <row r="21" spans="2:14" ht="24.95" customHeight="1">
      <c r="B21" s="69"/>
      <c r="C21" s="106" t="s">
        <v>1085</v>
      </c>
      <c r="D21" s="83"/>
      <c r="E21" s="83"/>
      <c r="F21" s="83"/>
      <c r="G21" s="83"/>
      <c r="H21" s="83">
        <v>91702</v>
      </c>
      <c r="I21" s="204">
        <f>H21</f>
        <v>91702</v>
      </c>
      <c r="J21" s="204">
        <f t="shared" ref="J21:M22" si="5">I21</f>
        <v>91702</v>
      </c>
      <c r="K21" s="204">
        <f t="shared" si="5"/>
        <v>91702</v>
      </c>
      <c r="L21" s="204">
        <f t="shared" si="5"/>
        <v>91702</v>
      </c>
      <c r="M21" s="204">
        <f t="shared" si="5"/>
        <v>91702</v>
      </c>
      <c r="N21" s="99"/>
    </row>
    <row r="22" spans="2:14" ht="24.95" customHeight="1">
      <c r="B22" s="69"/>
      <c r="C22" s="106" t="s">
        <v>1086</v>
      </c>
      <c r="D22" s="83"/>
      <c r="E22" s="83"/>
      <c r="F22" s="83"/>
      <c r="G22" s="83"/>
      <c r="H22" s="83">
        <v>43519</v>
      </c>
      <c r="I22" s="204">
        <f>H22</f>
        <v>43519</v>
      </c>
      <c r="J22" s="204">
        <f t="shared" si="5"/>
        <v>43519</v>
      </c>
      <c r="K22" s="204">
        <f t="shared" si="5"/>
        <v>43519</v>
      </c>
      <c r="L22" s="204">
        <f t="shared" si="5"/>
        <v>43519</v>
      </c>
      <c r="M22" s="204">
        <f t="shared" si="5"/>
        <v>43519</v>
      </c>
      <c r="N22" s="99"/>
    </row>
    <row r="23" spans="2:14" ht="24.95" customHeight="1">
      <c r="B23" s="69"/>
      <c r="C23" s="106" t="s">
        <v>829</v>
      </c>
      <c r="D23" s="83">
        <v>51131</v>
      </c>
      <c r="E23" s="83">
        <v>60171</v>
      </c>
      <c r="F23" s="83">
        <v>70042</v>
      </c>
      <c r="G23" s="83">
        <v>113779</v>
      </c>
      <c r="H23" s="83">
        <v>219215</v>
      </c>
      <c r="I23" s="204">
        <f t="shared" ref="I23:M23" si="6">H23*1.3</f>
        <v>284979.5</v>
      </c>
      <c r="J23" s="204">
        <f t="shared" si="6"/>
        <v>370473.35000000003</v>
      </c>
      <c r="K23" s="204">
        <f t="shared" si="6"/>
        <v>481615.35500000004</v>
      </c>
      <c r="L23" s="204">
        <f t="shared" si="6"/>
        <v>626099.96150000009</v>
      </c>
      <c r="M23" s="204">
        <f t="shared" si="6"/>
        <v>813929.94995000015</v>
      </c>
      <c r="N23" s="99"/>
    </row>
    <row r="24" spans="2:14" ht="24.95" customHeight="1">
      <c r="B24" s="69"/>
      <c r="C24" s="106" t="s">
        <v>830</v>
      </c>
      <c r="D24" s="83">
        <v>2941</v>
      </c>
      <c r="E24" s="83">
        <v>6230</v>
      </c>
      <c r="F24" s="83">
        <v>9627</v>
      </c>
      <c r="G24" s="83">
        <v>22976</v>
      </c>
      <c r="H24" s="83"/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99"/>
    </row>
    <row r="25" spans="2:14" ht="24.95" customHeight="1">
      <c r="B25" s="69"/>
      <c r="C25" s="106" t="s">
        <v>831</v>
      </c>
      <c r="D25" s="83">
        <v>63</v>
      </c>
      <c r="E25" s="83">
        <v>544</v>
      </c>
      <c r="F25" s="83">
        <v>630</v>
      </c>
      <c r="G25" s="83">
        <v>7826</v>
      </c>
      <c r="H25" s="83">
        <v>8575</v>
      </c>
      <c r="I25" s="204">
        <f t="shared" ref="I25:M25" si="7">H25*1.2</f>
        <v>10290</v>
      </c>
      <c r="J25" s="204">
        <f t="shared" si="7"/>
        <v>12348</v>
      </c>
      <c r="K25" s="204">
        <f t="shared" si="7"/>
        <v>14817.599999999999</v>
      </c>
      <c r="L25" s="204">
        <f t="shared" si="7"/>
        <v>17781.12</v>
      </c>
      <c r="M25" s="204">
        <f t="shared" si="7"/>
        <v>21337.343999999997</v>
      </c>
      <c r="N25" s="99"/>
    </row>
    <row r="26" spans="2:14" ht="24.95" customHeight="1">
      <c r="B26" s="69"/>
      <c r="C26" s="106" t="s">
        <v>832</v>
      </c>
      <c r="D26" s="83">
        <v>13277</v>
      </c>
      <c r="E26" s="83">
        <v>44339</v>
      </c>
      <c r="F26" s="83">
        <v>83806</v>
      </c>
      <c r="G26" s="83">
        <v>127218</v>
      </c>
      <c r="H26" s="83"/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99"/>
    </row>
    <row r="27" spans="2:14" ht="24.95" customHeight="1">
      <c r="B27" s="69"/>
      <c r="C27" s="106" t="s">
        <v>803</v>
      </c>
      <c r="D27" s="83"/>
      <c r="E27" s="83"/>
      <c r="F27" s="83"/>
      <c r="G27" s="83"/>
      <c r="H27" s="83"/>
      <c r="I27" s="204">
        <f>H27*1.1</f>
        <v>0</v>
      </c>
      <c r="J27" s="204">
        <f t="shared" ref="J27:M27" si="8">I27*1.1</f>
        <v>0</v>
      </c>
      <c r="K27" s="204">
        <f t="shared" si="8"/>
        <v>0</v>
      </c>
      <c r="L27" s="204">
        <f t="shared" si="8"/>
        <v>0</v>
      </c>
      <c r="M27" s="204">
        <f t="shared" si="8"/>
        <v>0</v>
      </c>
      <c r="N27" s="99"/>
    </row>
    <row r="28" spans="2:14" ht="24.95" customHeight="1">
      <c r="B28" s="69"/>
      <c r="C28" s="106" t="s">
        <v>804</v>
      </c>
      <c r="D28" s="83"/>
      <c r="E28" s="83"/>
      <c r="F28" s="83"/>
      <c r="G28" s="83"/>
      <c r="H28" s="83"/>
      <c r="I28" s="204">
        <f>H28*1.1</f>
        <v>0</v>
      </c>
      <c r="J28" s="204">
        <f t="shared" ref="J28:M28" si="9">I28*1.1</f>
        <v>0</v>
      </c>
      <c r="K28" s="204">
        <f t="shared" si="9"/>
        <v>0</v>
      </c>
      <c r="L28" s="204">
        <f t="shared" si="9"/>
        <v>0</v>
      </c>
      <c r="M28" s="204">
        <f t="shared" si="9"/>
        <v>0</v>
      </c>
      <c r="N28" s="99"/>
    </row>
    <row r="29" spans="2:14" ht="24.95" customHeight="1">
      <c r="B29" s="69"/>
      <c r="C29" s="106" t="s">
        <v>833</v>
      </c>
      <c r="D29" s="83">
        <v>1209</v>
      </c>
      <c r="E29" s="83">
        <v>5480</v>
      </c>
      <c r="F29" s="83">
        <v>7363</v>
      </c>
      <c r="G29" s="83">
        <v>11173</v>
      </c>
      <c r="H29" s="83">
        <v>21531</v>
      </c>
      <c r="I29" s="204">
        <f ca="1">H29*(1+IS!J12)</f>
        <v>26715.863883237689</v>
      </c>
      <c r="J29" s="204">
        <f ca="1">I29*(1+IS!K12)</f>
        <v>32566.869153459906</v>
      </c>
      <c r="K29" s="204">
        <f ca="1">J29*(1+IS!L12)</f>
        <v>38733.963645525342</v>
      </c>
      <c r="L29" s="204">
        <f ca="1">K29*(1+IS!M12)</f>
        <v>45643.06433669095</v>
      </c>
      <c r="M29" s="204">
        <f ca="1">L29*(1+IS!N12)</f>
        <v>53427.154133039308</v>
      </c>
      <c r="N29" s="99"/>
    </row>
    <row r="30" spans="2:14" ht="24.95" customHeight="1">
      <c r="B30" s="69"/>
      <c r="C30" s="106" t="s">
        <v>834</v>
      </c>
      <c r="D30" s="83"/>
      <c r="E30" s="83"/>
      <c r="F30" s="83">
        <v>1760</v>
      </c>
      <c r="G30" s="83">
        <v>5159</v>
      </c>
      <c r="H30" s="83">
        <v>1693</v>
      </c>
      <c r="I30" s="204">
        <v>3000</v>
      </c>
      <c r="J30" s="204">
        <v>3000</v>
      </c>
      <c r="K30" s="204">
        <v>3000</v>
      </c>
      <c r="L30" s="204">
        <v>3000</v>
      </c>
      <c r="M30" s="204">
        <v>3001</v>
      </c>
      <c r="N30" s="99"/>
    </row>
    <row r="31" spans="2:14" ht="24.95" customHeight="1">
      <c r="B31" s="69"/>
      <c r="C31" s="106" t="s">
        <v>242</v>
      </c>
      <c r="D31" s="83">
        <v>322</v>
      </c>
      <c r="E31" s="83">
        <v>757</v>
      </c>
      <c r="F31" s="83">
        <v>7033</v>
      </c>
      <c r="G31" s="83">
        <v>9793</v>
      </c>
      <c r="H31" s="83">
        <v>15755</v>
      </c>
      <c r="I31" s="204">
        <f ca="1">H31*(IS!J35/IS!I35)</f>
        <v>15636.93231198654</v>
      </c>
      <c r="J31" s="204">
        <f ca="1">I31*(IS!K35/IS!J35)</f>
        <v>18448.024606309278</v>
      </c>
      <c r="K31" s="204">
        <f ca="1">J31*(IS!L35/IS!K35)</f>
        <v>21815.939585160439</v>
      </c>
      <c r="L31" s="204">
        <f ca="1">K31*(IS!M35/IS!L35)</f>
        <v>25815.328781277858</v>
      </c>
      <c r="M31" s="204">
        <f ca="1">L31*(IS!N35/IS!M35)</f>
        <v>30348.496737520174</v>
      </c>
      <c r="N31" s="99"/>
    </row>
    <row r="32" spans="2:14" ht="24.95" customHeight="1">
      <c r="B32" s="69"/>
      <c r="C32" s="106" t="s">
        <v>225</v>
      </c>
      <c r="D32" s="83">
        <v>4831</v>
      </c>
      <c r="E32" s="83">
        <v>3674</v>
      </c>
      <c r="F32" s="83">
        <v>5415</v>
      </c>
      <c r="G32" s="83">
        <v>5365</v>
      </c>
      <c r="H32" s="83"/>
      <c r="I32" s="204">
        <v>0</v>
      </c>
      <c r="J32" s="204">
        <v>0</v>
      </c>
      <c r="K32" s="204">
        <v>0</v>
      </c>
      <c r="L32" s="204">
        <v>0</v>
      </c>
      <c r="M32" s="204">
        <v>0</v>
      </c>
      <c r="N32" s="99"/>
    </row>
    <row r="33" spans="2:17" ht="24.95" customHeight="1">
      <c r="B33" s="69"/>
      <c r="C33" s="107" t="s">
        <v>172</v>
      </c>
      <c r="D33" s="202">
        <f t="shared" ref="D33:L33" si="10">SUM(D16:D32)</f>
        <v>95845</v>
      </c>
      <c r="E33" s="202">
        <f t="shared" si="10"/>
        <v>151440</v>
      </c>
      <c r="F33" s="202">
        <f t="shared" si="10"/>
        <v>246745</v>
      </c>
      <c r="G33" s="202">
        <f t="shared" si="10"/>
        <v>376226</v>
      </c>
      <c r="H33" s="202">
        <f t="shared" si="10"/>
        <v>506441</v>
      </c>
      <c r="I33" s="202">
        <f t="shared" ca="1" si="10"/>
        <v>589947.85999119817</v>
      </c>
      <c r="J33" s="202">
        <f t="shared" ca="1" si="10"/>
        <v>710529.68863263645</v>
      </c>
      <c r="K33" s="202">
        <f t="shared" ca="1" si="10"/>
        <v>859954.13035474881</v>
      </c>
      <c r="L33" s="202">
        <f t="shared" ca="1" si="10"/>
        <v>1047271.2145141665</v>
      </c>
      <c r="M33" s="202">
        <f t="shared" ref="M33" ca="1" si="11">SUM(M16:M32)</f>
        <v>1283147.0686698549</v>
      </c>
      <c r="N33" s="99" t="s">
        <v>5</v>
      </c>
    </row>
    <row r="34" spans="2:17" ht="24.95" customHeight="1">
      <c r="B34" s="69"/>
      <c r="C34" s="107" t="s">
        <v>173</v>
      </c>
      <c r="D34" s="202">
        <f t="shared" ref="D34:L34" si="12">D33+D15</f>
        <v>171166</v>
      </c>
      <c r="E34" s="202">
        <f t="shared" si="12"/>
        <v>306818</v>
      </c>
      <c r="F34" s="202">
        <f t="shared" si="12"/>
        <v>395899</v>
      </c>
      <c r="G34" s="202">
        <f t="shared" si="12"/>
        <v>554672</v>
      </c>
      <c r="H34" s="202">
        <f t="shared" si="12"/>
        <v>723521</v>
      </c>
      <c r="I34" s="202">
        <f t="shared" ca="1" si="12"/>
        <v>913006.96975984098</v>
      </c>
      <c r="J34" s="202">
        <f t="shared" ca="1" si="12"/>
        <v>1104982.0581453601</v>
      </c>
      <c r="K34" s="202">
        <f t="shared" ca="1" si="12"/>
        <v>1326736.8124333723</v>
      </c>
      <c r="L34" s="202">
        <f t="shared" ca="1" si="12"/>
        <v>1589177.9478248865</v>
      </c>
      <c r="M34" s="202">
        <f t="shared" ref="M34" ca="1" si="13">M33+M15</f>
        <v>1898462.5623535914</v>
      </c>
      <c r="N34" s="99"/>
    </row>
    <row r="35" spans="2:17" ht="24.95" customHeight="1">
      <c r="B35" s="69"/>
      <c r="C35" s="106" t="s">
        <v>174</v>
      </c>
      <c r="D35" s="83">
        <v>3215</v>
      </c>
      <c r="E35" s="83">
        <v>11429</v>
      </c>
      <c r="F35" s="83">
        <v>12278</v>
      </c>
      <c r="G35" s="83">
        <v>15696</v>
      </c>
      <c r="H35" s="83">
        <v>26834</v>
      </c>
      <c r="I35" s="83">
        <f ca="1">CS!K104</f>
        <v>31028.828242189462</v>
      </c>
      <c r="J35" s="83">
        <f ca="1">CS!L104</f>
        <v>38054.574428580774</v>
      </c>
      <c r="K35" s="83">
        <f ca="1">CS!M104</f>
        <v>45361.303472186701</v>
      </c>
      <c r="L35" s="83">
        <f ca="1">CS!N104</f>
        <v>53507.568010520466</v>
      </c>
      <c r="M35" s="83">
        <f ca="1">CS!O104</f>
        <v>62705.445919230886</v>
      </c>
      <c r="N35" s="99" t="s">
        <v>7</v>
      </c>
      <c r="O35" s="191"/>
      <c r="P35" s="191"/>
      <c r="Q35" s="254"/>
    </row>
    <row r="36" spans="2:17" ht="24.95" customHeight="1">
      <c r="B36" s="69"/>
      <c r="C36" s="106" t="s">
        <v>835</v>
      </c>
      <c r="D36" s="83">
        <v>8683</v>
      </c>
      <c r="E36" s="83">
        <v>15700</v>
      </c>
      <c r="F36" s="83">
        <v>27413</v>
      </c>
      <c r="G36" s="83">
        <v>50085</v>
      </c>
      <c r="H36" s="83">
        <v>73735</v>
      </c>
      <c r="I36" s="83">
        <f ca="1">-IS!J13/资产负债假设!J14</f>
        <v>101123.0253758787</v>
      </c>
      <c r="J36" s="83">
        <f ca="1">-IS!K13/资产负债假设!K14</f>
        <v>125271.27230834936</v>
      </c>
      <c r="K36" s="83">
        <f ca="1">-IS!L13/资产负债假设!L14</f>
        <v>149866.95569419902</v>
      </c>
      <c r="L36" s="83">
        <f ca="1">-IS!M13/资产负债假设!M14</f>
        <v>177077.67318291494</v>
      </c>
      <c r="M36" s="83">
        <f ca="1">-IS!N13/资产负债假设!N14</f>
        <v>207907.88180565962</v>
      </c>
      <c r="N36" s="99"/>
    </row>
    <row r="37" spans="2:17" ht="24.95" customHeight="1">
      <c r="B37" s="69"/>
      <c r="C37" s="106" t="s">
        <v>836</v>
      </c>
      <c r="D37" s="83">
        <v>19123</v>
      </c>
      <c r="E37" s="83">
        <v>70199</v>
      </c>
      <c r="F37" s="83">
        <v>20873</v>
      </c>
      <c r="G37" s="83">
        <v>29433</v>
      </c>
      <c r="H37" s="83">
        <v>33312</v>
      </c>
      <c r="I37" s="83">
        <f ca="1">-(IS!J13+IS!J22+IS!J23)/资产负债假设!J15</f>
        <v>41541.110746859791</v>
      </c>
      <c r="J37" s="83">
        <f ca="1">-(IS!K13+IS!K22+IS!K23)/资产负债假设!K15</f>
        <v>50846.627403744387</v>
      </c>
      <c r="K37" s="83">
        <f ca="1">-(IS!L13+IS!L22+IS!L23)/资产负债假设!L15</f>
        <v>60308.57265665946</v>
      </c>
      <c r="L37" s="83">
        <f ca="1">-(IS!M13+IS!M22+IS!M23)/资产负债假设!M15</f>
        <v>70691.914009369153</v>
      </c>
      <c r="M37" s="83">
        <f ca="1">-(IS!N13+IS!N22+IS!N23)/资产负债假设!N15</f>
        <v>82329.275541581257</v>
      </c>
      <c r="N37" s="99"/>
    </row>
    <row r="38" spans="2:17" ht="24.95" customHeight="1">
      <c r="B38" s="69"/>
      <c r="C38" s="106" t="s">
        <v>837</v>
      </c>
      <c r="D38" s="83">
        <v>1834</v>
      </c>
      <c r="E38" s="83">
        <v>3886</v>
      </c>
      <c r="F38" s="83">
        <v>3466</v>
      </c>
      <c r="G38" s="83">
        <v>4752</v>
      </c>
      <c r="H38" s="83">
        <v>13720</v>
      </c>
      <c r="I38" s="204">
        <f>H38*1.1</f>
        <v>15092.000000000002</v>
      </c>
      <c r="J38" s="204">
        <f t="shared" ref="J38:M38" si="14">I38*1.1</f>
        <v>16601.200000000004</v>
      </c>
      <c r="K38" s="204">
        <f t="shared" si="14"/>
        <v>18261.320000000007</v>
      </c>
      <c r="L38" s="204">
        <f t="shared" si="14"/>
        <v>20087.452000000008</v>
      </c>
      <c r="M38" s="204">
        <f t="shared" si="14"/>
        <v>22096.19720000001</v>
      </c>
      <c r="N38" s="99"/>
    </row>
    <row r="39" spans="2:17" ht="24.95" customHeight="1">
      <c r="B39" s="69"/>
      <c r="C39" s="106" t="s">
        <v>838</v>
      </c>
      <c r="D39" s="83">
        <v>461</v>
      </c>
      <c r="E39" s="83">
        <v>1608</v>
      </c>
      <c r="F39" s="83">
        <v>5219</v>
      </c>
      <c r="G39" s="83">
        <v>8708</v>
      </c>
      <c r="H39" s="83">
        <v>10210</v>
      </c>
      <c r="I39" s="204">
        <f ca="1">H39*(IS!J35/IS!I35)</f>
        <v>10133.486442740881</v>
      </c>
      <c r="J39" s="204">
        <f ca="1">I39*(IS!K35/IS!J35)</f>
        <v>11955.209852771675</v>
      </c>
      <c r="K39" s="204">
        <f ca="1">J39*(IS!L35/IS!K35)</f>
        <v>14137.781222753925</v>
      </c>
      <c r="L39" s="204">
        <f ca="1">K39*(IS!M35/IS!L35)</f>
        <v>16729.578346991235</v>
      </c>
      <c r="M39" s="204">
        <f ca="1">L39*(IS!N35/IS!M35)</f>
        <v>19667.289856558611</v>
      </c>
      <c r="N39" s="99"/>
    </row>
    <row r="40" spans="2:17" ht="24.95" customHeight="1">
      <c r="B40" s="69"/>
      <c r="C40" s="106" t="s">
        <v>1084</v>
      </c>
      <c r="D40" s="83"/>
      <c r="E40" s="83"/>
      <c r="F40" s="83"/>
      <c r="G40" s="83"/>
      <c r="H40" s="83">
        <v>1200</v>
      </c>
      <c r="I40" s="204">
        <f>H40</f>
        <v>1200</v>
      </c>
      <c r="J40" s="204">
        <f t="shared" ref="J40:M40" si="15">I40</f>
        <v>1200</v>
      </c>
      <c r="K40" s="204">
        <f t="shared" si="15"/>
        <v>1200</v>
      </c>
      <c r="L40" s="204">
        <f t="shared" si="15"/>
        <v>1200</v>
      </c>
      <c r="M40" s="204">
        <f t="shared" si="15"/>
        <v>1200</v>
      </c>
      <c r="N40" s="99"/>
    </row>
    <row r="41" spans="2:17" ht="24.95" customHeight="1">
      <c r="B41" s="69"/>
      <c r="C41" s="106" t="s">
        <v>839</v>
      </c>
      <c r="D41" s="83">
        <v>566</v>
      </c>
      <c r="E41" s="83">
        <v>462</v>
      </c>
      <c r="F41" s="83">
        <v>745</v>
      </c>
      <c r="G41" s="83">
        <v>934</v>
      </c>
      <c r="H41" s="83">
        <v>1049</v>
      </c>
      <c r="I41" s="204">
        <f t="shared" ref="I41:M41" si="16">H41</f>
        <v>1049</v>
      </c>
      <c r="J41" s="204">
        <f t="shared" si="16"/>
        <v>1049</v>
      </c>
      <c r="K41" s="204">
        <f t="shared" si="16"/>
        <v>1049</v>
      </c>
      <c r="L41" s="204">
        <f t="shared" si="16"/>
        <v>1049</v>
      </c>
      <c r="M41" s="204">
        <f t="shared" si="16"/>
        <v>1049</v>
      </c>
      <c r="N41" s="99"/>
    </row>
    <row r="42" spans="2:17" ht="24.95" customHeight="1">
      <c r="B42" s="69"/>
      <c r="C42" s="106" t="s">
        <v>175</v>
      </c>
      <c r="D42" s="83">
        <v>16153</v>
      </c>
      <c r="E42" s="83">
        <v>21122</v>
      </c>
      <c r="F42" s="83">
        <v>31203</v>
      </c>
      <c r="G42" s="83">
        <v>42132</v>
      </c>
      <c r="H42" s="83">
        <v>42375</v>
      </c>
      <c r="I42" s="204">
        <f ca="1">H42*(1+IS!J12)</f>
        <v>52579.291814230506</v>
      </c>
      <c r="J42" s="204">
        <f ca="1">I42*(1+IS!K12)</f>
        <v>64094.611507958914</v>
      </c>
      <c r="K42" s="204">
        <f ca="1">J42*(1+IS!L12)</f>
        <v>76232.024034143149</v>
      </c>
      <c r="L42" s="204">
        <f ca="1">K42*(1+IS!M12)</f>
        <v>89829.773408911744</v>
      </c>
      <c r="M42" s="204">
        <f ca="1">L42*(1+IS!N12)</f>
        <v>105149.58229471649</v>
      </c>
      <c r="N42" s="99"/>
    </row>
    <row r="43" spans="2:17" ht="24.95" customHeight="1">
      <c r="B43" s="69"/>
      <c r="C43" s="107" t="s">
        <v>176</v>
      </c>
      <c r="D43" s="202">
        <f t="shared" ref="D43:M43" si="17">SUM(D35:D42)</f>
        <v>50035</v>
      </c>
      <c r="E43" s="202">
        <f t="shared" si="17"/>
        <v>124406</v>
      </c>
      <c r="F43" s="202">
        <f t="shared" si="17"/>
        <v>101197</v>
      </c>
      <c r="G43" s="202">
        <f t="shared" si="17"/>
        <v>151740</v>
      </c>
      <c r="H43" s="202">
        <f t="shared" si="17"/>
        <v>202435</v>
      </c>
      <c r="I43" s="202">
        <f t="shared" ca="1" si="17"/>
        <v>253746.74262189935</v>
      </c>
      <c r="J43" s="202">
        <f t="shared" ca="1" si="17"/>
        <v>309072.49550140515</v>
      </c>
      <c r="K43" s="202">
        <f t="shared" ca="1" si="17"/>
        <v>366416.95707994228</v>
      </c>
      <c r="L43" s="202">
        <f t="shared" ca="1" si="17"/>
        <v>430172.95895870752</v>
      </c>
      <c r="M43" s="202">
        <f t="shared" ca="1" si="17"/>
        <v>502104.67261774687</v>
      </c>
      <c r="N43" s="99"/>
    </row>
    <row r="44" spans="2:17" ht="24.95" customHeight="1">
      <c r="B44" s="69"/>
      <c r="C44" s="106" t="s">
        <v>177</v>
      </c>
      <c r="D44" s="83">
        <v>5507</v>
      </c>
      <c r="E44" s="83">
        <v>12922</v>
      </c>
      <c r="F44" s="83">
        <v>57549</v>
      </c>
      <c r="G44" s="83">
        <v>82094</v>
      </c>
      <c r="H44" s="83">
        <v>87437</v>
      </c>
      <c r="I44" s="83">
        <f ca="1">CS!K111</f>
        <v>108919.01275919478</v>
      </c>
      <c r="J44" s="83">
        <f ca="1">CS!L111</f>
        <v>131302.95897457347</v>
      </c>
      <c r="K44" s="83">
        <f ca="1">CS!M111</f>
        <v>159280.84542481261</v>
      </c>
      <c r="L44" s="83">
        <f ca="1">CS!N111</f>
        <v>194562.56427923954</v>
      </c>
      <c r="M44" s="83">
        <f ca="1">CS!O111</f>
        <v>239274.08355985908</v>
      </c>
      <c r="N44" s="99"/>
    </row>
    <row r="45" spans="2:17" ht="24.95" customHeight="1">
      <c r="B45" s="69"/>
      <c r="C45" s="106" t="s">
        <v>840</v>
      </c>
      <c r="D45" s="83">
        <v>25028</v>
      </c>
      <c r="E45" s="83">
        <v>37092</v>
      </c>
      <c r="F45" s="83">
        <v>36204</v>
      </c>
      <c r="G45" s="83">
        <v>29363</v>
      </c>
      <c r="H45" s="83">
        <v>51298</v>
      </c>
      <c r="I45" s="204">
        <f t="shared" ref="I45:L45" ca="1" si="18">SUM(I16:I25)/6</f>
        <v>90765.843965995649</v>
      </c>
      <c r="J45" s="204">
        <f t="shared" ca="1" si="18"/>
        <v>109419.13247881121</v>
      </c>
      <c r="K45" s="204">
        <f t="shared" ca="1" si="18"/>
        <v>132734.0378540105</v>
      </c>
      <c r="L45" s="204">
        <f t="shared" ca="1" si="18"/>
        <v>162135.47023269962</v>
      </c>
      <c r="M45" s="204">
        <f t="shared" ref="M45" ca="1" si="19">SUM(M16:M25)/6</f>
        <v>199395.0696332159</v>
      </c>
      <c r="N45" s="99"/>
    </row>
    <row r="46" spans="2:17" ht="24.95" customHeight="1">
      <c r="B46" s="69"/>
      <c r="C46" s="106" t="s">
        <v>841</v>
      </c>
      <c r="D46" s="83">
        <v>2052</v>
      </c>
      <c r="E46" s="83">
        <v>3626</v>
      </c>
      <c r="F46" s="83">
        <v>4935</v>
      </c>
      <c r="G46" s="83">
        <v>3862</v>
      </c>
      <c r="H46" s="83">
        <v>4797</v>
      </c>
      <c r="I46" s="204">
        <f ca="1">H46*IS!J13/IS!I13</f>
        <v>6541.7831251521711</v>
      </c>
      <c r="J46" s="204">
        <f ca="1">I46*IS!K13/IS!J13</f>
        <v>8103.965365029323</v>
      </c>
      <c r="K46" s="204">
        <f ca="1">J46*IS!L13/IS!K13</f>
        <v>9695.0928646968423</v>
      </c>
      <c r="L46" s="204">
        <f ca="1">K46*IS!M13/IS!L13</f>
        <v>11455.390401576366</v>
      </c>
      <c r="M46" s="204">
        <f ca="1">L46*IS!N13/IS!M13</f>
        <v>13449.837638133242</v>
      </c>
      <c r="N46" s="99"/>
    </row>
    <row r="47" spans="2:17" ht="24.95" customHeight="1">
      <c r="B47" s="69"/>
      <c r="C47" s="106" t="s">
        <v>842</v>
      </c>
      <c r="D47" s="83"/>
      <c r="E47" s="83"/>
      <c r="F47" s="83">
        <v>2576</v>
      </c>
      <c r="G47" s="83">
        <v>2154</v>
      </c>
      <c r="H47" s="83">
        <v>3306</v>
      </c>
      <c r="I47" s="204">
        <v>1400</v>
      </c>
      <c r="J47" s="204">
        <v>1400</v>
      </c>
      <c r="K47" s="204">
        <v>1400</v>
      </c>
      <c r="L47" s="204">
        <v>1400</v>
      </c>
      <c r="M47" s="204">
        <v>1401</v>
      </c>
      <c r="N47" s="99"/>
    </row>
    <row r="48" spans="2:17" ht="24.95" customHeight="1">
      <c r="B48" s="69"/>
      <c r="C48" s="106" t="s">
        <v>843</v>
      </c>
      <c r="D48" s="83">
        <v>2942</v>
      </c>
      <c r="E48" s="83">
        <v>3668</v>
      </c>
      <c r="F48" s="83">
        <v>5153</v>
      </c>
      <c r="G48" s="83">
        <v>5975</v>
      </c>
      <c r="H48" s="83">
        <v>10964</v>
      </c>
      <c r="I48" s="204">
        <f ca="1">H48*(IS!J35/IS!I35)</f>
        <v>10881.835980236143</v>
      </c>
      <c r="J48" s="204">
        <f ca="1">I48*(IS!K35/IS!J35)</f>
        <v>12838.092147481748</v>
      </c>
      <c r="K48" s="204">
        <f ca="1">J48*(IS!L35/IS!K35)</f>
        <v>15181.844596109111</v>
      </c>
      <c r="L48" s="204">
        <f ca="1">K48*(IS!M35/IS!L35)</f>
        <v>17965.043780255819</v>
      </c>
      <c r="M48" s="204">
        <f ca="1">L48*(IS!N35/IS!M35)</f>
        <v>21119.702839109563</v>
      </c>
      <c r="N48" s="99"/>
    </row>
    <row r="49" spans="2:14" ht="24.95" customHeight="1">
      <c r="B49" s="69"/>
      <c r="C49" s="106" t="s">
        <v>844</v>
      </c>
      <c r="D49" s="83">
        <v>3478</v>
      </c>
      <c r="E49" s="83">
        <v>3004</v>
      </c>
      <c r="F49" s="83">
        <v>2038</v>
      </c>
      <c r="G49" s="83">
        <v>2391</v>
      </c>
      <c r="H49" s="83">
        <v>7077</v>
      </c>
      <c r="I49" s="204">
        <f ca="1">H49*(1+IS!J12)</f>
        <v>8781.2070364438769</v>
      </c>
      <c r="J49" s="204">
        <f ca="1">I49*(1+IS!K12)</f>
        <v>10704.367330780537</v>
      </c>
      <c r="K49" s="204">
        <f ca="1">J49*(1+IS!L12)</f>
        <v>12731.422633383625</v>
      </c>
      <c r="L49" s="204">
        <f ca="1">K49*(1+IS!M12)</f>
        <v>15002.367113035245</v>
      </c>
      <c r="M49" s="204">
        <f ca="1">L49*(1+IS!N12)</f>
        <v>17560.9107704946</v>
      </c>
      <c r="N49" s="99"/>
    </row>
    <row r="50" spans="2:14" ht="24.95" customHeight="1">
      <c r="B50" s="69"/>
      <c r="C50" s="107" t="s">
        <v>178</v>
      </c>
      <c r="D50" s="202">
        <f t="shared" ref="D50:M50" si="20">SUM(D44:D49)</f>
        <v>39007</v>
      </c>
      <c r="E50" s="202">
        <f t="shared" si="20"/>
        <v>60312</v>
      </c>
      <c r="F50" s="202">
        <f t="shared" si="20"/>
        <v>108455</v>
      </c>
      <c r="G50" s="202">
        <f t="shared" si="20"/>
        <v>125839</v>
      </c>
      <c r="H50" s="202">
        <f t="shared" si="20"/>
        <v>164879</v>
      </c>
      <c r="I50" s="202">
        <f t="shared" ca="1" si="20"/>
        <v>227289.68286702261</v>
      </c>
      <c r="J50" s="202">
        <f t="shared" ca="1" si="20"/>
        <v>273768.5162966763</v>
      </c>
      <c r="K50" s="202">
        <f t="shared" ca="1" si="20"/>
        <v>331023.24337301269</v>
      </c>
      <c r="L50" s="202">
        <f t="shared" ca="1" si="20"/>
        <v>402520.83580680657</v>
      </c>
      <c r="M50" s="202">
        <f t="shared" ca="1" si="20"/>
        <v>492200.60444081243</v>
      </c>
      <c r="N50" s="99"/>
    </row>
    <row r="51" spans="2:14" ht="24.95" customHeight="1">
      <c r="B51" s="69"/>
      <c r="C51" s="107" t="s">
        <v>179</v>
      </c>
      <c r="D51" s="202">
        <f t="shared" ref="D51:M51" si="21">D50+D43</f>
        <v>89042</v>
      </c>
      <c r="E51" s="202">
        <f t="shared" si="21"/>
        <v>184718</v>
      </c>
      <c r="F51" s="202">
        <f t="shared" si="21"/>
        <v>209652</v>
      </c>
      <c r="G51" s="202">
        <f t="shared" si="21"/>
        <v>277579</v>
      </c>
      <c r="H51" s="202">
        <f t="shared" si="21"/>
        <v>367314</v>
      </c>
      <c r="I51" s="202">
        <f t="shared" ca="1" si="21"/>
        <v>481036.42548892193</v>
      </c>
      <c r="J51" s="202">
        <f t="shared" ca="1" si="21"/>
        <v>582841.01179808145</v>
      </c>
      <c r="K51" s="202">
        <f t="shared" ca="1" si="21"/>
        <v>697440.20045295497</v>
      </c>
      <c r="L51" s="202">
        <f t="shared" ca="1" si="21"/>
        <v>832693.79476551409</v>
      </c>
      <c r="M51" s="202">
        <f t="shared" ca="1" si="21"/>
        <v>994305.27705855924</v>
      </c>
      <c r="N51" s="99"/>
    </row>
    <row r="52" spans="2:14" ht="24.95" customHeight="1">
      <c r="B52" s="69"/>
      <c r="C52" s="106" t="s">
        <v>226</v>
      </c>
      <c r="D52" s="83"/>
      <c r="E52" s="83"/>
      <c r="F52" s="83"/>
      <c r="G52" s="83"/>
      <c r="H52" s="83"/>
      <c r="I52" s="204">
        <f>资产负债假设!J23</f>
        <v>0</v>
      </c>
      <c r="J52" s="204">
        <f>资产负债假设!K23</f>
        <v>0</v>
      </c>
      <c r="K52" s="204">
        <f>资产负债假设!L23</f>
        <v>0</v>
      </c>
      <c r="L52" s="204">
        <f>资产负债假设!M23</f>
        <v>0</v>
      </c>
      <c r="M52" s="204">
        <f>资产负债假设!N23</f>
        <v>0</v>
      </c>
      <c r="N52" s="99"/>
    </row>
    <row r="53" spans="2:14" ht="24.95" customHeight="1" collapsed="1">
      <c r="B53" s="69"/>
      <c r="C53" s="106" t="s">
        <v>180</v>
      </c>
      <c r="D53" s="118">
        <f t="shared" ref="D53:H53" si="22">SUM(D54:D59)</f>
        <v>80013</v>
      </c>
      <c r="E53" s="118">
        <f t="shared" si="22"/>
        <v>120035</v>
      </c>
      <c r="F53" s="118">
        <f t="shared" si="22"/>
        <v>174624</v>
      </c>
      <c r="G53" s="118">
        <f t="shared" si="22"/>
        <v>256074</v>
      </c>
      <c r="H53" s="118">
        <f t="shared" si="22"/>
        <v>323510</v>
      </c>
      <c r="I53" s="118">
        <f ca="1">资产负债假设!J37</f>
        <v>395398.58377488912</v>
      </c>
      <c r="J53" s="118">
        <f ca="1">资产负债假设!K37</f>
        <v>480553.2915121367</v>
      </c>
      <c r="K53" s="118">
        <f ca="1">资产负债假设!L37</f>
        <v>581326.45872033702</v>
      </c>
      <c r="L53" s="118">
        <f ca="1">资产负债假设!M37</f>
        <v>700511.11948578525</v>
      </c>
      <c r="M53" s="118">
        <f ca="1">资产负债假设!N37</f>
        <v>840549.16310105019</v>
      </c>
      <c r="N53" s="99"/>
    </row>
    <row r="54" spans="2:14" ht="24.95" hidden="1" customHeight="1" outlineLevel="1">
      <c r="B54" s="69"/>
      <c r="C54" s="106" t="s">
        <v>243</v>
      </c>
      <c r="D54" s="83">
        <v>5131</v>
      </c>
      <c r="E54" s="118">
        <v>12167</v>
      </c>
      <c r="F54" s="118">
        <v>17324</v>
      </c>
      <c r="G54" s="118">
        <v>22204</v>
      </c>
      <c r="H54" s="118">
        <v>27294</v>
      </c>
      <c r="I54" s="83"/>
      <c r="J54" s="83"/>
      <c r="K54" s="83"/>
      <c r="L54" s="83"/>
      <c r="M54" s="655"/>
      <c r="N54" s="99"/>
    </row>
    <row r="55" spans="2:14" ht="24.95" hidden="1" customHeight="1" outlineLevel="1">
      <c r="B55" s="69"/>
      <c r="C55" s="106" t="s">
        <v>845</v>
      </c>
      <c r="D55" s="83">
        <v>-1309</v>
      </c>
      <c r="E55" s="118">
        <v>-1817</v>
      </c>
      <c r="F55" s="118">
        <v>-3136</v>
      </c>
      <c r="G55" s="118">
        <v>-3970</v>
      </c>
      <c r="H55" s="118">
        <v>-4173</v>
      </c>
      <c r="I55" s="83"/>
      <c r="J55" s="83"/>
      <c r="K55" s="83"/>
      <c r="L55" s="83"/>
      <c r="M55" s="655"/>
      <c r="N55" s="99"/>
    </row>
    <row r="56" spans="2:14" ht="24.95" hidden="1" customHeight="1" outlineLevel="1">
      <c r="B56" s="69"/>
      <c r="C56" s="106" t="s">
        <v>244</v>
      </c>
      <c r="D56" s="83">
        <v>2129</v>
      </c>
      <c r="E56" s="118">
        <v>9673</v>
      </c>
      <c r="F56" s="118">
        <v>23693</v>
      </c>
      <c r="G56" s="118">
        <v>35158</v>
      </c>
      <c r="H56" s="118">
        <v>729</v>
      </c>
      <c r="I56" s="83"/>
      <c r="J56" s="83"/>
      <c r="K56" s="83"/>
      <c r="L56" s="83"/>
      <c r="M56" s="655"/>
      <c r="N56" s="99"/>
    </row>
    <row r="57" spans="2:14" ht="24.95" hidden="1" customHeight="1" outlineLevel="1">
      <c r="B57" s="69"/>
      <c r="C57" s="106" t="s">
        <v>183</v>
      </c>
      <c r="D57" s="83"/>
      <c r="E57" s="118"/>
      <c r="F57" s="118"/>
      <c r="G57" s="118"/>
      <c r="H57" s="118"/>
      <c r="I57" s="83"/>
      <c r="J57" s="83"/>
      <c r="K57" s="83"/>
      <c r="L57" s="83"/>
      <c r="M57" s="655"/>
      <c r="N57" s="99"/>
    </row>
    <row r="58" spans="2:14" ht="24.95" hidden="1" customHeight="1" outlineLevel="1">
      <c r="B58" s="69"/>
      <c r="C58" s="106" t="s">
        <v>184</v>
      </c>
      <c r="D58" s="83"/>
      <c r="E58" s="118"/>
      <c r="F58" s="118"/>
      <c r="G58" s="118"/>
      <c r="H58" s="118"/>
      <c r="I58" s="83"/>
      <c r="J58" s="83"/>
      <c r="K58" s="83"/>
      <c r="L58" s="83"/>
      <c r="M58" s="655"/>
      <c r="N58" s="99"/>
    </row>
    <row r="59" spans="2:14" ht="24.95" hidden="1" customHeight="1" outlineLevel="1">
      <c r="B59" s="69"/>
      <c r="C59" s="106" t="s">
        <v>245</v>
      </c>
      <c r="D59" s="83">
        <v>74062</v>
      </c>
      <c r="E59" s="118">
        <v>100012</v>
      </c>
      <c r="F59" s="118">
        <v>136743</v>
      </c>
      <c r="G59" s="118">
        <v>202682</v>
      </c>
      <c r="H59" s="118">
        <v>299660</v>
      </c>
      <c r="I59" s="83"/>
      <c r="J59" s="83"/>
      <c r="K59" s="83"/>
      <c r="L59" s="83"/>
      <c r="M59" s="655"/>
      <c r="N59" s="99"/>
    </row>
    <row r="60" spans="2:14" ht="24.95" customHeight="1">
      <c r="B60" s="69"/>
      <c r="C60" s="106" t="s">
        <v>246</v>
      </c>
      <c r="D60" s="83">
        <v>2111</v>
      </c>
      <c r="E60" s="118">
        <v>2065</v>
      </c>
      <c r="F60" s="118">
        <v>11623</v>
      </c>
      <c r="G60" s="118">
        <v>21019</v>
      </c>
      <c r="H60" s="118">
        <v>32697</v>
      </c>
      <c r="I60" s="83">
        <f ca="1">H60+IS!J41</f>
        <v>36571.960496029722</v>
      </c>
      <c r="J60" s="83">
        <f ca="1">I60+IS!K41</f>
        <v>41587.754835142012</v>
      </c>
      <c r="K60" s="83">
        <f ca="1">J60+IS!L41</f>
        <v>47970.153260080144</v>
      </c>
      <c r="L60" s="83">
        <f ca="1">K60+IS!M41</f>
        <v>55973.033573587272</v>
      </c>
      <c r="M60" s="83">
        <f ca="1">L60+IS!N41</f>
        <v>63608.122193981704</v>
      </c>
      <c r="N60" s="99"/>
    </row>
    <row r="61" spans="2:14" ht="24.95" customHeight="1">
      <c r="B61" s="69"/>
      <c r="C61" s="107" t="s">
        <v>181</v>
      </c>
      <c r="D61" s="202">
        <f t="shared" ref="D61:M61" si="23">D52+D53+D60</f>
        <v>82124</v>
      </c>
      <c r="E61" s="202">
        <f t="shared" si="23"/>
        <v>122100</v>
      </c>
      <c r="F61" s="202">
        <f t="shared" si="23"/>
        <v>186247</v>
      </c>
      <c r="G61" s="202">
        <f t="shared" si="23"/>
        <v>277093</v>
      </c>
      <c r="H61" s="202">
        <f t="shared" si="23"/>
        <v>356207</v>
      </c>
      <c r="I61" s="202">
        <f t="shared" ca="1" si="23"/>
        <v>431970.54427091882</v>
      </c>
      <c r="J61" s="202">
        <f t="shared" ca="1" si="23"/>
        <v>522141.04634727869</v>
      </c>
      <c r="K61" s="202">
        <f t="shared" ca="1" si="23"/>
        <v>629296.61198041716</v>
      </c>
      <c r="L61" s="202">
        <f t="shared" ca="1" si="23"/>
        <v>756484.15305937256</v>
      </c>
      <c r="M61" s="202">
        <f t="shared" ca="1" si="23"/>
        <v>904157.28529503185</v>
      </c>
      <c r="N61" s="99" t="s">
        <v>6</v>
      </c>
    </row>
    <row r="62" spans="2:14" ht="24.95" customHeight="1">
      <c r="B62" s="69"/>
      <c r="C62" s="107" t="s">
        <v>200</v>
      </c>
      <c r="D62" s="202">
        <f t="shared" ref="D62:M62" si="24">D61+D51</f>
        <v>171166</v>
      </c>
      <c r="E62" s="202">
        <f t="shared" si="24"/>
        <v>306818</v>
      </c>
      <c r="F62" s="202">
        <f t="shared" si="24"/>
        <v>395899</v>
      </c>
      <c r="G62" s="202">
        <f t="shared" si="24"/>
        <v>554672</v>
      </c>
      <c r="H62" s="202">
        <f t="shared" si="24"/>
        <v>723521</v>
      </c>
      <c r="I62" s="202">
        <f t="shared" ca="1" si="24"/>
        <v>913006.96975984075</v>
      </c>
      <c r="J62" s="202">
        <f t="shared" ca="1" si="24"/>
        <v>1104982.0581453601</v>
      </c>
      <c r="K62" s="202">
        <f t="shared" ca="1" si="24"/>
        <v>1326736.8124333723</v>
      </c>
      <c r="L62" s="202">
        <f t="shared" ca="1" si="24"/>
        <v>1589177.9478248865</v>
      </c>
      <c r="M62" s="202">
        <f t="shared" ca="1" si="24"/>
        <v>1898462.562353591</v>
      </c>
      <c r="N62" s="99" t="s">
        <v>0</v>
      </c>
    </row>
    <row r="63" spans="2:14" ht="24.95" customHeight="1">
      <c r="B63" s="69"/>
      <c r="C63" s="106" t="s">
        <v>182</v>
      </c>
      <c r="D63" s="83">
        <f t="shared" ref="D63:M63" si="25">D62-D34</f>
        <v>0</v>
      </c>
      <c r="E63" s="83">
        <f t="shared" si="25"/>
        <v>0</v>
      </c>
      <c r="F63" s="83">
        <f t="shared" si="25"/>
        <v>0</v>
      </c>
      <c r="G63" s="83">
        <f t="shared" si="25"/>
        <v>0</v>
      </c>
      <c r="H63" s="83">
        <f t="shared" si="25"/>
        <v>0</v>
      </c>
      <c r="I63" s="83">
        <f t="shared" ca="1" si="25"/>
        <v>0</v>
      </c>
      <c r="J63" s="83">
        <f t="shared" ca="1" si="25"/>
        <v>0</v>
      </c>
      <c r="K63" s="83">
        <f t="shared" ca="1" si="25"/>
        <v>0</v>
      </c>
      <c r="L63" s="83">
        <f t="shared" ca="1" si="25"/>
        <v>0</v>
      </c>
      <c r="M63" s="83">
        <f t="shared" ca="1" si="25"/>
        <v>0</v>
      </c>
      <c r="N63" s="99"/>
    </row>
    <row r="64" spans="2:14" ht="24.95" customHeight="1">
      <c r="B64" s="69"/>
      <c r="C64" s="106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99"/>
    </row>
    <row r="65" spans="2:14" ht="24.95" customHeight="1">
      <c r="B65" s="69"/>
      <c r="C65" s="117"/>
      <c r="D65" s="83"/>
      <c r="E65" s="83"/>
      <c r="F65" s="83"/>
      <c r="G65" s="83"/>
      <c r="H65" s="83"/>
      <c r="I65" s="82"/>
      <c r="J65" s="82"/>
      <c r="K65" s="82"/>
      <c r="L65" s="82"/>
      <c r="M65" s="82"/>
      <c r="N65" s="99"/>
    </row>
    <row r="66" spans="2:14" ht="24.95" customHeight="1">
      <c r="B66" s="69"/>
      <c r="C66" s="117" t="s">
        <v>91</v>
      </c>
      <c r="D66" s="82">
        <f t="shared" ref="D66:H66" si="26">(D15-D8-D7-D10-D14-D9)-(D43-D35-D40)</f>
        <v>-34184</v>
      </c>
      <c r="E66" s="82">
        <f t="shared" si="26"/>
        <v>-94297</v>
      </c>
      <c r="F66" s="82">
        <f t="shared" si="26"/>
        <v>-64386</v>
      </c>
      <c r="G66" s="82">
        <f t="shared" si="26"/>
        <v>-102090</v>
      </c>
      <c r="H66" s="82">
        <f t="shared" si="26"/>
        <v>-127157</v>
      </c>
      <c r="I66" s="82">
        <f ca="1">(I15-I8-I7-I10-I14-I9)-(I43-I35-I40)</f>
        <v>-159018.41138031133</v>
      </c>
      <c r="J66" s="82">
        <f t="shared" ref="J66:M66" ca="1" si="27">(J15-J8-J7-J10-J14-J9)-(J43-J35-J40)</f>
        <v>-193161.41245367215</v>
      </c>
      <c r="K66" s="82">
        <f t="shared" ca="1" si="27"/>
        <v>-228478.21862749261</v>
      </c>
      <c r="L66" s="82">
        <f t="shared" ca="1" si="27"/>
        <v>-267676.53249852185</v>
      </c>
      <c r="M66" s="82">
        <f t="shared" ca="1" si="27"/>
        <v>-311879.90304959868</v>
      </c>
      <c r="N66" s="99"/>
    </row>
    <row r="67" spans="2:14" ht="24.95" customHeight="1">
      <c r="B67" s="69"/>
      <c r="C67" s="117" t="s">
        <v>127</v>
      </c>
      <c r="D67" s="200">
        <f t="shared" ref="D67:L67" si="28">D51/D62</f>
        <v>0.52020845261325266</v>
      </c>
      <c r="E67" s="200">
        <f t="shared" si="28"/>
        <v>0.60204420861879027</v>
      </c>
      <c r="F67" s="200">
        <f t="shared" si="28"/>
        <v>0.5295593067928942</v>
      </c>
      <c r="G67" s="200">
        <f t="shared" si="28"/>
        <v>0.50043809674906969</v>
      </c>
      <c r="H67" s="200">
        <f t="shared" si="28"/>
        <v>0.50767565834301975</v>
      </c>
      <c r="I67" s="200">
        <f t="shared" ca="1" si="28"/>
        <v>0.52687048557302329</v>
      </c>
      <c r="J67" s="200">
        <f t="shared" ca="1" si="28"/>
        <v>0.52746649368799881</v>
      </c>
      <c r="K67" s="200">
        <f t="shared" ca="1" si="28"/>
        <v>0.52568089911802296</v>
      </c>
      <c r="L67" s="200">
        <f t="shared" ca="1" si="28"/>
        <v>0.5239776929356621</v>
      </c>
      <c r="M67" s="200">
        <f t="shared" ref="M67" ca="1" si="29">M51/M62</f>
        <v>0.52374236752179293</v>
      </c>
      <c r="N67" s="99"/>
    </row>
    <row r="68" spans="2:14" ht="6" customHeight="1">
      <c r="B68" s="69"/>
      <c r="C68" s="10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</row>
    <row r="69" spans="2:14"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</row>
    <row r="70" spans="2:14"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</row>
    <row r="71" spans="2:14"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</row>
    <row r="73" spans="2:14">
      <c r="D73" s="197"/>
      <c r="E73" s="197"/>
      <c r="F73" s="197"/>
      <c r="G73" s="197"/>
      <c r="H73" s="197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7" tint="0.39997558519241921"/>
  </sheetPr>
  <dimension ref="B1:S121"/>
  <sheetViews>
    <sheetView showGridLines="0" zoomScale="85" zoomScaleNormal="85" workbookViewId="0">
      <pane xSplit="4" ySplit="6" topLeftCell="E40" activePane="bottomRight" state="frozen"/>
      <selection pane="topRight" activeCell="E1" sqref="E1"/>
      <selection pane="bottomLeft" activeCell="A7" sqref="A7"/>
      <selection pane="bottomRight" activeCell="D42" sqref="D42"/>
    </sheetView>
  </sheetViews>
  <sheetFormatPr defaultRowHeight="13.5"/>
  <cols>
    <col min="1" max="1" width="4.125" customWidth="1"/>
    <col min="2" max="2" width="1" customWidth="1"/>
    <col min="3" max="3" width="8.875" style="249"/>
    <col min="4" max="4" width="37.125" style="249" customWidth="1"/>
    <col min="5" max="14" width="13.875" customWidth="1"/>
    <col min="15" max="15" width="13.375" customWidth="1"/>
    <col min="16" max="16" width="1" customWidth="1"/>
    <col min="19" max="19" width="12.75" bestFit="1" customWidth="1"/>
  </cols>
  <sheetData>
    <row r="1" spans="2:18" s="25" customFormat="1" ht="12" customHeight="1">
      <c r="C1" s="248"/>
      <c r="D1" s="248"/>
    </row>
    <row r="2" spans="2:18" s="19" customFormat="1" ht="12" customHeight="1">
      <c r="C2" s="393"/>
      <c r="J2" s="47"/>
    </row>
    <row r="3" spans="2:18" s="19" customFormat="1" ht="12" customHeight="1">
      <c r="C3" s="394"/>
      <c r="D3" s="50"/>
      <c r="E3" s="50"/>
      <c r="F3" s="50"/>
      <c r="G3" s="50"/>
      <c r="H3" s="50"/>
      <c r="I3" s="50"/>
      <c r="J3" s="50"/>
      <c r="K3" s="51"/>
      <c r="L3" s="51"/>
      <c r="M3" s="51"/>
      <c r="N3" s="45"/>
      <c r="O3" s="50"/>
      <c r="P3" s="51"/>
      <c r="Q3" s="51"/>
      <c r="R3" s="51"/>
    </row>
    <row r="4" spans="2:18" s="11" customFormat="1" ht="15.6" customHeight="1">
      <c r="C4" s="395"/>
      <c r="D4" s="13"/>
      <c r="E4" s="13"/>
      <c r="F4" s="13"/>
      <c r="G4" s="13"/>
      <c r="H4" s="13"/>
      <c r="I4" s="13"/>
      <c r="J4" s="13"/>
      <c r="K4" s="14"/>
      <c r="L4" s="14"/>
      <c r="M4" s="14"/>
      <c r="N4" s="14"/>
      <c r="O4" s="13"/>
      <c r="P4" s="14"/>
      <c r="Q4" s="14"/>
      <c r="R4" s="14"/>
    </row>
    <row r="5" spans="2:18" s="11" customFormat="1" ht="6" customHeight="1">
      <c r="B5" s="19"/>
      <c r="C5" s="394"/>
      <c r="D5" s="50"/>
      <c r="E5" s="50"/>
      <c r="F5" s="50"/>
      <c r="G5" s="50"/>
      <c r="H5" s="50"/>
      <c r="I5" s="50"/>
      <c r="J5" s="50"/>
      <c r="K5" s="51"/>
      <c r="L5" s="51"/>
      <c r="M5" s="51"/>
      <c r="N5" s="51"/>
      <c r="O5" s="50"/>
      <c r="P5" s="51"/>
      <c r="Q5" s="14"/>
      <c r="R5" s="14"/>
    </row>
    <row r="6" spans="2:18" s="3" customFormat="1" ht="24.95" customHeight="1">
      <c r="B6" s="87"/>
      <c r="C6" s="162" t="s">
        <v>1043</v>
      </c>
      <c r="D6" s="162"/>
      <c r="E6" s="160">
        <v>2013</v>
      </c>
      <c r="F6" s="160">
        <v>2014</v>
      </c>
      <c r="G6" s="160">
        <v>2015</v>
      </c>
      <c r="H6" s="160">
        <v>2016</v>
      </c>
      <c r="I6" s="160">
        <v>2017</v>
      </c>
      <c r="J6" s="160">
        <v>2018</v>
      </c>
      <c r="K6" s="173" t="s">
        <v>38</v>
      </c>
      <c r="L6" s="173" t="s">
        <v>128</v>
      </c>
      <c r="M6" s="173" t="s">
        <v>151</v>
      </c>
      <c r="N6" s="173" t="s">
        <v>152</v>
      </c>
      <c r="O6" s="173" t="s">
        <v>1062</v>
      </c>
      <c r="P6" s="91"/>
    </row>
    <row r="7" spans="2:18" s="1" customFormat="1" ht="24.95" customHeight="1">
      <c r="B7" s="87"/>
      <c r="C7" s="174" t="s">
        <v>185</v>
      </c>
      <c r="D7" s="175"/>
      <c r="E7" s="175"/>
      <c r="F7" s="175"/>
      <c r="G7" s="175"/>
      <c r="H7" s="175"/>
      <c r="I7" s="175"/>
      <c r="J7" s="100"/>
      <c r="K7" s="100"/>
      <c r="L7" s="100"/>
      <c r="M7" s="100"/>
      <c r="N7" s="100"/>
      <c r="O7" s="100"/>
      <c r="P7" s="91"/>
    </row>
    <row r="8" spans="2:18" s="1" customFormat="1" ht="24.95" customHeight="1">
      <c r="B8" s="87"/>
      <c r="C8" s="177" t="s">
        <v>186</v>
      </c>
      <c r="D8" s="177"/>
      <c r="E8" s="83">
        <v>15563</v>
      </c>
      <c r="F8" s="83">
        <v>23888</v>
      </c>
      <c r="G8" s="83">
        <v>29108</v>
      </c>
      <c r="H8" s="83">
        <v>41447</v>
      </c>
      <c r="I8" s="83">
        <v>72471</v>
      </c>
      <c r="J8" s="83"/>
      <c r="K8" s="83">
        <f ca="1">IS!J37</f>
        <v>72111.356495972985</v>
      </c>
      <c r="L8" s="83">
        <f ca="1">IS!K37</f>
        <v>85443.109401514957</v>
      </c>
      <c r="M8" s="83">
        <f ca="1">IS!L37</f>
        <v>101476.62207141504</v>
      </c>
      <c r="N8" s="83">
        <f ca="1">IS!M37</f>
        <v>120544.09980731405</v>
      </c>
      <c r="O8" s="83">
        <f ca="1">IS!N37</f>
        <v>139955.29115262968</v>
      </c>
      <c r="P8" s="87"/>
    </row>
    <row r="9" spans="2:18" s="1" customFormat="1" ht="24.95" customHeight="1">
      <c r="B9" s="87"/>
      <c r="C9" s="177" t="s">
        <v>187</v>
      </c>
      <c r="D9" s="177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7"/>
    </row>
    <row r="10" spans="2:18" s="1" customFormat="1" ht="24.95" customHeight="1">
      <c r="B10" s="87"/>
      <c r="C10" s="177"/>
      <c r="D10" s="177" t="s">
        <v>252</v>
      </c>
      <c r="E10" s="83">
        <v>3718</v>
      </c>
      <c r="F10" s="83">
        <v>5125</v>
      </c>
      <c r="G10" s="83">
        <v>7108</v>
      </c>
      <c r="H10" s="83">
        <v>10193</v>
      </c>
      <c r="I10" s="83">
        <v>15744</v>
      </c>
      <c r="J10" s="83"/>
      <c r="K10" s="83"/>
      <c r="L10" s="83"/>
      <c r="M10" s="83"/>
      <c r="N10" s="83"/>
      <c r="O10" s="83"/>
      <c r="P10" s="87"/>
    </row>
    <row r="11" spans="2:18" s="1" customFormat="1" ht="24.95" customHeight="1">
      <c r="B11" s="87"/>
      <c r="C11" s="177"/>
      <c r="D11" s="177" t="s">
        <v>846</v>
      </c>
      <c r="E11" s="83">
        <v>-267</v>
      </c>
      <c r="F11" s="83">
        <v>-5111</v>
      </c>
      <c r="G11" s="83">
        <v>-3813</v>
      </c>
      <c r="H11" s="83">
        <v>-6966</v>
      </c>
      <c r="I11" s="83">
        <v>-13518</v>
      </c>
      <c r="J11" s="83"/>
      <c r="K11" s="83"/>
      <c r="L11" s="83"/>
      <c r="M11" s="83"/>
      <c r="N11" s="83"/>
      <c r="O11" s="83"/>
      <c r="P11" s="87"/>
    </row>
    <row r="12" spans="2:18" s="1" customFormat="1" ht="24.95" customHeight="1">
      <c r="B12" s="87"/>
      <c r="C12" s="177"/>
      <c r="D12" s="177" t="s">
        <v>847</v>
      </c>
      <c r="E12" s="83"/>
      <c r="F12" s="83">
        <v>12</v>
      </c>
      <c r="G12" s="83"/>
      <c r="H12" s="83"/>
      <c r="I12" s="83"/>
      <c r="J12" s="83"/>
      <c r="K12" s="83"/>
      <c r="L12" s="83"/>
      <c r="M12" s="83"/>
      <c r="N12" s="83"/>
      <c r="O12" s="83"/>
      <c r="P12" s="87"/>
    </row>
    <row r="13" spans="2:18" s="1" customFormat="1" ht="24.95" customHeight="1">
      <c r="B13" s="87"/>
      <c r="C13" s="177"/>
      <c r="D13" s="177" t="s">
        <v>267</v>
      </c>
      <c r="E13" s="83">
        <v>-509</v>
      </c>
      <c r="F13" s="83">
        <v>-144</v>
      </c>
      <c r="G13" s="83">
        <v>-272</v>
      </c>
      <c r="H13" s="83">
        <v>-563</v>
      </c>
      <c r="I13" s="83">
        <v>-1713</v>
      </c>
      <c r="J13" s="83"/>
      <c r="K13" s="83"/>
      <c r="L13" s="83"/>
      <c r="M13" s="83"/>
      <c r="N13" s="83"/>
      <c r="O13" s="83"/>
      <c r="P13" s="87"/>
    </row>
    <row r="14" spans="2:18" s="1" customFormat="1" ht="24.95" customHeight="1">
      <c r="B14" s="87"/>
      <c r="C14" s="176"/>
      <c r="D14" s="177" t="s">
        <v>848</v>
      </c>
      <c r="E14" s="83">
        <v>2484</v>
      </c>
      <c r="F14" s="83">
        <v>2993</v>
      </c>
      <c r="G14" s="83">
        <v>3159</v>
      </c>
      <c r="H14" s="83">
        <v>3716</v>
      </c>
      <c r="I14" s="83">
        <v>4880</v>
      </c>
      <c r="J14" s="83"/>
      <c r="K14" s="83">
        <f ca="1">资本开支假设!H62</f>
        <v>11418.89030203268</v>
      </c>
      <c r="L14" s="83">
        <f ca="1">资本开支假设!I62</f>
        <v>15105.424865744064</v>
      </c>
      <c r="M14" s="83">
        <f ca="1">资本开支假设!J62</f>
        <v>19202.845519474875</v>
      </c>
      <c r="N14" s="83">
        <f ca="1">资本开支假设!K62</f>
        <v>23722.800477797617</v>
      </c>
      <c r="O14" s="83">
        <f ca="1">资本开支假设!L62</f>
        <v>28738.272469396466</v>
      </c>
      <c r="P14" s="87"/>
    </row>
    <row r="15" spans="2:18" s="1" customFormat="1" ht="24.95" customHeight="1">
      <c r="B15" s="87"/>
      <c r="C15" s="176"/>
      <c r="D15" s="177" t="s">
        <v>849</v>
      </c>
      <c r="E15" s="83">
        <v>1122</v>
      </c>
      <c r="F15" s="83">
        <v>1825</v>
      </c>
      <c r="G15" s="83">
        <v>3515</v>
      </c>
      <c r="H15" s="83">
        <v>9025</v>
      </c>
      <c r="I15" s="83">
        <v>18731</v>
      </c>
      <c r="J15" s="83"/>
      <c r="K15" s="83">
        <f ca="1">资本开支假设!H63+资本开支假设!H64</f>
        <v>25697.041460671258</v>
      </c>
      <c r="L15" s="83">
        <f ca="1">资本开支假设!I63+资本开支假设!I64</f>
        <v>31885.626041073865</v>
      </c>
      <c r="M15" s="83">
        <f ca="1">资本开支假设!J63+资本开支假设!J64</f>
        <v>37689.923432446456</v>
      </c>
      <c r="N15" s="83">
        <f ca="1">资本开支假设!K63+资本开支假设!K64</f>
        <v>43610.87461780553</v>
      </c>
      <c r="O15" s="83">
        <f ca="1">资本开支假设!L63+资本开支假设!L64</f>
        <v>49959.903600022742</v>
      </c>
      <c r="P15" s="87"/>
    </row>
    <row r="16" spans="2:18" s="1" customFormat="1" ht="24.95" customHeight="1">
      <c r="B16" s="87"/>
      <c r="C16" s="176"/>
      <c r="D16" s="177" t="s">
        <v>850</v>
      </c>
      <c r="E16" s="83">
        <v>6</v>
      </c>
      <c r="F16" s="83">
        <v>57</v>
      </c>
      <c r="G16" s="83">
        <v>43</v>
      </c>
      <c r="H16" s="83">
        <v>60</v>
      </c>
      <c r="I16" s="83">
        <v>24</v>
      </c>
      <c r="J16" s="83"/>
      <c r="K16" s="83"/>
      <c r="L16" s="83"/>
      <c r="M16" s="83"/>
      <c r="N16" s="83"/>
      <c r="O16" s="83"/>
      <c r="P16" s="87"/>
    </row>
    <row r="17" spans="2:16" s="1" customFormat="1" ht="24.95" customHeight="1">
      <c r="B17" s="87"/>
      <c r="C17" s="176"/>
      <c r="D17" s="177" t="s">
        <v>268</v>
      </c>
      <c r="E17" s="83">
        <v>-1314</v>
      </c>
      <c r="F17" s="83">
        <v>-1676</v>
      </c>
      <c r="G17" s="83">
        <v>-2327</v>
      </c>
      <c r="H17" s="83">
        <v>-2619</v>
      </c>
      <c r="I17" s="83">
        <v>-3940</v>
      </c>
      <c r="J17" s="83"/>
      <c r="K17" s="83"/>
      <c r="L17" s="83"/>
      <c r="M17" s="83"/>
      <c r="N17" s="83"/>
      <c r="O17" s="83"/>
      <c r="P17" s="87"/>
    </row>
    <row r="18" spans="2:16" s="1" customFormat="1" ht="24.95" customHeight="1">
      <c r="B18" s="87"/>
      <c r="C18" s="176"/>
      <c r="D18" s="177" t="s">
        <v>851</v>
      </c>
      <c r="E18" s="83">
        <v>1168</v>
      </c>
      <c r="F18" s="83">
        <v>1802</v>
      </c>
      <c r="G18" s="83">
        <v>2756</v>
      </c>
      <c r="H18" s="83">
        <v>4313</v>
      </c>
      <c r="I18" s="83">
        <v>6137</v>
      </c>
      <c r="J18" s="83"/>
      <c r="K18" s="83">
        <f ca="1">资产负债假设!J25</f>
        <v>10475.827374940243</v>
      </c>
      <c r="L18" s="83">
        <f ca="1">资产负债假设!K25</f>
        <v>12770.124181085122</v>
      </c>
      <c r="M18" s="83">
        <f ca="1">资产负债假设!L25</f>
        <v>15188.365926371062</v>
      </c>
      <c r="N18" s="83">
        <f ca="1">资产负债假设!M25</f>
        <v>17897.563221022036</v>
      </c>
      <c r="O18" s="83">
        <f ca="1">资产负债假设!N25</f>
        <v>20949.861336253216</v>
      </c>
      <c r="P18" s="87"/>
    </row>
    <row r="19" spans="2:16" s="1" customFormat="1" ht="24.95" customHeight="1">
      <c r="B19" s="87"/>
      <c r="C19" s="176"/>
      <c r="D19" s="177" t="s">
        <v>852</v>
      </c>
      <c r="E19" s="83">
        <v>-171</v>
      </c>
      <c r="F19" s="83">
        <v>347</v>
      </c>
      <c r="G19" s="83">
        <v>2793</v>
      </c>
      <c r="H19" s="83">
        <v>2522</v>
      </c>
      <c r="I19" s="83">
        <v>-821</v>
      </c>
      <c r="J19" s="83"/>
      <c r="K19" s="83"/>
      <c r="L19" s="83"/>
      <c r="M19" s="83"/>
      <c r="N19" s="83"/>
      <c r="O19" s="83"/>
      <c r="P19" s="87"/>
    </row>
    <row r="20" spans="2:16" s="1" customFormat="1" ht="24.95" customHeight="1">
      <c r="B20" s="87"/>
      <c r="C20" s="176"/>
      <c r="D20" s="177" t="s">
        <v>853</v>
      </c>
      <c r="E20" s="83">
        <v>87</v>
      </c>
      <c r="F20" s="83">
        <v>2437</v>
      </c>
      <c r="G20" s="83">
        <v>2225</v>
      </c>
      <c r="H20" s="83">
        <v>4443</v>
      </c>
      <c r="I20" s="83">
        <v>2555</v>
      </c>
      <c r="J20" s="83"/>
      <c r="K20" s="83"/>
      <c r="L20" s="83"/>
      <c r="M20" s="83"/>
      <c r="N20" s="83"/>
      <c r="O20" s="83"/>
      <c r="P20" s="87"/>
    </row>
    <row r="21" spans="2:16" s="1" customFormat="1" ht="24.95" customHeight="1">
      <c r="B21" s="87"/>
      <c r="C21" s="176"/>
      <c r="D21" s="177" t="s">
        <v>854</v>
      </c>
      <c r="E21" s="83"/>
      <c r="F21" s="83">
        <v>-86</v>
      </c>
      <c r="G21" s="83">
        <v>-462</v>
      </c>
      <c r="H21" s="83">
        <v>-658</v>
      </c>
      <c r="I21" s="83">
        <v>-4298</v>
      </c>
      <c r="J21" s="83"/>
      <c r="K21" s="83"/>
      <c r="L21" s="83"/>
      <c r="M21" s="83"/>
      <c r="N21" s="83"/>
      <c r="O21" s="83"/>
      <c r="P21" s="87"/>
    </row>
    <row r="22" spans="2:16" s="1" customFormat="1" ht="24.95" customHeight="1">
      <c r="B22" s="87"/>
      <c r="C22" s="176"/>
      <c r="D22" s="177" t="s">
        <v>855</v>
      </c>
      <c r="E22" s="83"/>
      <c r="F22" s="83">
        <v>73</v>
      </c>
      <c r="G22" s="83">
        <v>148</v>
      </c>
      <c r="H22" s="83">
        <v>366</v>
      </c>
      <c r="I22" s="83">
        <v>239</v>
      </c>
      <c r="J22" s="83"/>
      <c r="K22" s="83"/>
      <c r="L22" s="83"/>
      <c r="M22" s="83"/>
      <c r="N22" s="83"/>
      <c r="O22" s="83"/>
      <c r="P22" s="87"/>
    </row>
    <row r="23" spans="2:16" s="1" customFormat="1" ht="24.95" customHeight="1">
      <c r="B23" s="87"/>
      <c r="C23" s="176"/>
      <c r="D23" s="177" t="s">
        <v>856</v>
      </c>
      <c r="E23" s="83">
        <v>-310</v>
      </c>
      <c r="F23" s="83">
        <v>316</v>
      </c>
      <c r="G23" s="83">
        <v>108</v>
      </c>
      <c r="H23" s="83">
        <v>-212</v>
      </c>
      <c r="I23" s="83">
        <v>-152</v>
      </c>
      <c r="J23" s="83"/>
      <c r="K23" s="83"/>
      <c r="L23" s="83"/>
      <c r="M23" s="83"/>
      <c r="N23" s="83"/>
      <c r="O23" s="83"/>
      <c r="P23" s="87"/>
    </row>
    <row r="24" spans="2:16" s="1" customFormat="1" ht="24.95" customHeight="1">
      <c r="B24" s="87"/>
      <c r="C24" s="177" t="s">
        <v>188</v>
      </c>
      <c r="D24" s="249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7"/>
    </row>
    <row r="25" spans="2:16" s="1" customFormat="1" ht="24.95" customHeight="1">
      <c r="B25" s="87"/>
      <c r="C25" s="176"/>
      <c r="D25" s="177" t="s">
        <v>857</v>
      </c>
      <c r="E25" s="83">
        <v>-606</v>
      </c>
      <c r="F25" s="83">
        <v>-1418</v>
      </c>
      <c r="G25" s="83">
        <v>-2469</v>
      </c>
      <c r="H25" s="83">
        <v>-2930</v>
      </c>
      <c r="I25" s="83">
        <v>-6400</v>
      </c>
      <c r="J25" s="83"/>
      <c r="K25" s="83">
        <f ca="1">BS!H12-BS!I12</f>
        <v>-10372.360647926827</v>
      </c>
      <c r="L25" s="83">
        <f ca="1">BS!I12-BS!J12</f>
        <v>-8497.3955783143683</v>
      </c>
      <c r="M25" s="83">
        <f ca="1">BS!J12-BS!K12</f>
        <v>-8956.4509084664387</v>
      </c>
      <c r="N25" s="83">
        <f ca="1">BS!K12-BS!L12</f>
        <v>-10034.064054262875</v>
      </c>
      <c r="O25" s="83">
        <f ca="1">BS!L12-BS!M12</f>
        <v>-11304.80783418956</v>
      </c>
      <c r="P25" s="87"/>
    </row>
    <row r="26" spans="2:16" s="1" customFormat="1" ht="24.95" customHeight="1">
      <c r="B26" s="87"/>
      <c r="C26" s="176"/>
      <c r="D26" s="177" t="s">
        <v>227</v>
      </c>
      <c r="E26" s="83">
        <v>-815</v>
      </c>
      <c r="F26" s="83">
        <v>1300</v>
      </c>
      <c r="G26" s="83">
        <v>-17</v>
      </c>
      <c r="H26" s="83">
        <v>-38</v>
      </c>
      <c r="I26" s="83">
        <v>-39</v>
      </c>
      <c r="J26" s="83"/>
      <c r="K26" s="83">
        <f ca="1">BS!H11-BS!I11</f>
        <v>-117.8465150196588</v>
      </c>
      <c r="L26" s="83">
        <f ca="1">BS!I11-BS!J11</f>
        <v>-105.51324697106463</v>
      </c>
      <c r="M26" s="83">
        <f ca="1">BS!J11-BS!K11</f>
        <v>-107.4682738987442</v>
      </c>
      <c r="N26" s="83">
        <f ca="1">BS!K11-BS!L11</f>
        <v>-118.89439273482697</v>
      </c>
      <c r="O26" s="83">
        <f ca="1">BS!L11-BS!M11</f>
        <v>-134.70938183123371</v>
      </c>
      <c r="P26" s="87"/>
    </row>
    <row r="27" spans="2:16" s="1" customFormat="1" ht="24.95" customHeight="1">
      <c r="B27" s="87"/>
      <c r="C27" s="176"/>
      <c r="D27" s="177" t="s">
        <v>858</v>
      </c>
      <c r="E27" s="83">
        <v>-940</v>
      </c>
      <c r="F27" s="83">
        <v>-1751</v>
      </c>
      <c r="G27" s="83">
        <v>-5081</v>
      </c>
      <c r="H27" s="83">
        <v>-4108</v>
      </c>
      <c r="I27" s="83">
        <v>-3760</v>
      </c>
      <c r="J27" s="83"/>
      <c r="K27" s="83">
        <f ca="1">BS!H13-BS!I13+BS!H29-BS!I29</f>
        <v>-9950.1597196897856</v>
      </c>
      <c r="L27" s="83">
        <f ca="1">BS!I13-BS!J13+BS!I29-BS!J29</f>
        <v>-11405.102064690469</v>
      </c>
      <c r="M27" s="83">
        <f ca="1">BS!J13-BS!K13+BS!J29-BS!K29</f>
        <v>-11824.101670810862</v>
      </c>
      <c r="N27" s="83">
        <f ca="1">BS!K13-BS!L13+BS!K29-BS!L29</f>
        <v>-13167.565713570264</v>
      </c>
      <c r="O27" s="83">
        <f ca="1">BS!L13-BS!M13+BS!L29-BS!M29</f>
        <v>-14875.037779579638</v>
      </c>
      <c r="P27" s="87"/>
    </row>
    <row r="28" spans="2:16" s="1" customFormat="1" ht="24.95" customHeight="1">
      <c r="B28" s="87"/>
      <c r="C28" s="176"/>
      <c r="D28" s="177" t="s">
        <v>859</v>
      </c>
      <c r="E28" s="83">
        <v>2036</v>
      </c>
      <c r="F28" s="83">
        <v>1788</v>
      </c>
      <c r="G28" s="83">
        <v>5969</v>
      </c>
      <c r="H28" s="83">
        <v>7060</v>
      </c>
      <c r="I28" s="83">
        <v>16134</v>
      </c>
      <c r="J28" s="83"/>
      <c r="K28" s="83">
        <f ca="1">BS!I36-BS!H36</f>
        <v>27388.0253758787</v>
      </c>
      <c r="L28" s="83">
        <f ca="1">BS!J36-BS!I36</f>
        <v>24148.246932470662</v>
      </c>
      <c r="M28" s="83">
        <f ca="1">BS!K36-BS!J36</f>
        <v>24595.683385849654</v>
      </c>
      <c r="N28" s="83">
        <f ca="1">BS!L36-BS!K36</f>
        <v>27210.71748871592</v>
      </c>
      <c r="O28" s="83">
        <f ca="1">BS!M36-BS!L36</f>
        <v>30830.208622744685</v>
      </c>
      <c r="P28" s="87"/>
    </row>
    <row r="29" spans="2:16" s="1" customFormat="1" ht="24.95" customHeight="1">
      <c r="B29" s="87"/>
      <c r="C29" s="176"/>
      <c r="D29" s="177" t="s">
        <v>860</v>
      </c>
      <c r="E29" s="83">
        <v>4071</v>
      </c>
      <c r="F29" s="83">
        <v>2975</v>
      </c>
      <c r="G29" s="83">
        <v>3654</v>
      </c>
      <c r="H29" s="83">
        <v>2506</v>
      </c>
      <c r="I29" s="83">
        <v>8422</v>
      </c>
      <c r="J29" s="83"/>
      <c r="K29" s="83">
        <f ca="1">BS!I37-BS!H37+BS!I46-BS!H46</f>
        <v>9973.8938720119622</v>
      </c>
      <c r="L29" s="83">
        <f ca="1">BS!J37-BS!I37+BS!J46-BS!I46</f>
        <v>10867.698896761747</v>
      </c>
      <c r="M29" s="83">
        <f ca="1">BS!K37-BS!J37+BS!K46-BS!J46</f>
        <v>11053.072752582593</v>
      </c>
      <c r="N29" s="83">
        <f ca="1">BS!L37-BS!K37+BS!L46-BS!K46</f>
        <v>12143.638889589216</v>
      </c>
      <c r="O29" s="83">
        <f ca="1">BS!M37-BS!L37+BS!M46-BS!L46</f>
        <v>13631.80876876898</v>
      </c>
      <c r="P29" s="87"/>
    </row>
    <row r="30" spans="2:16" s="1" customFormat="1" ht="24.95" customHeight="1">
      <c r="B30" s="87"/>
      <c r="C30" s="176"/>
      <c r="D30" s="177" t="s">
        <v>861</v>
      </c>
      <c r="E30" s="83">
        <v>52</v>
      </c>
      <c r="F30" s="83">
        <v>-25</v>
      </c>
      <c r="G30" s="83">
        <v>-106</v>
      </c>
      <c r="H30" s="83">
        <v>49</v>
      </c>
      <c r="I30" s="83">
        <v>189</v>
      </c>
      <c r="J30" s="83"/>
      <c r="K30" s="83">
        <f ca="1">BS!H31-BS!I31+BS!I39-BS!H39+BS!I41-BS!H41+BS!I48-BS!H48</f>
        <v>-40.609889009516337</v>
      </c>
      <c r="L30" s="83">
        <f ca="1">BS!I31-BS!J31+BS!J39-BS!I39+BS!J41-BS!I41+BS!J48-BS!I48</f>
        <v>966.88728295366127</v>
      </c>
      <c r="M30" s="83">
        <f ca="1">BS!J31-BS!K31+BS!K39-BS!J39+BS!K41-BS!J41+BS!K48-BS!J48</f>
        <v>1158.4088397584528</v>
      </c>
      <c r="N30" s="83">
        <f ca="1">BS!K31-BS!L31+BS!L39-BS!K39+BS!L41-BS!K41+BS!L48-BS!K48</f>
        <v>1375.6071122665981</v>
      </c>
      <c r="O30" s="83">
        <f ca="1">BS!L31-BS!M31+BS!M39-BS!L39+BS!M41-BS!L41+BS!M48-BS!L48</f>
        <v>1559.202612178804</v>
      </c>
      <c r="P30" s="87"/>
    </row>
    <row r="31" spans="2:16" s="1" customFormat="1" ht="24.95" customHeight="1">
      <c r="B31" s="87"/>
      <c r="C31" s="176"/>
      <c r="D31" s="177" t="s">
        <v>198</v>
      </c>
      <c r="E31" s="83">
        <v>3728</v>
      </c>
      <c r="F31" s="83">
        <v>2687</v>
      </c>
      <c r="G31" s="83">
        <v>4439</v>
      </c>
      <c r="H31" s="83">
        <v>8428</v>
      </c>
      <c r="I31" s="83">
        <v>9117</v>
      </c>
      <c r="J31" s="83"/>
      <c r="K31" s="83">
        <f ca="1">BS!I42-BS!H42+BS!I49-BS!H49</f>
        <v>11908.498850674383</v>
      </c>
      <c r="L31" s="83">
        <f ca="1">BS!J42-BS!I42+BS!J49-BS!I49</f>
        <v>13438.479988065068</v>
      </c>
      <c r="M31" s="83">
        <f ca="1">BS!K42-BS!J42+BS!K49-BS!J49</f>
        <v>14164.467828787325</v>
      </c>
      <c r="N31" s="83">
        <f ca="1">BS!L42-BS!K42+BS!L49-BS!K49</f>
        <v>15868.693854420215</v>
      </c>
      <c r="O31" s="83">
        <f ca="1">BS!M42-BS!L42+BS!M49-BS!L49</f>
        <v>17878.352543264096</v>
      </c>
      <c r="P31" s="87"/>
    </row>
    <row r="32" spans="2:16" s="1" customFormat="1" ht="24.95" customHeight="1">
      <c r="B32" s="87"/>
      <c r="C32" s="176"/>
      <c r="D32" s="177" t="s">
        <v>269</v>
      </c>
      <c r="E32" s="83">
        <v>-1611</v>
      </c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7"/>
    </row>
    <row r="33" spans="2:19" s="1" customFormat="1" ht="24.95" customHeight="1">
      <c r="B33" s="87"/>
      <c r="C33" s="176"/>
      <c r="D33" s="177" t="s">
        <v>270</v>
      </c>
      <c r="E33" s="83">
        <v>-3118</v>
      </c>
      <c r="F33" s="83">
        <v>-4703</v>
      </c>
      <c r="G33" s="83">
        <v>-5047</v>
      </c>
      <c r="H33" s="83">
        <v>-10516</v>
      </c>
      <c r="I33" s="83">
        <v>-13862</v>
      </c>
      <c r="J33" s="83"/>
      <c r="K33" s="83">
        <f>BS!H9-BS!I9</f>
        <v>0</v>
      </c>
      <c r="L33" s="83">
        <f>BS!I9-BS!J9</f>
        <v>0</v>
      </c>
      <c r="M33" s="83">
        <f>BS!J9-BS!K9</f>
        <v>0</v>
      </c>
      <c r="N33" s="83">
        <f>BS!K9-BS!L9</f>
        <v>0</v>
      </c>
      <c r="O33" s="83">
        <f>BS!L9-BS!M9</f>
        <v>0</v>
      </c>
      <c r="P33" s="87"/>
    </row>
    <row r="34" spans="2:19" s="1" customFormat="1" ht="24.95" customHeight="1">
      <c r="B34" s="87"/>
      <c r="C34" s="176"/>
      <c r="D34" s="203" t="s">
        <v>190</v>
      </c>
      <c r="E34" s="83">
        <f t="shared" ref="E34:N34" si="0">SUM(E8:E33)</f>
        <v>24374</v>
      </c>
      <c r="F34" s="83">
        <f t="shared" si="0"/>
        <v>32711</v>
      </c>
      <c r="G34" s="83">
        <f t="shared" si="0"/>
        <v>45431</v>
      </c>
      <c r="H34" s="83">
        <f t="shared" si="0"/>
        <v>65518</v>
      </c>
      <c r="I34" s="83">
        <f t="shared" si="0"/>
        <v>106140</v>
      </c>
      <c r="J34" s="83">
        <v>106443</v>
      </c>
      <c r="K34" s="83">
        <f t="shared" ca="1" si="0"/>
        <v>148492.55696053646</v>
      </c>
      <c r="L34" s="83">
        <f t="shared" ca="1" si="0"/>
        <v>174617.58669969323</v>
      </c>
      <c r="M34" s="83">
        <f t="shared" ca="1" si="0"/>
        <v>203641.36890350946</v>
      </c>
      <c r="N34" s="83">
        <f t="shared" ca="1" si="0"/>
        <v>239053.47130836319</v>
      </c>
      <c r="O34" s="83">
        <f t="shared" ref="O34" ca="1" si="1">SUM(O8:O33)</f>
        <v>277188.34610965825</v>
      </c>
      <c r="P34" s="87"/>
      <c r="S34" s="555"/>
    </row>
    <row r="35" spans="2:19" s="1" customFormat="1" ht="24.95" customHeight="1">
      <c r="B35" s="87"/>
      <c r="C35" s="174" t="s">
        <v>189</v>
      </c>
      <c r="D35" s="175"/>
      <c r="E35" s="175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7"/>
    </row>
    <row r="36" spans="2:19" s="1" customFormat="1" ht="24.95" customHeight="1">
      <c r="B36" s="87"/>
      <c r="C36" s="176"/>
      <c r="D36" s="177" t="s">
        <v>862</v>
      </c>
      <c r="E36" s="83">
        <v>4</v>
      </c>
      <c r="F36" s="83">
        <v>-1911</v>
      </c>
      <c r="G36" s="83">
        <v>-1349</v>
      </c>
      <c r="H36" s="83">
        <v>1285</v>
      </c>
      <c r="I36" s="83">
        <v>-21</v>
      </c>
      <c r="J36" s="83"/>
      <c r="K36" s="83"/>
      <c r="L36" s="83"/>
      <c r="M36" s="83"/>
      <c r="N36" s="83"/>
      <c r="O36" s="83"/>
      <c r="P36" s="87"/>
    </row>
    <row r="37" spans="2:19" s="1" customFormat="1" ht="24.95" customHeight="1">
      <c r="B37" s="87"/>
      <c r="C37" s="176"/>
      <c r="D37" s="177" t="s">
        <v>863</v>
      </c>
      <c r="E37" s="83">
        <v>203</v>
      </c>
      <c r="F37" s="83">
        <v>187</v>
      </c>
      <c r="G37" s="83">
        <v>82</v>
      </c>
      <c r="H37" s="83"/>
      <c r="I37" s="83"/>
      <c r="J37" s="83"/>
      <c r="K37" s="83"/>
      <c r="L37" s="83"/>
      <c r="M37" s="83"/>
      <c r="N37" s="83"/>
      <c r="O37" s="83"/>
      <c r="P37" s="87"/>
    </row>
    <row r="38" spans="2:19" s="1" customFormat="1" ht="24.95" customHeight="1">
      <c r="B38" s="87"/>
      <c r="C38" s="174"/>
      <c r="D38" s="177" t="s">
        <v>864</v>
      </c>
      <c r="E38" s="83"/>
      <c r="F38" s="83"/>
      <c r="G38" s="83"/>
      <c r="H38" s="83">
        <v>619</v>
      </c>
      <c r="I38" s="83">
        <v>-3</v>
      </c>
      <c r="J38" s="83"/>
      <c r="K38" s="83"/>
      <c r="L38" s="83"/>
      <c r="M38" s="83"/>
      <c r="N38" s="83"/>
      <c r="O38" s="83"/>
      <c r="P38" s="87"/>
    </row>
    <row r="39" spans="2:19" s="1" customFormat="1" ht="24.95" customHeight="1">
      <c r="B39" s="87"/>
      <c r="C39" s="174"/>
      <c r="D39" s="177" t="s">
        <v>865</v>
      </c>
      <c r="E39" s="83">
        <v>-4788</v>
      </c>
      <c r="F39" s="83">
        <v>-4296</v>
      </c>
      <c r="G39" s="83">
        <v>-5440</v>
      </c>
      <c r="H39" s="83">
        <v>-8399</v>
      </c>
      <c r="I39" s="83">
        <v>-12108</v>
      </c>
      <c r="J39" s="701"/>
      <c r="K39" s="701">
        <f ca="1">BS!H16-BS!I16-资本开支假设!H62+BS!H17-BS!I17+BS!H18-BS!I18</f>
        <v>-25487.915239695871</v>
      </c>
      <c r="L39" s="701">
        <f ca="1">BS!I16-BS!J16-资本开支假设!I62+BS!I17-BS!J17+BS!I18-BS!J18</f>
        <v>-30497.535197949706</v>
      </c>
      <c r="M39" s="701">
        <f ca="1">BS!J16-BS!K16-资本开支假设!J62+BS!J17-BS!K17+BS!J18-BS!K18</f>
        <v>-36061.669397637539</v>
      </c>
      <c r="N39" s="701">
        <f ca="1">BS!K16-BS!L16-资本开支假设!K62+BS!K17-BS!L17+BS!K18-BS!L18</f>
        <v>-42398.662219261547</v>
      </c>
      <c r="O39" s="701">
        <f ca="1">BS!L16-BS!M16-资本开支假设!L62+BS!L17-BS!M17+BS!L18-BS!M18</f>
        <v>-49548.590402889306</v>
      </c>
      <c r="P39" s="87"/>
    </row>
    <row r="40" spans="2:19" s="1" customFormat="1" ht="24.95" customHeight="1">
      <c r="B40" s="87"/>
      <c r="C40" s="174"/>
      <c r="D40" s="177" t="s">
        <v>866</v>
      </c>
      <c r="E40" s="83">
        <v>17</v>
      </c>
      <c r="F40" s="83">
        <v>40</v>
      </c>
      <c r="G40" s="83">
        <v>70</v>
      </c>
      <c r="H40" s="83">
        <v>31</v>
      </c>
      <c r="I40" s="83">
        <v>28</v>
      </c>
      <c r="J40" s="702"/>
      <c r="K40" s="702"/>
      <c r="L40" s="702"/>
      <c r="M40" s="702"/>
      <c r="N40" s="702"/>
      <c r="O40" s="702"/>
      <c r="P40" s="87"/>
    </row>
    <row r="41" spans="2:19" s="1" customFormat="1" ht="24.95" customHeight="1">
      <c r="B41" s="87"/>
      <c r="C41" s="174"/>
      <c r="D41" s="177" t="s">
        <v>867</v>
      </c>
      <c r="E41" s="83">
        <v>-4155</v>
      </c>
      <c r="F41" s="83">
        <v>-31929</v>
      </c>
      <c r="G41" s="83">
        <v>-11423</v>
      </c>
      <c r="H41" s="83">
        <v>-8934</v>
      </c>
      <c r="I41" s="83">
        <v>-17528</v>
      </c>
      <c r="J41" s="701"/>
      <c r="K41" s="701">
        <f>BS!H23-BS!I23</f>
        <v>-65764.5</v>
      </c>
      <c r="L41" s="701">
        <f>BS!I23-BS!J23</f>
        <v>-85493.850000000035</v>
      </c>
      <c r="M41" s="701">
        <f>BS!J23-BS!K23</f>
        <v>-111142.005</v>
      </c>
      <c r="N41" s="701">
        <f>BS!K23-BS!L23</f>
        <v>-144484.60650000005</v>
      </c>
      <c r="O41" s="701">
        <f>BS!L23-BS!M23</f>
        <v>-187829.98845000006</v>
      </c>
      <c r="P41" s="87"/>
    </row>
    <row r="42" spans="2:19" s="1" customFormat="1" ht="24.95" customHeight="1">
      <c r="B42" s="87"/>
      <c r="C42" s="174"/>
      <c r="D42" s="177" t="s">
        <v>868</v>
      </c>
      <c r="E42" s="83">
        <v>155</v>
      </c>
      <c r="F42" s="83">
        <v>1027</v>
      </c>
      <c r="G42" s="83">
        <v>1106</v>
      </c>
      <c r="H42" s="83">
        <v>1107</v>
      </c>
      <c r="I42" s="83">
        <v>608</v>
      </c>
      <c r="J42" s="702"/>
      <c r="K42" s="702"/>
      <c r="L42" s="702"/>
      <c r="M42" s="702"/>
      <c r="N42" s="702"/>
      <c r="O42" s="702"/>
      <c r="P42" s="87"/>
    </row>
    <row r="43" spans="2:19" s="1" customFormat="1" ht="24.95" customHeight="1">
      <c r="B43" s="87"/>
      <c r="C43" s="174"/>
      <c r="D43" s="177" t="s">
        <v>869</v>
      </c>
      <c r="E43" s="83">
        <v>-301</v>
      </c>
      <c r="F43" s="83">
        <v>-2524</v>
      </c>
      <c r="G43" s="83">
        <v>-2394</v>
      </c>
      <c r="H43" s="83">
        <v>-3324</v>
      </c>
      <c r="I43" s="83">
        <v>-16384</v>
      </c>
      <c r="J43" s="83"/>
      <c r="K43" s="83">
        <f>BS!H24-BS!I24</f>
        <v>0</v>
      </c>
      <c r="L43" s="83">
        <f>BS!I24-BS!J24</f>
        <v>0</v>
      </c>
      <c r="M43" s="83">
        <f>BS!J24-BS!K24</f>
        <v>0</v>
      </c>
      <c r="N43" s="83">
        <f>BS!K24-BS!L24</f>
        <v>0</v>
      </c>
      <c r="O43" s="83">
        <f>BS!L24-BS!M24</f>
        <v>0</v>
      </c>
      <c r="P43" s="87"/>
    </row>
    <row r="44" spans="2:19" s="1" customFormat="1" ht="24.95" customHeight="1">
      <c r="B44" s="87"/>
      <c r="C44" s="174"/>
      <c r="D44" s="177" t="s">
        <v>870</v>
      </c>
      <c r="E44" s="83"/>
      <c r="F44" s="83">
        <v>193</v>
      </c>
      <c r="G44" s="83"/>
      <c r="H44" s="83"/>
      <c r="I44" s="83"/>
      <c r="J44" s="83"/>
      <c r="K44" s="83"/>
      <c r="L44" s="83"/>
      <c r="M44" s="83"/>
      <c r="N44" s="83"/>
      <c r="O44" s="83"/>
      <c r="P44" s="87"/>
    </row>
    <row r="45" spans="2:19" s="1" customFormat="1" ht="24.95" customHeight="1">
      <c r="B45" s="87"/>
      <c r="C45" s="174"/>
      <c r="D45" s="177" t="s">
        <v>871</v>
      </c>
      <c r="E45" s="83"/>
      <c r="F45" s="83"/>
      <c r="G45" s="83"/>
      <c r="H45" s="83">
        <v>266</v>
      </c>
      <c r="I45" s="83">
        <v>507</v>
      </c>
      <c r="J45" s="83"/>
      <c r="K45" s="83"/>
      <c r="L45" s="83"/>
      <c r="M45" s="83"/>
      <c r="N45" s="83"/>
      <c r="O45" s="83"/>
      <c r="P45" s="87"/>
    </row>
    <row r="46" spans="2:19" s="1" customFormat="1" ht="24.95" customHeight="1">
      <c r="B46" s="87"/>
      <c r="C46" s="174"/>
      <c r="D46" s="177" t="s">
        <v>872</v>
      </c>
      <c r="E46" s="83">
        <v>-9</v>
      </c>
      <c r="F46" s="83">
        <v>-2</v>
      </c>
      <c r="G46" s="83">
        <v>-500</v>
      </c>
      <c r="H46" s="83">
        <v>-62</v>
      </c>
      <c r="I46" s="83">
        <v>-7091</v>
      </c>
      <c r="J46" s="701"/>
      <c r="K46" s="701">
        <f>BS!H25-BS!I25</f>
        <v>-1715</v>
      </c>
      <c r="L46" s="701">
        <f>BS!I25-BS!J25</f>
        <v>-2058</v>
      </c>
      <c r="M46" s="701">
        <f>BS!J25-BS!K25</f>
        <v>-2469.5999999999985</v>
      </c>
      <c r="N46" s="701">
        <f>BS!K25-BS!L25</f>
        <v>-2963.5200000000004</v>
      </c>
      <c r="O46" s="701">
        <f>BS!L25-BS!M25</f>
        <v>-3556.2239999999983</v>
      </c>
      <c r="P46" s="87"/>
    </row>
    <row r="47" spans="2:19" s="1" customFormat="1" ht="24.95" customHeight="1">
      <c r="B47" s="87"/>
      <c r="C47" s="174"/>
      <c r="D47" s="177" t="s">
        <v>873</v>
      </c>
      <c r="E47" s="83"/>
      <c r="F47" s="83"/>
      <c r="G47" s="83"/>
      <c r="H47" s="83">
        <v>3</v>
      </c>
      <c r="I47" s="83">
        <v>9</v>
      </c>
      <c r="J47" s="702"/>
      <c r="K47" s="702"/>
      <c r="L47" s="702"/>
      <c r="M47" s="702"/>
      <c r="N47" s="702"/>
      <c r="O47" s="702"/>
      <c r="P47" s="87"/>
    </row>
    <row r="48" spans="2:19" s="1" customFormat="1" ht="24.95" customHeight="1">
      <c r="B48" s="87"/>
      <c r="C48" s="174"/>
      <c r="D48" s="177" t="s">
        <v>874</v>
      </c>
      <c r="E48" s="83">
        <v>-1200</v>
      </c>
      <c r="F48" s="83">
        <v>-2320</v>
      </c>
      <c r="G48" s="83">
        <v>-4620</v>
      </c>
      <c r="H48" s="83">
        <v>-8849</v>
      </c>
      <c r="I48" s="83">
        <v>-19850</v>
      </c>
      <c r="J48" s="83"/>
      <c r="K48" s="83">
        <f ca="1">BS!H20-BS!I20-资本开支假设!H63</f>
        <v>-21176.046072628407</v>
      </c>
      <c r="L48" s="83">
        <f ca="1">BS!I20-BS!J20-资本开支假设!I63</f>
        <v>-39348.839582033936</v>
      </c>
      <c r="M48" s="83">
        <f ca="1">BS!J20-BS!K20-资本开支假设!J63</f>
        <v>-45309.940987564587</v>
      </c>
      <c r="N48" s="83">
        <f ca="1">BS!K20-BS!L20-资本开支假设!K63</f>
        <v>-51775.60398985885</v>
      </c>
      <c r="O48" s="83">
        <f ca="1">BS!L20-BS!M20-资本开支假设!L63</f>
        <v>-58839.563547775804</v>
      </c>
      <c r="P48" s="87"/>
    </row>
    <row r="49" spans="2:16" s="1" customFormat="1" ht="24.95" customHeight="1">
      <c r="B49" s="87"/>
      <c r="C49" s="174"/>
      <c r="D49" s="177" t="s">
        <v>875</v>
      </c>
      <c r="E49" s="83"/>
      <c r="F49" s="83">
        <v>48</v>
      </c>
      <c r="G49" s="83">
        <v>115</v>
      </c>
      <c r="H49" s="83"/>
      <c r="I49" s="83"/>
      <c r="J49" s="83"/>
      <c r="K49" s="83"/>
      <c r="L49" s="83"/>
      <c r="M49" s="83"/>
      <c r="N49" s="83"/>
      <c r="O49" s="83"/>
      <c r="P49" s="87"/>
    </row>
    <row r="50" spans="2:16" s="1" customFormat="1" ht="24.95" customHeight="1">
      <c r="B50" s="87"/>
      <c r="C50" s="174"/>
      <c r="D50" s="177" t="s">
        <v>876</v>
      </c>
      <c r="E50" s="83">
        <v>-93</v>
      </c>
      <c r="F50" s="83">
        <v>-23</v>
      </c>
      <c r="G50" s="83">
        <v>-3045</v>
      </c>
      <c r="H50" s="83">
        <v>-1506</v>
      </c>
      <c r="I50" s="83">
        <v>-46</v>
      </c>
      <c r="J50" s="701"/>
      <c r="K50" s="701">
        <f ca="1">BS!H19-BS!I19-资本开支假设!H64</f>
        <v>-105.53424635352292</v>
      </c>
      <c r="L50" s="701">
        <f ca="1">BS!I19-BS!J19-资本开支假设!I64</f>
        <v>-1512.5572037276452</v>
      </c>
      <c r="M50" s="701">
        <f ca="1">BS!J19-BS!K19-资本开支假设!J64</f>
        <v>-1798.9858179148837</v>
      </c>
      <c r="N50" s="701">
        <f ca="1">BS!K19-BS!L19-资本开支假设!K64</f>
        <v>-2119.8766586173865</v>
      </c>
      <c r="O50" s="701">
        <f ca="1">BS!L19-BS!M19-资本开支假设!L64</f>
        <v>-2481.4060718517167</v>
      </c>
      <c r="P50" s="87"/>
    </row>
    <row r="51" spans="2:16" s="1" customFormat="1" ht="24.95" customHeight="1">
      <c r="B51" s="87"/>
      <c r="C51" s="174"/>
      <c r="D51" s="177" t="s">
        <v>877</v>
      </c>
      <c r="E51" s="83"/>
      <c r="F51" s="83">
        <v>127</v>
      </c>
      <c r="G51" s="83"/>
      <c r="H51" s="83"/>
      <c r="I51" s="83"/>
      <c r="J51" s="702"/>
      <c r="K51" s="702"/>
      <c r="L51" s="702"/>
      <c r="M51" s="702"/>
      <c r="N51" s="702"/>
      <c r="O51" s="702"/>
      <c r="P51" s="87"/>
    </row>
    <row r="52" spans="2:16" s="1" customFormat="1" ht="24.95" customHeight="1">
      <c r="B52" s="87"/>
      <c r="C52" s="174"/>
      <c r="D52" s="177" t="s">
        <v>878</v>
      </c>
      <c r="E52" s="83">
        <v>-3651</v>
      </c>
      <c r="F52" s="83">
        <v>-4622</v>
      </c>
      <c r="G52" s="83">
        <v>-13001</v>
      </c>
      <c r="H52" s="83">
        <v>-33556</v>
      </c>
      <c r="I52" s="83">
        <v>-47716</v>
      </c>
      <c r="J52" s="701"/>
      <c r="K52" s="701">
        <f>BS!H26-BS!I26</f>
        <v>0</v>
      </c>
      <c r="L52" s="701">
        <f>BS!I26-BS!J26</f>
        <v>0</v>
      </c>
      <c r="M52" s="701">
        <f>BS!J26-BS!K26</f>
        <v>0</v>
      </c>
      <c r="N52" s="701">
        <f>BS!K26-BS!L26</f>
        <v>0</v>
      </c>
      <c r="O52" s="701">
        <f>BS!L26-BS!M26</f>
        <v>0</v>
      </c>
      <c r="P52" s="87"/>
    </row>
    <row r="53" spans="2:16" s="1" customFormat="1" ht="24.95" customHeight="1">
      <c r="B53" s="87"/>
      <c r="C53" s="174"/>
      <c r="D53" s="177" t="s">
        <v>879</v>
      </c>
      <c r="E53" s="83"/>
      <c r="F53" s="83">
        <v>352</v>
      </c>
      <c r="G53" s="83">
        <v>223</v>
      </c>
      <c r="H53" s="83">
        <v>1637</v>
      </c>
      <c r="I53" s="83">
        <v>4705</v>
      </c>
      <c r="J53" s="702"/>
      <c r="K53" s="702"/>
      <c r="L53" s="702"/>
      <c r="M53" s="702"/>
      <c r="N53" s="702"/>
      <c r="O53" s="702"/>
      <c r="P53" s="87"/>
    </row>
    <row r="54" spans="2:16" s="1" customFormat="1" ht="24.95" customHeight="1">
      <c r="B54" s="87"/>
      <c r="C54" s="174"/>
      <c r="D54" s="177" t="s">
        <v>880</v>
      </c>
      <c r="E54" s="83"/>
      <c r="F54" s="83"/>
      <c r="G54" s="83"/>
      <c r="H54" s="83"/>
      <c r="I54" s="83"/>
      <c r="J54" s="388"/>
      <c r="K54" s="388">
        <f>BS!H10-BS!I10+BS!H21-BS!I21+BS!H27-BS!I27</f>
        <v>0</v>
      </c>
      <c r="L54" s="638">
        <f>BS!I10-BS!J10+BS!I21-BS!J21+BS!I27-BS!J27</f>
        <v>0</v>
      </c>
      <c r="M54" s="638">
        <f>BS!J10-BS!K10+BS!J21-BS!K21+BS!J27-BS!K27</f>
        <v>0</v>
      </c>
      <c r="N54" s="638">
        <f>BS!K10-BS!L10+BS!K21-BS!L21+BS!K27-BS!L27</f>
        <v>0</v>
      </c>
      <c r="O54" s="638">
        <f>BS!L10-BS!M10+BS!L21-BS!M21+BS!L27-BS!M27</f>
        <v>0</v>
      </c>
      <c r="P54" s="87"/>
    </row>
    <row r="55" spans="2:16" s="1" customFormat="1" ht="24.95" customHeight="1">
      <c r="B55" s="87"/>
      <c r="C55" s="174"/>
      <c r="D55" s="177" t="s">
        <v>881</v>
      </c>
      <c r="E55" s="83"/>
      <c r="F55" s="83"/>
      <c r="G55" s="83"/>
      <c r="H55" s="83"/>
      <c r="I55" s="83"/>
      <c r="J55" s="388"/>
      <c r="K55" s="388">
        <f>BS!H22-BS!I22+BS!H28-BS!I28</f>
        <v>0</v>
      </c>
      <c r="L55" s="638">
        <f>BS!I22-BS!J22+BS!I28-BS!J28</f>
        <v>0</v>
      </c>
      <c r="M55" s="638">
        <f>BS!J22-BS!K22+BS!J28-BS!K28</f>
        <v>0</v>
      </c>
      <c r="N55" s="638">
        <f>BS!K22-BS!L22+BS!K28-BS!L28</f>
        <v>0</v>
      </c>
      <c r="O55" s="638">
        <f>BS!L22-BS!M22+BS!L28-BS!M28</f>
        <v>0</v>
      </c>
      <c r="P55" s="87"/>
    </row>
    <row r="56" spans="2:16" s="1" customFormat="1" ht="24.95" customHeight="1">
      <c r="B56" s="87"/>
      <c r="C56" s="174"/>
      <c r="D56" s="177" t="s">
        <v>882</v>
      </c>
      <c r="E56" s="83"/>
      <c r="F56" s="83"/>
      <c r="G56" s="83"/>
      <c r="H56" s="83">
        <v>-2994</v>
      </c>
      <c r="I56" s="83">
        <v>-2219</v>
      </c>
      <c r="J56" s="83"/>
      <c r="K56" s="83"/>
      <c r="L56" s="83"/>
      <c r="M56" s="83"/>
      <c r="N56" s="83"/>
      <c r="O56" s="83"/>
      <c r="P56" s="87"/>
    </row>
    <row r="57" spans="2:16" s="1" customFormat="1" ht="24.95" customHeight="1">
      <c r="B57" s="87"/>
      <c r="C57" s="174"/>
      <c r="D57" s="177" t="s">
        <v>883</v>
      </c>
      <c r="E57" s="83"/>
      <c r="F57" s="83"/>
      <c r="G57" s="83"/>
      <c r="H57" s="83">
        <v>4046</v>
      </c>
      <c r="I57" s="83">
        <v>1533</v>
      </c>
      <c r="J57" s="83"/>
      <c r="K57" s="83"/>
      <c r="L57" s="83"/>
      <c r="M57" s="83"/>
      <c r="N57" s="83"/>
      <c r="O57" s="83"/>
      <c r="P57" s="87"/>
    </row>
    <row r="58" spans="2:16" s="1" customFormat="1" ht="24.95" customHeight="1">
      <c r="B58" s="87"/>
      <c r="C58" s="174"/>
      <c r="D58" s="177" t="s">
        <v>884</v>
      </c>
      <c r="E58" s="83"/>
      <c r="F58" s="83"/>
      <c r="G58" s="83"/>
      <c r="H58" s="83"/>
      <c r="I58" s="83">
        <v>-995</v>
      </c>
      <c r="J58" s="701"/>
      <c r="K58" s="701">
        <f>BS!H14-BS!I14+BS!H30-BS!I30+BS!I40-BS!H40+BS!I47-BS!H47</f>
        <v>-3213</v>
      </c>
      <c r="L58" s="701">
        <f>BS!I14-BS!J14+BS!I30-BS!J30+BS!J40-BS!I40+BS!J47-BS!I47</f>
        <v>0</v>
      </c>
      <c r="M58" s="701">
        <f>BS!J14-BS!K14+BS!J30-BS!K30+BS!K40-BS!J40+BS!K47-BS!J47</f>
        <v>0</v>
      </c>
      <c r="N58" s="701">
        <f>BS!K14-BS!L14+BS!K30-BS!L30+BS!L40-BS!K40+BS!L47-BS!K47</f>
        <v>0</v>
      </c>
      <c r="O58" s="701">
        <f>BS!L14-BS!M14+BS!L30-BS!M30+BS!M40-BS!L40+BS!M47-BS!L47</f>
        <v>0</v>
      </c>
      <c r="P58" s="87"/>
    </row>
    <row r="59" spans="2:16" s="1" customFormat="1" ht="24.95" customHeight="1">
      <c r="B59" s="87"/>
      <c r="C59" s="174"/>
      <c r="D59" s="177" t="s">
        <v>885</v>
      </c>
      <c r="E59" s="83"/>
      <c r="F59" s="83"/>
      <c r="G59" s="83"/>
      <c r="H59" s="83"/>
      <c r="I59" s="83">
        <v>995</v>
      </c>
      <c r="J59" s="702"/>
      <c r="K59" s="702"/>
      <c r="L59" s="702"/>
      <c r="M59" s="702"/>
      <c r="N59" s="702"/>
      <c r="O59" s="702"/>
      <c r="P59" s="87"/>
    </row>
    <row r="60" spans="2:16" s="1" customFormat="1" ht="24.95" customHeight="1">
      <c r="B60" s="87"/>
      <c r="C60" s="174"/>
      <c r="D60" s="177" t="s">
        <v>886</v>
      </c>
      <c r="E60" s="83">
        <v>-20</v>
      </c>
      <c r="F60" s="83">
        <v>63</v>
      </c>
      <c r="G60" s="83">
        <v>-842</v>
      </c>
      <c r="H60" s="83"/>
      <c r="I60" s="83"/>
      <c r="J60" s="83"/>
      <c r="K60" s="83"/>
      <c r="L60" s="83"/>
      <c r="M60" s="83"/>
      <c r="N60" s="83"/>
      <c r="O60" s="83"/>
      <c r="P60" s="87"/>
    </row>
    <row r="61" spans="2:16" s="1" customFormat="1" ht="24.95" customHeight="1">
      <c r="B61" s="87"/>
      <c r="C61" s="174"/>
      <c r="D61" s="177" t="s">
        <v>887</v>
      </c>
      <c r="E61" s="83">
        <v>-38</v>
      </c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7"/>
    </row>
    <row r="62" spans="2:16" s="1" customFormat="1" ht="24.95" customHeight="1">
      <c r="B62" s="87"/>
      <c r="C62" s="174"/>
      <c r="D62" s="175" t="s">
        <v>888</v>
      </c>
      <c r="E62" s="83">
        <v>15950</v>
      </c>
      <c r="F62" s="83">
        <v>27872</v>
      </c>
      <c r="G62" s="83">
        <v>61810</v>
      </c>
      <c r="H62" s="83">
        <v>42319</v>
      </c>
      <c r="I62" s="83">
        <v>86166</v>
      </c>
      <c r="J62" s="83"/>
      <c r="K62" s="83">
        <f>BS!H8-BS!I8</f>
        <v>0</v>
      </c>
      <c r="L62" s="83">
        <f>BS!I8-BS!J8</f>
        <v>0</v>
      </c>
      <c r="M62" s="83">
        <f>BS!J8-BS!K8</f>
        <v>0</v>
      </c>
      <c r="N62" s="83">
        <f>BS!K8-BS!L8</f>
        <v>0</v>
      </c>
      <c r="O62" s="83">
        <f>BS!L8-BS!M8</f>
        <v>0</v>
      </c>
      <c r="P62" s="87"/>
    </row>
    <row r="63" spans="2:16" s="1" customFormat="1" ht="24.95" customHeight="1">
      <c r="B63" s="87"/>
      <c r="C63" s="174"/>
      <c r="D63" s="175" t="s">
        <v>889</v>
      </c>
      <c r="E63" s="83">
        <v>-22295</v>
      </c>
      <c r="F63" s="83">
        <v>-12428</v>
      </c>
      <c r="G63" s="83">
        <v>-87186</v>
      </c>
      <c r="H63" s="83">
        <v>-57049</v>
      </c>
      <c r="I63" s="83">
        <v>-72520</v>
      </c>
      <c r="J63" s="83"/>
      <c r="K63" s="83">
        <f>BS!H32-BS!I32</f>
        <v>0</v>
      </c>
      <c r="L63" s="83">
        <f>BS!I32-BS!J32</f>
        <v>0</v>
      </c>
      <c r="M63" s="83">
        <f>BS!J32-BS!K32</f>
        <v>0</v>
      </c>
      <c r="N63" s="83">
        <f>BS!K32-BS!L32</f>
        <v>0</v>
      </c>
      <c r="O63" s="83">
        <f>BS!L32-BS!M32</f>
        <v>0</v>
      </c>
      <c r="P63" s="87"/>
    </row>
    <row r="64" spans="2:16" s="1" customFormat="1" ht="24.95" customHeight="1">
      <c r="B64" s="87"/>
      <c r="C64" s="174"/>
      <c r="D64" s="177" t="s">
        <v>271</v>
      </c>
      <c r="E64" s="83">
        <v>536</v>
      </c>
      <c r="F64" s="83">
        <v>1468</v>
      </c>
      <c r="G64" s="83">
        <v>2274</v>
      </c>
      <c r="H64" s="83">
        <v>1718</v>
      </c>
      <c r="I64" s="83">
        <v>3529</v>
      </c>
      <c r="J64" s="83"/>
      <c r="K64" s="83"/>
      <c r="L64" s="83"/>
      <c r="M64" s="83"/>
      <c r="N64" s="83"/>
      <c r="O64" s="83"/>
      <c r="P64" s="87"/>
    </row>
    <row r="65" spans="2:16" s="1" customFormat="1" ht="24.95" customHeight="1">
      <c r="B65" s="87"/>
      <c r="C65" s="174"/>
      <c r="D65" s="177" t="s">
        <v>272</v>
      </c>
      <c r="E65" s="83">
        <v>551</v>
      </c>
      <c r="F65" s="83">
        <v>290</v>
      </c>
      <c r="G65" s="83">
        <v>515</v>
      </c>
      <c r="H65" s="83">
        <v>719</v>
      </c>
      <c r="I65" s="83">
        <v>2009</v>
      </c>
      <c r="J65" s="83"/>
      <c r="K65" s="83"/>
      <c r="L65" s="83"/>
      <c r="M65" s="83"/>
      <c r="N65" s="83"/>
      <c r="O65" s="83"/>
      <c r="P65" s="87"/>
    </row>
    <row r="66" spans="2:16" s="1" customFormat="1" ht="24.95" customHeight="1">
      <c r="B66" s="87"/>
      <c r="C66" s="176"/>
      <c r="D66" s="203" t="s">
        <v>191</v>
      </c>
      <c r="E66" s="83">
        <f t="shared" ref="E66:N66" si="2">SUM(E36:E65)</f>
        <v>-19134</v>
      </c>
      <c r="F66" s="83">
        <f t="shared" si="2"/>
        <v>-28388</v>
      </c>
      <c r="G66" s="83">
        <f t="shared" si="2"/>
        <v>-63605</v>
      </c>
      <c r="H66" s="83">
        <f t="shared" si="2"/>
        <v>-70923</v>
      </c>
      <c r="I66" s="83">
        <f t="shared" si="2"/>
        <v>-96392</v>
      </c>
      <c r="J66" s="83">
        <v>-151913</v>
      </c>
      <c r="K66" s="83">
        <f t="shared" ca="1" si="2"/>
        <v>-117461.99555867779</v>
      </c>
      <c r="L66" s="83">
        <f t="shared" ca="1" si="2"/>
        <v>-158910.78198371135</v>
      </c>
      <c r="M66" s="83">
        <f t="shared" ca="1" si="2"/>
        <v>-196782.20120311703</v>
      </c>
      <c r="N66" s="83">
        <f t="shared" ca="1" si="2"/>
        <v>-243742.26936773781</v>
      </c>
      <c r="O66" s="83">
        <f t="shared" ref="O66" ca="1" si="3">SUM(O36:O65)</f>
        <v>-302255.77247251687</v>
      </c>
      <c r="P66" s="87"/>
    </row>
    <row r="67" spans="2:16" s="1" customFormat="1" ht="24.95" customHeight="1">
      <c r="B67" s="87"/>
      <c r="C67" s="174" t="s">
        <v>192</v>
      </c>
      <c r="D67" s="175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7" t="s">
        <v>8</v>
      </c>
    </row>
    <row r="68" spans="2:16" s="1" customFormat="1" ht="24.95" customHeight="1">
      <c r="B68" s="87"/>
      <c r="C68" s="174"/>
      <c r="D68" s="177" t="s">
        <v>890</v>
      </c>
      <c r="E68" s="83">
        <v>2320</v>
      </c>
      <c r="F68" s="83">
        <v>2549</v>
      </c>
      <c r="G68" s="83">
        <v>8565</v>
      </c>
      <c r="H68" s="83">
        <v>2387</v>
      </c>
      <c r="I68" s="83">
        <v>16676</v>
      </c>
      <c r="J68" s="701"/>
      <c r="K68" s="701">
        <f t="shared" ref="K68:L68" ca="1" si="4">K106</f>
        <v>4194.8282421894619</v>
      </c>
      <c r="L68" s="701">
        <f t="shared" ca="1" si="4"/>
        <v>7025.7461863913122</v>
      </c>
      <c r="M68" s="701">
        <f t="shared" ref="M68:N68" ca="1" si="5">M106</f>
        <v>7306.7290436059266</v>
      </c>
      <c r="N68" s="701">
        <f t="shared" ca="1" si="5"/>
        <v>8146.2645383337658</v>
      </c>
      <c r="O68" s="701">
        <f t="shared" ref="O68" ca="1" si="6">O106</f>
        <v>9197.8779087104194</v>
      </c>
      <c r="P68" s="87"/>
    </row>
    <row r="69" spans="2:16" s="1" customFormat="1" ht="24.95" customHeight="1">
      <c r="B69" s="87"/>
      <c r="C69" s="174"/>
      <c r="D69" s="177" t="s">
        <v>891</v>
      </c>
      <c r="E69" s="83">
        <v>-986</v>
      </c>
      <c r="F69" s="83">
        <v>-2372</v>
      </c>
      <c r="G69" s="83"/>
      <c r="H69" s="83">
        <v>-1734</v>
      </c>
      <c r="I69" s="83">
        <v>-12450</v>
      </c>
      <c r="J69" s="702"/>
      <c r="K69" s="702"/>
      <c r="L69" s="702"/>
      <c r="M69" s="702"/>
      <c r="N69" s="702"/>
      <c r="O69" s="702"/>
      <c r="P69" s="87"/>
    </row>
    <row r="70" spans="2:16" s="1" customFormat="1" ht="24.95" customHeight="1">
      <c r="B70" s="87"/>
      <c r="C70" s="174"/>
      <c r="D70" s="177" t="s">
        <v>892</v>
      </c>
      <c r="E70" s="83">
        <v>2846</v>
      </c>
      <c r="F70" s="83">
        <v>4293</v>
      </c>
      <c r="G70" s="83">
        <v>8581</v>
      </c>
      <c r="H70" s="83">
        <v>55394</v>
      </c>
      <c r="I70" s="83">
        <v>33517</v>
      </c>
      <c r="J70" s="701"/>
      <c r="K70" s="701">
        <f ca="1">BS!I44-BS!H44</f>
        <v>21482.012759194782</v>
      </c>
      <c r="L70" s="701">
        <f ca="1">BS!J44-BS!I44</f>
        <v>22383.946215378688</v>
      </c>
      <c r="M70" s="701">
        <f ca="1">BS!K44-BS!J44</f>
        <v>27977.886450239137</v>
      </c>
      <c r="N70" s="701">
        <f ca="1">BS!L44-BS!K44</f>
        <v>35281.71885442693</v>
      </c>
      <c r="O70" s="701">
        <f ca="1">BS!M44-BS!L44</f>
        <v>44711.519280619541</v>
      </c>
      <c r="P70" s="87"/>
    </row>
    <row r="71" spans="2:16" s="1" customFormat="1" ht="24.95" customHeight="1">
      <c r="B71" s="87"/>
      <c r="C71" s="174"/>
      <c r="D71" s="177" t="s">
        <v>893</v>
      </c>
      <c r="E71" s="83">
        <v>-1328</v>
      </c>
      <c r="F71" s="83">
        <v>-1693</v>
      </c>
      <c r="G71" s="83">
        <v>-2200</v>
      </c>
      <c r="H71" s="83">
        <v>-13957</v>
      </c>
      <c r="I71" s="83">
        <v>-5281</v>
      </c>
      <c r="J71" s="702"/>
      <c r="K71" s="702"/>
      <c r="L71" s="702"/>
      <c r="M71" s="702"/>
      <c r="N71" s="702"/>
      <c r="O71" s="702"/>
      <c r="P71" s="87"/>
    </row>
    <row r="72" spans="2:16" s="1" customFormat="1" ht="24.95" customHeight="1">
      <c r="B72" s="87"/>
      <c r="C72" s="174"/>
      <c r="D72" s="177" t="s">
        <v>894</v>
      </c>
      <c r="E72" s="83"/>
      <c r="F72" s="83"/>
      <c r="G72" s="83"/>
      <c r="H72" s="83">
        <v>-494</v>
      </c>
      <c r="I72" s="83"/>
      <c r="J72" s="255"/>
      <c r="K72" s="255"/>
      <c r="L72" s="255"/>
      <c r="M72" s="255"/>
      <c r="N72" s="255"/>
      <c r="O72" s="638"/>
      <c r="P72" s="87"/>
    </row>
    <row r="73" spans="2:16" s="1" customFormat="1" ht="24.95" customHeight="1">
      <c r="B73" s="87"/>
      <c r="C73" s="174"/>
      <c r="D73" s="177" t="s">
        <v>895</v>
      </c>
      <c r="E73" s="83">
        <v>1847</v>
      </c>
      <c r="F73" s="83">
        <v>17842</v>
      </c>
      <c r="G73" s="83">
        <v>13619</v>
      </c>
      <c r="H73" s="83"/>
      <c r="I73" s="83"/>
      <c r="J73" s="701"/>
      <c r="K73" s="701">
        <f ca="1">BS!I38-BS!H38+BS!I45-BS!H45</f>
        <v>40839.843965995649</v>
      </c>
      <c r="L73" s="701">
        <f ca="1">BS!J38-BS!I38+BS!J45-BS!I45</f>
        <v>20162.488512815558</v>
      </c>
      <c r="M73" s="701">
        <f ca="1">BS!K38-BS!J38+BS!K45-BS!J45</f>
        <v>24975.025375199286</v>
      </c>
      <c r="N73" s="701">
        <f ca="1">BS!L38-BS!K38+BS!L45-BS!K45</f>
        <v>31227.564378689131</v>
      </c>
      <c r="O73" s="701">
        <f ca="1">BS!M38-BS!L38+BS!M45-BS!L45</f>
        <v>39268.344600516284</v>
      </c>
      <c r="P73" s="87"/>
    </row>
    <row r="74" spans="2:16" s="1" customFormat="1" ht="24.95" customHeight="1">
      <c r="B74" s="87"/>
      <c r="C74" s="174"/>
      <c r="D74" s="177" t="s">
        <v>896</v>
      </c>
      <c r="E74" s="83"/>
      <c r="F74" s="83"/>
      <c r="G74" s="83">
        <v>-1917</v>
      </c>
      <c r="H74" s="83">
        <v>-4132</v>
      </c>
      <c r="I74" s="83">
        <v>-3450</v>
      </c>
      <c r="J74" s="702"/>
      <c r="K74" s="702"/>
      <c r="L74" s="702"/>
      <c r="M74" s="702"/>
      <c r="N74" s="702"/>
      <c r="O74" s="702"/>
      <c r="P74" s="87"/>
    </row>
    <row r="75" spans="2:16" s="1" customFormat="1" ht="24.95" customHeight="1">
      <c r="B75" s="87"/>
      <c r="C75" s="174"/>
      <c r="D75" s="177" t="s">
        <v>897</v>
      </c>
      <c r="E75" s="83">
        <v>308</v>
      </c>
      <c r="F75" s="83">
        <v>299</v>
      </c>
      <c r="G75" s="83">
        <v>169</v>
      </c>
      <c r="H75" s="83">
        <v>225</v>
      </c>
      <c r="I75" s="83">
        <v>171</v>
      </c>
      <c r="J75" s="255"/>
      <c r="K75" s="255"/>
      <c r="L75" s="255"/>
      <c r="M75" s="255"/>
      <c r="N75" s="255"/>
      <c r="O75" s="638"/>
      <c r="P75" s="87"/>
    </row>
    <row r="76" spans="2:16" s="1" customFormat="1" ht="24.95" customHeight="1">
      <c r="B76" s="87"/>
      <c r="C76" s="174"/>
      <c r="D76" s="177" t="s">
        <v>898</v>
      </c>
      <c r="E76" s="83">
        <v>-1325</v>
      </c>
      <c r="F76" s="83">
        <v>-61</v>
      </c>
      <c r="G76" s="83"/>
      <c r="H76" s="83"/>
      <c r="I76" s="83"/>
      <c r="J76" s="255"/>
      <c r="K76" s="255"/>
      <c r="L76" s="255"/>
      <c r="M76" s="255"/>
      <c r="N76" s="255"/>
      <c r="O76" s="638"/>
      <c r="P76" s="87"/>
    </row>
    <row r="77" spans="2:16" s="1" customFormat="1" ht="24.95" customHeight="1">
      <c r="B77" s="87"/>
      <c r="C77" s="174"/>
      <c r="D77" s="177" t="s">
        <v>899</v>
      </c>
      <c r="E77" s="83">
        <v>-278</v>
      </c>
      <c r="F77" s="83">
        <v>-529</v>
      </c>
      <c r="G77" s="83">
        <v>-652</v>
      </c>
      <c r="H77" s="83">
        <v>-1936</v>
      </c>
      <c r="I77" s="83">
        <v>-2232</v>
      </c>
      <c r="J77" s="255"/>
      <c r="K77" s="255"/>
      <c r="L77" s="255"/>
      <c r="M77" s="255"/>
      <c r="N77" s="255"/>
      <c r="O77" s="638"/>
      <c r="P77" s="87"/>
    </row>
    <row r="78" spans="2:16" s="1" customFormat="1" ht="24.95" customHeight="1">
      <c r="B78" s="87"/>
      <c r="C78" s="174"/>
      <c r="D78" s="177" t="s">
        <v>900</v>
      </c>
      <c r="E78" s="83">
        <v>5</v>
      </c>
      <c r="F78" s="83">
        <v>44</v>
      </c>
      <c r="G78" s="83">
        <v>99</v>
      </c>
      <c r="H78" s="83"/>
      <c r="I78" s="83"/>
      <c r="J78" s="255"/>
      <c r="K78" s="388">
        <f ca="1">BS!I60-BS!H60-IS!J41</f>
        <v>0</v>
      </c>
      <c r="L78" s="388">
        <f ca="1">BS!J60-BS!I60-IS!K41</f>
        <v>0</v>
      </c>
      <c r="M78" s="388">
        <f ca="1">BS!K60-BS!J60-IS!L41</f>
        <v>0</v>
      </c>
      <c r="N78" s="388">
        <f ca="1">BS!L60-BS!K60-IS!M41</f>
        <v>0</v>
      </c>
      <c r="O78" s="638">
        <f ca="1">BS!M60-BS!L60-IS!N41</f>
        <v>0</v>
      </c>
      <c r="P78" s="87"/>
    </row>
    <row r="79" spans="2:16" s="1" customFormat="1" ht="24.95" customHeight="1">
      <c r="B79" s="87"/>
      <c r="C79" s="174"/>
      <c r="D79" s="177" t="s">
        <v>901</v>
      </c>
      <c r="E79" s="83"/>
      <c r="F79" s="83"/>
      <c r="G79" s="83"/>
      <c r="H79" s="83">
        <v>1393</v>
      </c>
      <c r="I79" s="83">
        <v>6466</v>
      </c>
      <c r="J79" s="255"/>
      <c r="K79" s="255"/>
      <c r="L79" s="255"/>
      <c r="M79" s="255"/>
      <c r="N79" s="255"/>
      <c r="O79" s="638"/>
      <c r="P79" s="87"/>
    </row>
    <row r="80" spans="2:16" s="1" customFormat="1" ht="24.95" customHeight="1">
      <c r="B80" s="87"/>
      <c r="C80" s="174"/>
      <c r="D80" s="177" t="s">
        <v>902</v>
      </c>
      <c r="E80" s="83"/>
      <c r="F80" s="83"/>
      <c r="G80" s="83"/>
      <c r="H80" s="83">
        <v>267</v>
      </c>
      <c r="I80" s="83">
        <v>106</v>
      </c>
      <c r="J80" s="255"/>
      <c r="K80" s="255"/>
      <c r="L80" s="255"/>
      <c r="M80" s="255"/>
      <c r="N80" s="255"/>
      <c r="O80" s="638"/>
      <c r="P80" s="87"/>
    </row>
    <row r="81" spans="2:16" s="1" customFormat="1" ht="24.95" customHeight="1">
      <c r="B81" s="87"/>
      <c r="C81" s="174"/>
      <c r="D81" s="177" t="s">
        <v>903</v>
      </c>
      <c r="E81" s="83">
        <v>-160</v>
      </c>
      <c r="F81" s="83">
        <v>-103</v>
      </c>
      <c r="G81" s="83">
        <v>-4547</v>
      </c>
      <c r="H81" s="83">
        <v>-1364</v>
      </c>
      <c r="I81" s="83">
        <v>-927</v>
      </c>
      <c r="J81" s="255"/>
      <c r="K81" s="255"/>
      <c r="L81" s="255"/>
      <c r="M81" s="255"/>
      <c r="N81" s="255"/>
      <c r="O81" s="638"/>
      <c r="P81" s="87"/>
    </row>
    <row r="82" spans="2:16" s="1" customFormat="1" ht="24.95" customHeight="1">
      <c r="B82" s="87"/>
      <c r="C82" s="174"/>
      <c r="D82" s="177" t="s">
        <v>904</v>
      </c>
      <c r="E82" s="83">
        <v>-1468</v>
      </c>
      <c r="F82" s="83">
        <v>-1761</v>
      </c>
      <c r="G82" s="83">
        <v>-2640</v>
      </c>
      <c r="H82" s="83">
        <v>-3699</v>
      </c>
      <c r="I82" s="83">
        <v>-5052</v>
      </c>
      <c r="J82" s="255"/>
      <c r="K82" s="255"/>
      <c r="L82" s="255"/>
      <c r="M82" s="255"/>
      <c r="N82" s="255"/>
      <c r="O82" s="638"/>
      <c r="P82" s="87"/>
    </row>
    <row r="83" spans="2:16" s="1" customFormat="1" ht="24.95" customHeight="1">
      <c r="B83" s="87"/>
      <c r="C83" s="174"/>
      <c r="D83" s="177" t="s">
        <v>905</v>
      </c>
      <c r="E83" s="83">
        <v>-73</v>
      </c>
      <c r="F83" s="83">
        <v>-158</v>
      </c>
      <c r="G83" s="83">
        <v>-549</v>
      </c>
      <c r="H83" s="83">
        <v>-907</v>
      </c>
      <c r="I83" s="83">
        <v>-946</v>
      </c>
      <c r="J83" s="255"/>
      <c r="K83" s="255"/>
      <c r="L83" s="255"/>
      <c r="M83" s="255"/>
      <c r="N83" s="255"/>
      <c r="O83" s="638"/>
      <c r="P83" s="87"/>
    </row>
    <row r="84" spans="2:16" s="1" customFormat="1" ht="24.95" customHeight="1">
      <c r="B84" s="87"/>
      <c r="C84" s="174"/>
      <c r="D84" s="177" t="s">
        <v>253</v>
      </c>
      <c r="E84" s="83"/>
      <c r="F84" s="83"/>
      <c r="G84" s="83"/>
      <c r="H84" s="83"/>
      <c r="I84" s="83"/>
      <c r="J84" s="83"/>
      <c r="K84" s="83">
        <f>资产负债假设!J28</f>
        <v>0</v>
      </c>
      <c r="L84" s="83">
        <f>资产负债假设!K28</f>
        <v>0</v>
      </c>
      <c r="M84" s="83">
        <f>资产负债假设!L28</f>
        <v>0</v>
      </c>
      <c r="N84" s="83">
        <f>资产负债假设!M28</f>
        <v>0</v>
      </c>
      <c r="O84" s="83">
        <f>资产负债假设!N28</f>
        <v>0</v>
      </c>
      <c r="P84" s="87"/>
    </row>
    <row r="85" spans="2:16" s="1" customFormat="1" ht="24.95" customHeight="1">
      <c r="B85" s="87"/>
      <c r="C85" s="174"/>
      <c r="D85" s="177" t="s">
        <v>199</v>
      </c>
      <c r="E85" s="83"/>
      <c r="F85" s="83"/>
      <c r="G85" s="83"/>
      <c r="H85" s="83"/>
      <c r="I85" s="83"/>
      <c r="J85" s="83"/>
      <c r="K85" s="83">
        <f ca="1">-资产负债假设!J34</f>
        <v>-6823.6395999943261</v>
      </c>
      <c r="L85" s="83">
        <f ca="1">-资产负债假设!K34</f>
        <v>-8042.7315062402668</v>
      </c>
      <c r="M85" s="83">
        <f ca="1">-资产负债假设!L34</f>
        <v>-9509.4223646476912</v>
      </c>
      <c r="N85" s="83">
        <f ca="1">-资产负债假设!M34</f>
        <v>-11254.121949380693</v>
      </c>
      <c r="O85" s="83">
        <f ca="1">-资产负债假设!N34</f>
        <v>-13232.020253223525</v>
      </c>
      <c r="P85" s="87"/>
    </row>
    <row r="86" spans="2:16" s="1" customFormat="1" ht="24.95" customHeight="1">
      <c r="B86" s="87"/>
      <c r="C86" s="174"/>
      <c r="D86" s="203" t="s">
        <v>193</v>
      </c>
      <c r="E86" s="83">
        <f t="shared" ref="E86:N86" si="7">SUM(E68:E85)</f>
        <v>1708</v>
      </c>
      <c r="F86" s="83">
        <f t="shared" si="7"/>
        <v>18350</v>
      </c>
      <c r="G86" s="83">
        <f t="shared" si="7"/>
        <v>18528</v>
      </c>
      <c r="H86" s="83">
        <f t="shared" si="7"/>
        <v>31443</v>
      </c>
      <c r="I86" s="83">
        <f t="shared" si="7"/>
        <v>26598</v>
      </c>
      <c r="J86" s="83">
        <v>35380</v>
      </c>
      <c r="K86" s="83">
        <f t="shared" ca="1" si="7"/>
        <v>59693.045367385574</v>
      </c>
      <c r="L86" s="83">
        <f t="shared" ca="1" si="7"/>
        <v>41529.449408345288</v>
      </c>
      <c r="M86" s="83">
        <f t="shared" ca="1" si="7"/>
        <v>50750.21850439666</v>
      </c>
      <c r="N86" s="83">
        <f t="shared" ca="1" si="7"/>
        <v>63401.425822069134</v>
      </c>
      <c r="O86" s="83">
        <f t="shared" ref="O86" ca="1" si="8">SUM(O68:O85)</f>
        <v>79945.721536622717</v>
      </c>
      <c r="P86" s="87"/>
    </row>
    <row r="87" spans="2:16" s="1" customFormat="1" ht="24.95" customHeight="1">
      <c r="B87" s="87"/>
      <c r="C87" s="176"/>
      <c r="D87" s="177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7" t="s">
        <v>8</v>
      </c>
    </row>
    <row r="88" spans="2:16" s="1" customFormat="1" ht="24.95" customHeight="1">
      <c r="B88" s="87"/>
      <c r="C88" s="227" t="s">
        <v>194</v>
      </c>
      <c r="D88" s="177"/>
      <c r="E88" s="83">
        <v>6948</v>
      </c>
      <c r="F88" s="83">
        <v>22673</v>
      </c>
      <c r="G88" s="83">
        <v>354</v>
      </c>
      <c r="H88" s="83">
        <v>26038</v>
      </c>
      <c r="I88" s="83">
        <v>36346</v>
      </c>
      <c r="J88" s="83">
        <v>-10000</v>
      </c>
      <c r="K88" s="83">
        <f ca="1">K34+K66+K86</f>
        <v>90723.606769244245</v>
      </c>
      <c r="L88" s="83">
        <f ca="1">L34+L66+L86</f>
        <v>57236.25412432717</v>
      </c>
      <c r="M88" s="83">
        <f ca="1">M34+M66+M86</f>
        <v>57609.386204789087</v>
      </c>
      <c r="N88" s="83">
        <f ca="1">N34+N66+N86</f>
        <v>58712.627762694516</v>
      </c>
      <c r="O88" s="83">
        <f ca="1">O34+O66+O86</f>
        <v>54878.295173764098</v>
      </c>
      <c r="P88" s="87"/>
    </row>
    <row r="89" spans="2:16" s="1" customFormat="1" ht="24.95" customHeight="1">
      <c r="B89" s="87"/>
      <c r="C89" s="227" t="s">
        <v>195</v>
      </c>
      <c r="D89" s="177"/>
      <c r="E89" s="118">
        <v>13383</v>
      </c>
      <c r="F89" s="118">
        <v>20228</v>
      </c>
      <c r="G89" s="118">
        <v>42713</v>
      </c>
      <c r="H89" s="118">
        <v>43438</v>
      </c>
      <c r="I89" s="118">
        <v>71902</v>
      </c>
      <c r="J89" s="83">
        <v>105697</v>
      </c>
      <c r="K89" s="83">
        <f>BS!H7</f>
        <v>97814</v>
      </c>
      <c r="L89" s="83">
        <f ca="1">BS!I7</f>
        <v>188537.60676924424</v>
      </c>
      <c r="M89" s="83">
        <f ca="1">BS!J7</f>
        <v>245773.8608935714</v>
      </c>
      <c r="N89" s="83">
        <f ca="1">BS!K7</f>
        <v>303383.2470983605</v>
      </c>
      <c r="O89" s="83">
        <f ca="1">BS!L7</f>
        <v>362095.874861055</v>
      </c>
      <c r="P89" s="87"/>
    </row>
    <row r="90" spans="2:16" s="1" customFormat="1" ht="24.95" customHeight="1">
      <c r="B90" s="87"/>
      <c r="C90" s="174" t="s">
        <v>196</v>
      </c>
      <c r="D90" s="177"/>
      <c r="E90" s="83">
        <v>-103</v>
      </c>
      <c r="F90" s="83">
        <v>-188</v>
      </c>
      <c r="G90" s="83">
        <v>371</v>
      </c>
      <c r="H90" s="83">
        <v>2426</v>
      </c>
      <c r="I90" s="83">
        <v>-2551</v>
      </c>
      <c r="J90" s="83">
        <v>2207</v>
      </c>
      <c r="K90" s="83"/>
      <c r="L90" s="83"/>
      <c r="M90" s="83"/>
      <c r="N90" s="83"/>
      <c r="O90" s="83"/>
      <c r="P90" s="87"/>
    </row>
    <row r="91" spans="2:16" s="1" customFormat="1" ht="24.95" customHeight="1">
      <c r="B91" s="87"/>
      <c r="C91" s="174" t="s">
        <v>197</v>
      </c>
      <c r="D91" s="177"/>
      <c r="E91" s="118">
        <v>20228</v>
      </c>
      <c r="F91" s="118">
        <v>42713</v>
      </c>
      <c r="G91" s="118">
        <v>43438</v>
      </c>
      <c r="H91" s="118">
        <v>71902</v>
      </c>
      <c r="I91" s="118">
        <v>105697</v>
      </c>
      <c r="J91" s="83">
        <v>97814</v>
      </c>
      <c r="K91" s="83">
        <f ca="1">K89+K88</f>
        <v>188537.60676924424</v>
      </c>
      <c r="L91" s="83">
        <f ca="1">L89+L88</f>
        <v>245773.8608935714</v>
      </c>
      <c r="M91" s="83">
        <f ca="1">M89+M88</f>
        <v>303383.2470983605</v>
      </c>
      <c r="N91" s="83">
        <f ca="1">N89+N88</f>
        <v>362095.874861055</v>
      </c>
      <c r="O91" s="83">
        <f ca="1">O89+O88</f>
        <v>416974.17003481911</v>
      </c>
      <c r="P91" s="87"/>
    </row>
    <row r="92" spans="2:16" s="1" customFormat="1" ht="24.95" customHeight="1">
      <c r="B92" s="87"/>
      <c r="C92" s="176"/>
      <c r="D92" s="177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7"/>
    </row>
    <row r="93" spans="2:16" s="1" customFormat="1" ht="24.95" customHeight="1">
      <c r="B93" s="87"/>
      <c r="C93" s="656"/>
      <c r="D93" s="657"/>
      <c r="E93" s="657"/>
      <c r="F93" s="657"/>
      <c r="G93" s="657"/>
      <c r="H93" s="657"/>
      <c r="I93" s="657"/>
      <c r="J93" s="657"/>
      <c r="K93" s="657"/>
      <c r="L93" s="657"/>
      <c r="M93" s="657"/>
      <c r="N93" s="657"/>
      <c r="O93" s="657"/>
      <c r="P93" s="87"/>
    </row>
    <row r="94" spans="2:16" s="1" customFormat="1" ht="24.95" customHeight="1">
      <c r="B94" s="87"/>
      <c r="C94" s="174" t="s">
        <v>149</v>
      </c>
      <c r="D94" s="111"/>
      <c r="E94" s="111"/>
      <c r="F94" s="111"/>
      <c r="G94" s="111"/>
      <c r="H94" s="111"/>
      <c r="I94" s="111"/>
      <c r="J94" s="83"/>
      <c r="K94" s="83"/>
      <c r="L94" s="83"/>
      <c r="M94" s="83" t="s">
        <v>13</v>
      </c>
      <c r="N94" s="83"/>
      <c r="O94" s="83"/>
      <c r="P94" s="87"/>
    </row>
    <row r="95" spans="2:16" s="1" customFormat="1" ht="24.95" customHeight="1">
      <c r="B95" s="87"/>
      <c r="C95" s="111"/>
      <c r="D95" s="178" t="s">
        <v>125</v>
      </c>
      <c r="E95" s="178"/>
      <c r="F95" s="178"/>
      <c r="G95" s="178"/>
      <c r="H95" s="178"/>
      <c r="I95" s="178"/>
      <c r="J95" s="83"/>
      <c r="K95" s="83"/>
      <c r="L95" s="83"/>
      <c r="M95" s="83"/>
      <c r="N95" s="83"/>
      <c r="O95" s="83"/>
      <c r="P95" s="87"/>
    </row>
    <row r="96" spans="2:16" s="1" customFormat="1" ht="24.95" customHeight="1">
      <c r="B96" s="87"/>
      <c r="C96" s="111"/>
      <c r="D96" s="178" t="s">
        <v>9</v>
      </c>
      <c r="E96" s="178"/>
      <c r="F96" s="178"/>
      <c r="G96" s="178"/>
      <c r="H96" s="178"/>
      <c r="I96" s="178"/>
      <c r="J96" s="83"/>
      <c r="K96" s="83">
        <f>K89</f>
        <v>97814</v>
      </c>
      <c r="L96" s="83">
        <f ca="1">L89</f>
        <v>188537.60676924424</v>
      </c>
      <c r="M96" s="83">
        <f ca="1">M89</f>
        <v>245773.8608935714</v>
      </c>
      <c r="N96" s="83">
        <f ca="1">N89</f>
        <v>303383.2470983605</v>
      </c>
      <c r="O96" s="83">
        <f ca="1">O89</f>
        <v>362095.874861055</v>
      </c>
      <c r="P96" s="87"/>
    </row>
    <row r="97" spans="2:16" s="1" customFormat="1" ht="24.95" customHeight="1">
      <c r="B97" s="87"/>
      <c r="C97" s="111"/>
      <c r="D97" s="179" t="s">
        <v>39</v>
      </c>
      <c r="E97" s="179"/>
      <c r="F97" s="179"/>
      <c r="G97" s="179"/>
      <c r="H97" s="179"/>
      <c r="I97" s="179"/>
      <c r="J97" s="83"/>
      <c r="K97" s="83"/>
      <c r="L97" s="83"/>
      <c r="M97" s="83"/>
      <c r="N97" s="83"/>
      <c r="O97" s="83"/>
      <c r="P97" s="87"/>
    </row>
    <row r="98" spans="2:16" s="1" customFormat="1" ht="24.95" customHeight="1">
      <c r="B98" s="87"/>
      <c r="C98" s="111"/>
      <c r="D98" s="180" t="s">
        <v>40</v>
      </c>
      <c r="E98" s="180"/>
      <c r="F98" s="180"/>
      <c r="G98" s="180"/>
      <c r="H98" s="180"/>
      <c r="I98" s="180"/>
      <c r="J98" s="83"/>
      <c r="K98" s="83">
        <f ca="1">K34</f>
        <v>148492.55696053646</v>
      </c>
      <c r="L98" s="83">
        <f ca="1">L34</f>
        <v>174617.58669969323</v>
      </c>
      <c r="M98" s="83">
        <f ca="1">M34</f>
        <v>203641.36890350946</v>
      </c>
      <c r="N98" s="83">
        <f ca="1">N34</f>
        <v>239053.47130836319</v>
      </c>
      <c r="O98" s="83">
        <f ca="1">O34</f>
        <v>277188.34610965825</v>
      </c>
      <c r="P98" s="87"/>
    </row>
    <row r="99" spans="2:16" s="1" customFormat="1" ht="24.95" customHeight="1">
      <c r="B99" s="87"/>
      <c r="C99" s="111"/>
      <c r="D99" s="180" t="s">
        <v>41</v>
      </c>
      <c r="E99" s="180"/>
      <c r="F99" s="180"/>
      <c r="G99" s="180"/>
      <c r="H99" s="180"/>
      <c r="I99" s="180"/>
      <c r="J99" s="83"/>
      <c r="K99" s="83">
        <f ca="1">K66</f>
        <v>-117461.99555867779</v>
      </c>
      <c r="L99" s="83">
        <f ca="1">L66</f>
        <v>-158910.78198371135</v>
      </c>
      <c r="M99" s="83">
        <f ca="1">M66</f>
        <v>-196782.20120311703</v>
      </c>
      <c r="N99" s="83">
        <f ca="1">N66</f>
        <v>-243742.26936773781</v>
      </c>
      <c r="O99" s="83">
        <f ca="1">O66</f>
        <v>-302255.77247251687</v>
      </c>
      <c r="P99" s="87"/>
    </row>
    <row r="100" spans="2:16" s="1" customFormat="1" ht="24.95" customHeight="1">
      <c r="B100" s="87"/>
      <c r="C100" s="111"/>
      <c r="D100" s="180" t="s">
        <v>42</v>
      </c>
      <c r="E100" s="180"/>
      <c r="F100" s="180"/>
      <c r="G100" s="180"/>
      <c r="H100" s="180"/>
      <c r="I100" s="180"/>
      <c r="J100" s="83"/>
      <c r="K100" s="83">
        <f ca="1">K86-K68</f>
        <v>55498.217125196112</v>
      </c>
      <c r="L100" s="83">
        <f ca="1">L86-L68</f>
        <v>34503.703221953976</v>
      </c>
      <c r="M100" s="83">
        <f ca="1">M86-M68</f>
        <v>43443.489460790734</v>
      </c>
      <c r="N100" s="83">
        <f ca="1">N86-N68</f>
        <v>55255.161283735368</v>
      </c>
      <c r="O100" s="83">
        <f ca="1">O86-O68</f>
        <v>70747.843627912298</v>
      </c>
      <c r="P100" s="87"/>
    </row>
    <row r="101" spans="2:16" s="1" customFormat="1" ht="24.95" customHeight="1">
      <c r="B101" s="87"/>
      <c r="C101" s="111"/>
      <c r="D101" s="178" t="s">
        <v>47</v>
      </c>
      <c r="E101" s="178"/>
      <c r="F101" s="178"/>
      <c r="G101" s="178"/>
      <c r="H101" s="178"/>
      <c r="I101" s="178"/>
      <c r="J101" s="83"/>
      <c r="K101" s="83">
        <f ca="1">IS!J11*资产负债假设!$I$43</f>
        <v>19399.680323963414</v>
      </c>
      <c r="L101" s="83">
        <f ca="1">IS!K11*资产负债假设!$I$43</f>
        <v>23648.378113120598</v>
      </c>
      <c r="M101" s="83">
        <f ca="1">IS!L11*资产负债假设!$I$43</f>
        <v>28126.603567353817</v>
      </c>
      <c r="N101" s="83">
        <f ca="1">IS!M11*资产负债假设!$I$43</f>
        <v>33143.635594485255</v>
      </c>
      <c r="O101" s="83">
        <f ca="1">IS!N11*资产负债假设!$I$43</f>
        <v>38796.039511580035</v>
      </c>
      <c r="P101" s="87"/>
    </row>
    <row r="102" spans="2:16" s="1" customFormat="1" ht="24.95" customHeight="1">
      <c r="B102" s="87"/>
      <c r="C102" s="111"/>
      <c r="D102" s="178" t="s">
        <v>48</v>
      </c>
      <c r="E102" s="178"/>
      <c r="F102" s="178"/>
      <c r="G102" s="178"/>
      <c r="H102" s="178"/>
      <c r="I102" s="178"/>
      <c r="J102" s="83"/>
      <c r="K102" s="83">
        <f t="shared" ref="K102:M102" ca="1" si="9">K96+K98+K99+K100-K101</f>
        <v>164943.09820309136</v>
      </c>
      <c r="L102" s="83">
        <f t="shared" ca="1" si="9"/>
        <v>215099.7365940595</v>
      </c>
      <c r="M102" s="83">
        <f t="shared" ca="1" si="9"/>
        <v>267949.91448740079</v>
      </c>
      <c r="N102" s="83">
        <f ca="1">N96+N98+N99+N100-N101</f>
        <v>320805.97472823597</v>
      </c>
      <c r="O102" s="83">
        <f ca="1">O96+O98+O99+O100-O101</f>
        <v>368980.2526145287</v>
      </c>
      <c r="P102" s="87"/>
    </row>
    <row r="103" spans="2:16" s="1" customFormat="1" ht="24.95" customHeight="1">
      <c r="B103" s="87"/>
      <c r="C103" s="111"/>
      <c r="D103" s="178" t="s">
        <v>119</v>
      </c>
      <c r="E103" s="178"/>
      <c r="F103" s="178"/>
      <c r="G103" s="178"/>
      <c r="H103" s="178"/>
      <c r="I103" s="178"/>
      <c r="J103" s="83"/>
      <c r="K103" s="83">
        <f ca="1">资产负债假设!$I$46*(BS!I12+BS!I13)</f>
        <v>31028.828242189462</v>
      </c>
      <c r="L103" s="83">
        <f ca="1">资产负债假设!$I$46*(BS!J12+BS!J13)</f>
        <v>38054.574428580774</v>
      </c>
      <c r="M103" s="83">
        <f ca="1">资产负债假设!$I$46*(BS!K12+BS!K13)</f>
        <v>45361.303472186701</v>
      </c>
      <c r="N103" s="83">
        <f ca="1">资产负债假设!$I$46*(BS!L12+BS!L13)</f>
        <v>53507.568010520466</v>
      </c>
      <c r="O103" s="83">
        <f ca="1">资产负债假设!$I$46*(BS!M12+BS!M13)</f>
        <v>62705.445919230886</v>
      </c>
      <c r="P103" s="87"/>
    </row>
    <row r="104" spans="2:16" s="1" customFormat="1" ht="24.95" customHeight="1">
      <c r="B104" s="87"/>
      <c r="C104" s="111"/>
      <c r="D104" s="178" t="s">
        <v>120</v>
      </c>
      <c r="E104" s="178"/>
      <c r="F104" s="178"/>
      <c r="G104" s="178"/>
      <c r="H104" s="178"/>
      <c r="I104" s="178"/>
      <c r="J104" s="83"/>
      <c r="K104" s="83">
        <f t="shared" ref="K104:N104" ca="1" si="10">MAX(K105+-MIN(K102,K105),K103)</f>
        <v>31028.828242189462</v>
      </c>
      <c r="L104" s="83">
        <f t="shared" ca="1" si="10"/>
        <v>38054.574428580774</v>
      </c>
      <c r="M104" s="83">
        <f t="shared" ca="1" si="10"/>
        <v>45361.303472186701</v>
      </c>
      <c r="N104" s="83">
        <f t="shared" ca="1" si="10"/>
        <v>53507.568010520466</v>
      </c>
      <c r="O104" s="83">
        <f t="shared" ref="O104" ca="1" si="11">MAX(O105+-MIN(O102,O105),O103)</f>
        <v>62705.445919230886</v>
      </c>
      <c r="P104" s="87"/>
    </row>
    <row r="105" spans="2:16" s="1" customFormat="1" ht="24.95" customHeight="1">
      <c r="B105" s="87"/>
      <c r="C105" s="111"/>
      <c r="D105" s="178" t="s">
        <v>121</v>
      </c>
      <c r="E105" s="178"/>
      <c r="F105" s="178"/>
      <c r="G105" s="178"/>
      <c r="H105" s="178"/>
      <c r="I105" s="178"/>
      <c r="J105" s="83"/>
      <c r="K105" s="83">
        <f>BS!H35</f>
        <v>26834</v>
      </c>
      <c r="L105" s="83">
        <f ca="1">BS!I35</f>
        <v>31028.828242189462</v>
      </c>
      <c r="M105" s="83">
        <f ca="1">BS!J35</f>
        <v>38054.574428580774</v>
      </c>
      <c r="N105" s="83">
        <f ca="1">BS!K35</f>
        <v>45361.303472186701</v>
      </c>
      <c r="O105" s="83">
        <f ca="1">BS!L35</f>
        <v>53507.568010520466</v>
      </c>
      <c r="P105" s="87"/>
    </row>
    <row r="106" spans="2:16" s="1" customFormat="1" ht="24.95" customHeight="1">
      <c r="B106" s="87"/>
      <c r="C106" s="111"/>
      <c r="D106" s="178" t="s">
        <v>122</v>
      </c>
      <c r="E106" s="178"/>
      <c r="F106" s="178"/>
      <c r="G106" s="178"/>
      <c r="H106" s="178"/>
      <c r="I106" s="178"/>
      <c r="J106" s="83"/>
      <c r="K106" s="83">
        <f t="shared" ref="K106:N106" ca="1" si="12">K104-K105</f>
        <v>4194.8282421894619</v>
      </c>
      <c r="L106" s="83">
        <f t="shared" ca="1" si="12"/>
        <v>7025.7461863913122</v>
      </c>
      <c r="M106" s="83">
        <f t="shared" ca="1" si="12"/>
        <v>7306.7290436059266</v>
      </c>
      <c r="N106" s="83">
        <f t="shared" ca="1" si="12"/>
        <v>8146.2645383337658</v>
      </c>
      <c r="O106" s="83">
        <f t="shared" ref="O106" ca="1" si="13">O104-O105</f>
        <v>9197.8779087104194</v>
      </c>
      <c r="P106" s="87"/>
    </row>
    <row r="107" spans="2:16" s="1" customFormat="1" ht="24.95" customHeight="1">
      <c r="B107" s="87"/>
      <c r="C107" s="111"/>
      <c r="D107" s="178" t="s">
        <v>123</v>
      </c>
      <c r="E107" s="178"/>
      <c r="F107" s="178"/>
      <c r="G107" s="178"/>
      <c r="H107" s="178"/>
      <c r="I107" s="178"/>
      <c r="J107" s="83"/>
      <c r="K107" s="83">
        <f ca="1">资产负债假设!$I$47*(K105+K104)/2</f>
        <v>1157.2565648437892</v>
      </c>
      <c r="L107" s="83">
        <f ca="1">资产负债假设!$I$47*(L105+L104)/2</f>
        <v>1381.668053415405</v>
      </c>
      <c r="M107" s="83">
        <f ca="1">资产负债假设!$I$47*(M105+M104)/2</f>
        <v>1668.3175580153495</v>
      </c>
      <c r="N107" s="83">
        <f ca="1">资产负债假设!$I$47*(N105+N104)/2</f>
        <v>1977.3774296541435</v>
      </c>
      <c r="O107" s="83">
        <f ca="1">资产负债假设!$I$47*(O105+O104)/2</f>
        <v>2324.2602785950271</v>
      </c>
      <c r="P107" s="87"/>
    </row>
    <row r="108" spans="2:16" s="1" customFormat="1" ht="24.95" customHeight="1">
      <c r="B108" s="87"/>
      <c r="C108" s="111"/>
      <c r="D108" s="178" t="s">
        <v>124</v>
      </c>
      <c r="E108" s="178"/>
      <c r="F108" s="178"/>
      <c r="G108" s="178"/>
      <c r="H108" s="178"/>
      <c r="I108" s="178"/>
      <c r="J108" s="83"/>
      <c r="K108" s="83"/>
      <c r="L108" s="83"/>
      <c r="M108" s="83"/>
      <c r="N108" s="83"/>
      <c r="O108" s="83"/>
      <c r="P108" s="87"/>
    </row>
    <row r="109" spans="2:16" s="1" customFormat="1" ht="24.95" customHeight="1">
      <c r="B109" s="87"/>
      <c r="C109" s="111"/>
      <c r="D109" s="178" t="s">
        <v>10</v>
      </c>
      <c r="E109" s="178"/>
      <c r="F109" s="178"/>
      <c r="G109" s="178"/>
      <c r="H109" s="178"/>
      <c r="I109" s="178"/>
      <c r="J109" s="83"/>
      <c r="K109" s="83">
        <f>BS!H44</f>
        <v>87437</v>
      </c>
      <c r="L109" s="83">
        <f ca="1">BS!I44</f>
        <v>108919.01275919478</v>
      </c>
      <c r="M109" s="83">
        <f ca="1">BS!J44</f>
        <v>131302.95897457347</v>
      </c>
      <c r="N109" s="83">
        <f ca="1">BS!K44</f>
        <v>159280.84542481261</v>
      </c>
      <c r="O109" s="83">
        <f ca="1">BS!L44</f>
        <v>194562.56427923954</v>
      </c>
      <c r="P109" s="87"/>
    </row>
    <row r="110" spans="2:16" s="1" customFormat="1" ht="24.95" customHeight="1">
      <c r="B110" s="87"/>
      <c r="C110" s="111"/>
      <c r="D110" s="178" t="s">
        <v>11</v>
      </c>
      <c r="E110" s="178"/>
      <c r="F110" s="178"/>
      <c r="G110" s="178"/>
      <c r="H110" s="178"/>
      <c r="I110" s="178"/>
      <c r="J110" s="83"/>
      <c r="K110" s="83">
        <f ca="1">SUM(BS!I16:I25)*资产负债假设!$I$48-BS!H44</f>
        <v>21482.012759194782</v>
      </c>
      <c r="L110" s="83">
        <f ca="1">SUM(BS!J16:J25)*资产负债假设!$I$48-BS!I44</f>
        <v>22383.946215378688</v>
      </c>
      <c r="M110" s="83">
        <f ca="1">SUM(BS!K16:K25)*资产负债假设!$I$48-BS!J44</f>
        <v>27977.886450239137</v>
      </c>
      <c r="N110" s="83">
        <f ca="1">SUM(BS!L16:L25)*资产负债假设!$I$48-BS!K44</f>
        <v>35281.71885442693</v>
      </c>
      <c r="O110" s="83">
        <f ca="1">SUM(BS!M16:M25)*资产负债假设!$I$48-BS!L44</f>
        <v>44711.519280619541</v>
      </c>
      <c r="P110" s="92"/>
    </row>
    <row r="111" spans="2:16" s="1" customFormat="1" ht="24.95" customHeight="1">
      <c r="B111" s="87"/>
      <c r="C111" s="111"/>
      <c r="D111" s="178" t="s">
        <v>45</v>
      </c>
      <c r="E111" s="178"/>
      <c r="F111" s="178"/>
      <c r="G111" s="178"/>
      <c r="H111" s="178"/>
      <c r="I111" s="178"/>
      <c r="J111" s="83"/>
      <c r="K111" s="83">
        <f t="shared" ref="K111:N111" ca="1" si="14">K109+K110</f>
        <v>108919.01275919478</v>
      </c>
      <c r="L111" s="83">
        <f t="shared" ca="1" si="14"/>
        <v>131302.95897457347</v>
      </c>
      <c r="M111" s="83">
        <f t="shared" ca="1" si="14"/>
        <v>159280.84542481261</v>
      </c>
      <c r="N111" s="83">
        <f t="shared" ca="1" si="14"/>
        <v>194562.56427923954</v>
      </c>
      <c r="O111" s="83">
        <f t="shared" ref="O111" ca="1" si="15">O109+O110</f>
        <v>239274.08355985908</v>
      </c>
      <c r="P111" s="87"/>
    </row>
    <row r="112" spans="2:16" s="1" customFormat="1" ht="24.95" customHeight="1">
      <c r="B112" s="87"/>
      <c r="C112" s="111"/>
      <c r="D112" s="178" t="s">
        <v>12</v>
      </c>
      <c r="E112" s="178"/>
      <c r="F112" s="178"/>
      <c r="G112" s="178"/>
      <c r="H112" s="178"/>
      <c r="I112" s="178"/>
      <c r="J112" s="83"/>
      <c r="K112" s="83">
        <f ca="1">资产负债假设!$I$49*(K109+K111)/2*资产负债假设!$I$50</f>
        <v>4418.0102870818819</v>
      </c>
      <c r="L112" s="83">
        <f ca="1">资产负债假设!$I$49*(L109+L111)/2*资产负债假设!$I$50</f>
        <v>5404.9943640097854</v>
      </c>
      <c r="M112" s="83">
        <f ca="1">资产负债假设!$I$49*(M109+M111)/2*资产负债假设!$I$50</f>
        <v>6538.1355989861859</v>
      </c>
      <c r="N112" s="83">
        <f ca="1">资产负债假设!$I$49*(N109+N111)/2*资产负债假设!$I$50</f>
        <v>7961.4767183411732</v>
      </c>
      <c r="O112" s="83">
        <f ca="1">资产负债假设!$I$49*(O109+O111)/2*资产负债假设!$I$50</f>
        <v>9761.3245763797186</v>
      </c>
      <c r="P112" s="87"/>
    </row>
    <row r="113" spans="2:16" s="1" customFormat="1" ht="24.95" customHeight="1">
      <c r="B113" s="87"/>
      <c r="C113" s="111"/>
      <c r="D113" s="178" t="s">
        <v>46</v>
      </c>
      <c r="E113" s="178"/>
      <c r="F113" s="178"/>
      <c r="G113" s="178"/>
      <c r="H113" s="178"/>
      <c r="I113" s="178"/>
      <c r="J113" s="83"/>
      <c r="K113" s="83">
        <f t="shared" ref="K113:N113" ca="1" si="16">K112+K107</f>
        <v>5575.2668519256713</v>
      </c>
      <c r="L113" s="83">
        <f t="shared" ca="1" si="16"/>
        <v>6786.6624174251901</v>
      </c>
      <c r="M113" s="83">
        <f t="shared" ca="1" si="16"/>
        <v>8206.4531570015351</v>
      </c>
      <c r="N113" s="83">
        <f t="shared" ca="1" si="16"/>
        <v>9938.8541479953165</v>
      </c>
      <c r="O113" s="83">
        <f t="shared" ref="O113" ca="1" si="17">O112+O107</f>
        <v>12085.584854974746</v>
      </c>
      <c r="P113" s="87"/>
    </row>
    <row r="114" spans="2:16" s="1" customFormat="1" ht="24.95" customHeight="1">
      <c r="B114" s="87"/>
      <c r="C114" s="111"/>
      <c r="D114" s="178" t="s">
        <v>126</v>
      </c>
      <c r="E114" s="178"/>
      <c r="F114" s="178"/>
      <c r="G114" s="178"/>
      <c r="H114" s="178"/>
      <c r="I114" s="178"/>
      <c r="J114" s="83"/>
      <c r="K114" s="83"/>
      <c r="L114" s="83"/>
      <c r="M114" s="83"/>
      <c r="N114" s="83"/>
      <c r="O114" s="83"/>
      <c r="P114" s="87"/>
    </row>
    <row r="115" spans="2:16" s="1" customFormat="1" ht="24.95" customHeight="1">
      <c r="B115" s="87"/>
      <c r="C115" s="111"/>
      <c r="D115" s="178" t="s">
        <v>10</v>
      </c>
      <c r="E115" s="178"/>
      <c r="F115" s="178"/>
      <c r="G115" s="178"/>
      <c r="H115" s="178"/>
      <c r="I115" s="178"/>
      <c r="J115" s="83"/>
      <c r="K115" s="83">
        <f>K89</f>
        <v>97814</v>
      </c>
      <c r="L115" s="83">
        <f ca="1">L89</f>
        <v>188537.60676924424</v>
      </c>
      <c r="M115" s="83">
        <f ca="1">M89</f>
        <v>245773.8608935714</v>
      </c>
      <c r="N115" s="83">
        <f ca="1">N89</f>
        <v>303383.2470983605</v>
      </c>
      <c r="O115" s="83">
        <f ca="1">O89</f>
        <v>362095.874861055</v>
      </c>
      <c r="P115" s="87"/>
    </row>
    <row r="116" spans="2:16" s="1" customFormat="1" ht="24.95" customHeight="1">
      <c r="B116" s="87"/>
      <c r="C116" s="111"/>
      <c r="D116" s="178" t="s">
        <v>43</v>
      </c>
      <c r="E116" s="178"/>
      <c r="F116" s="178"/>
      <c r="G116" s="178"/>
      <c r="H116" s="178"/>
      <c r="I116" s="178"/>
      <c r="J116" s="83"/>
      <c r="K116" s="83">
        <f t="shared" ref="K116:N116" ca="1" si="18">K91</f>
        <v>188537.60676924424</v>
      </c>
      <c r="L116" s="83">
        <f t="shared" ca="1" si="18"/>
        <v>245773.8608935714</v>
      </c>
      <c r="M116" s="83">
        <f t="shared" ca="1" si="18"/>
        <v>303383.2470983605</v>
      </c>
      <c r="N116" s="83">
        <f t="shared" ca="1" si="18"/>
        <v>362095.874861055</v>
      </c>
      <c r="O116" s="83">
        <f t="shared" ref="O116" ca="1" si="19">O91</f>
        <v>416974.17003481911</v>
      </c>
      <c r="P116" s="87"/>
    </row>
    <row r="117" spans="2:16" s="1" customFormat="1" ht="24.95" customHeight="1">
      <c r="B117" s="87"/>
      <c r="C117" s="111"/>
      <c r="D117" s="178" t="s">
        <v>44</v>
      </c>
      <c r="E117" s="178"/>
      <c r="F117" s="178"/>
      <c r="G117" s="178"/>
      <c r="H117" s="178"/>
      <c r="I117" s="178"/>
      <c r="J117" s="118"/>
      <c r="K117" s="118">
        <f ca="1">资产负债假设!$I$44*(K115+K116)/2+(BS!I8+BS!H8)*资产负债假设!$I$44/2</f>
        <v>5152.3450846155529</v>
      </c>
      <c r="L117" s="118">
        <f ca="1">资产负债假设!$I$44*(L115+L116)/2+(BS!J8+BS!I8)*资产负债假设!$I$44/2</f>
        <v>7001.8433457851961</v>
      </c>
      <c r="M117" s="118">
        <f ca="1">资产负债假设!$I$44*(M115+M116)/2+(BS!K8+BS!J8)*资产负债假设!$I$44/2</f>
        <v>8437.4138498991506</v>
      </c>
      <c r="N117" s="118">
        <f ca="1">资产负债假设!$I$44*(N115+N116)/2+(BS!L8+BS!K8)*资产负债假设!$I$44/2</f>
        <v>9891.4390244926944</v>
      </c>
      <c r="O117" s="118">
        <f ca="1">资产负债假设!$I$44*(O115+O116)/2+(BS!M8+BS!L8)*资产负债假设!$I$44/2</f>
        <v>11311.325561198428</v>
      </c>
      <c r="P117" s="87"/>
    </row>
    <row r="118" spans="2:16" s="1" customFormat="1" ht="24.95" customHeight="1">
      <c r="B118" s="87"/>
      <c r="C118" s="111"/>
      <c r="D118" s="178" t="s">
        <v>49</v>
      </c>
      <c r="E118" s="178"/>
      <c r="F118" s="178"/>
      <c r="G118" s="178"/>
      <c r="H118" s="178"/>
      <c r="I118" s="178"/>
      <c r="J118" s="83"/>
      <c r="K118" s="83">
        <f t="shared" ref="K118:N118" ca="1" si="20">K113-K117</f>
        <v>422.92176731011841</v>
      </c>
      <c r="L118" s="83">
        <f t="shared" ca="1" si="20"/>
        <v>-215.18092836000596</v>
      </c>
      <c r="M118" s="83">
        <f t="shared" ca="1" si="20"/>
        <v>-230.96069289761544</v>
      </c>
      <c r="N118" s="83">
        <f t="shared" ca="1" si="20"/>
        <v>47.415123502622009</v>
      </c>
      <c r="O118" s="83">
        <f t="shared" ref="O118" ca="1" si="21">O113-O117</f>
        <v>774.25929377631837</v>
      </c>
      <c r="P118" s="92"/>
    </row>
    <row r="119" spans="2:16" ht="6" customHeight="1">
      <c r="B119" s="25"/>
      <c r="C119" s="248"/>
      <c r="D119" s="248"/>
      <c r="E119" s="25"/>
      <c r="F119" s="25"/>
      <c r="G119" s="25"/>
      <c r="H119" s="25"/>
      <c r="I119" s="25"/>
      <c r="J119" s="25"/>
      <c r="K119" s="25"/>
      <c r="L119" s="87" t="s">
        <v>13</v>
      </c>
      <c r="M119" s="25"/>
      <c r="N119" s="25"/>
      <c r="O119" s="25"/>
      <c r="P119" s="25"/>
    </row>
    <row r="121" spans="2:16">
      <c r="N121" s="1" t="s">
        <v>8</v>
      </c>
    </row>
  </sheetData>
  <mergeCells count="54">
    <mergeCell ref="J52:J53"/>
    <mergeCell ref="K52:K53"/>
    <mergeCell ref="L52:L53"/>
    <mergeCell ref="M52:M53"/>
    <mergeCell ref="N52:N53"/>
    <mergeCell ref="J46:J47"/>
    <mergeCell ref="K46:K47"/>
    <mergeCell ref="L46:L47"/>
    <mergeCell ref="M46:M47"/>
    <mergeCell ref="N46:N47"/>
    <mergeCell ref="J41:J42"/>
    <mergeCell ref="K41:K42"/>
    <mergeCell ref="L41:L42"/>
    <mergeCell ref="M41:M42"/>
    <mergeCell ref="N41:N42"/>
    <mergeCell ref="J50:J51"/>
    <mergeCell ref="K50:K51"/>
    <mergeCell ref="L50:L51"/>
    <mergeCell ref="M50:M51"/>
    <mergeCell ref="N50:N51"/>
    <mergeCell ref="J39:J40"/>
    <mergeCell ref="K39:K40"/>
    <mergeCell ref="L39:L40"/>
    <mergeCell ref="M39:M40"/>
    <mergeCell ref="N39:N40"/>
    <mergeCell ref="J58:J59"/>
    <mergeCell ref="K58:K59"/>
    <mergeCell ref="L58:L59"/>
    <mergeCell ref="M58:M59"/>
    <mergeCell ref="N58:N59"/>
    <mergeCell ref="J73:J74"/>
    <mergeCell ref="K73:K74"/>
    <mergeCell ref="L73:L74"/>
    <mergeCell ref="M73:M74"/>
    <mergeCell ref="N73:N74"/>
    <mergeCell ref="J70:J71"/>
    <mergeCell ref="K70:K71"/>
    <mergeCell ref="L70:L71"/>
    <mergeCell ref="M70:M71"/>
    <mergeCell ref="N70:N71"/>
    <mergeCell ref="J68:J69"/>
    <mergeCell ref="K68:K69"/>
    <mergeCell ref="L68:L69"/>
    <mergeCell ref="M68:M69"/>
    <mergeCell ref="N68:N69"/>
    <mergeCell ref="O58:O59"/>
    <mergeCell ref="O68:O69"/>
    <mergeCell ref="O70:O71"/>
    <mergeCell ref="O73:O74"/>
    <mergeCell ref="O39:O40"/>
    <mergeCell ref="O41:O42"/>
    <mergeCell ref="O46:O47"/>
    <mergeCell ref="O50:O51"/>
    <mergeCell ref="O52:O53"/>
  </mergeCells>
  <phoneticPr fontId="7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39997558519241921"/>
  </sheetPr>
  <dimension ref="B1:N109"/>
  <sheetViews>
    <sheetView showGridLines="0" workbookViewId="0">
      <selection activeCell="I61" sqref="I61"/>
    </sheetView>
  </sheetViews>
  <sheetFormatPr defaultRowHeight="13.5"/>
  <cols>
    <col min="1" max="1" width="7.875" customWidth="1"/>
    <col min="2" max="2" width="18.5" customWidth="1"/>
    <col min="10" max="10" width="7" customWidth="1"/>
  </cols>
  <sheetData>
    <row r="1" spans="2:9">
      <c r="I1" s="396"/>
    </row>
    <row r="2" spans="2:9">
      <c r="B2" s="403" t="s">
        <v>917</v>
      </c>
      <c r="C2" s="404">
        <v>2013</v>
      </c>
      <c r="D2" s="404">
        <v>2014</v>
      </c>
      <c r="E2" s="404">
        <v>2015</v>
      </c>
      <c r="F2" s="404">
        <v>2016</v>
      </c>
      <c r="G2" s="404">
        <v>2017</v>
      </c>
      <c r="H2" s="405">
        <v>2018</v>
      </c>
    </row>
    <row r="3" spans="2:9">
      <c r="B3" s="406"/>
      <c r="C3" s="26"/>
      <c r="D3" s="26"/>
      <c r="E3" s="26"/>
      <c r="F3" s="26"/>
      <c r="G3" s="26"/>
      <c r="H3" s="409"/>
    </row>
    <row r="4" spans="2:9">
      <c r="B4" s="406" t="s">
        <v>907</v>
      </c>
      <c r="C4" s="407">
        <f t="shared" ref="C4:H4" si="0">D14+D15*0.8+D20+D22*0.8+D18</f>
        <v>233.57286559084019</v>
      </c>
      <c r="D4" s="407">
        <f t="shared" si="0"/>
        <v>785.28873356236363</v>
      </c>
      <c r="E4" s="407">
        <f t="shared" si="0"/>
        <v>1270.4927727988365</v>
      </c>
      <c r="F4" s="407">
        <f t="shared" si="0"/>
        <v>1902.9419470765397</v>
      </c>
      <c r="G4" s="407">
        <f t="shared" si="0"/>
        <v>3650.9386134865022</v>
      </c>
      <c r="H4" s="409">
        <f t="shared" si="0"/>
        <v>4073.0603077844044</v>
      </c>
    </row>
    <row r="5" spans="2:9">
      <c r="B5" s="406" t="s">
        <v>908</v>
      </c>
      <c r="C5" s="407"/>
      <c r="D5" s="397">
        <f>D4/C4-1</f>
        <v>2.362071752538192</v>
      </c>
      <c r="E5" s="397">
        <f t="shared" ref="E5:G5" si="1">E4/D4-1</f>
        <v>0.61786705768132677</v>
      </c>
      <c r="F5" s="397">
        <f t="shared" si="1"/>
        <v>0.49779832504237476</v>
      </c>
      <c r="G5" s="397">
        <f t="shared" si="1"/>
        <v>0.91857592875882665</v>
      </c>
      <c r="H5" s="438">
        <f>H4/G4-1</f>
        <v>0.11562004705819828</v>
      </c>
    </row>
    <row r="6" spans="2:9">
      <c r="B6" s="406" t="s">
        <v>911</v>
      </c>
      <c r="C6" s="410">
        <v>0.8</v>
      </c>
      <c r="D6" s="410">
        <v>0.8</v>
      </c>
      <c r="E6" s="410">
        <v>0.8</v>
      </c>
      <c r="F6" s="410">
        <v>0.8</v>
      </c>
      <c r="G6" s="410">
        <v>0.8</v>
      </c>
      <c r="H6" s="411">
        <v>0.8</v>
      </c>
      <c r="I6" s="412" t="s">
        <v>918</v>
      </c>
    </row>
    <row r="7" spans="2:9">
      <c r="B7" s="406"/>
      <c r="C7" s="26"/>
      <c r="D7" s="26"/>
      <c r="E7" s="26"/>
      <c r="F7" s="26"/>
      <c r="G7" s="26"/>
      <c r="H7" s="408"/>
    </row>
    <row r="8" spans="2:9">
      <c r="B8" s="406" t="s">
        <v>912</v>
      </c>
      <c r="C8" s="26">
        <v>91.58</v>
      </c>
      <c r="D8" s="26">
        <v>92.31</v>
      </c>
      <c r="E8" s="407">
        <v>93</v>
      </c>
      <c r="F8" s="26">
        <v>93.76</v>
      </c>
      <c r="G8" s="26">
        <v>94.11</v>
      </c>
      <c r="H8" s="409">
        <v>94.4</v>
      </c>
    </row>
    <row r="9" spans="2:9">
      <c r="B9" s="406" t="s">
        <v>919</v>
      </c>
      <c r="C9" s="26"/>
      <c r="D9" s="398">
        <f>D8/C8-1</f>
        <v>7.9711727451408088E-3</v>
      </c>
      <c r="E9" s="398">
        <f t="shared" ref="E9:G9" si="2">E8/D8-1</f>
        <v>7.4748131296717979E-3</v>
      </c>
      <c r="F9" s="398">
        <f t="shared" si="2"/>
        <v>8.1720430107528053E-3</v>
      </c>
      <c r="G9" s="398">
        <f t="shared" si="2"/>
        <v>3.7329351535835276E-3</v>
      </c>
      <c r="H9" s="439">
        <f>H8/G8-1</f>
        <v>3.0815003719053546E-3</v>
      </c>
    </row>
    <row r="10" spans="2:9">
      <c r="B10" s="406"/>
      <c r="C10" s="26"/>
      <c r="D10" s="407"/>
      <c r="E10" s="26"/>
      <c r="F10" s="26"/>
      <c r="G10" s="26"/>
      <c r="H10" s="408"/>
    </row>
    <row r="11" spans="2:9">
      <c r="B11" s="413" t="s">
        <v>920</v>
      </c>
      <c r="C11" s="414">
        <f>C4*C6/C8*1.16</f>
        <v>2.3668444995446571</v>
      </c>
      <c r="D11" s="414">
        <f t="shared" ref="D11:G11" si="3">D4*D6/D8*1.16</f>
        <v>7.8945720371127015</v>
      </c>
      <c r="E11" s="414">
        <f t="shared" si="3"/>
        <v>12.677605302766885</v>
      </c>
      <c r="F11" s="414">
        <f t="shared" si="3"/>
        <v>18.834578998368482</v>
      </c>
      <c r="G11" s="414">
        <f t="shared" si="3"/>
        <v>36.001179824837685</v>
      </c>
      <c r="H11" s="415">
        <f>H4*H6/H8*1.16</f>
        <v>40.040253873134816</v>
      </c>
      <c r="I11" s="412" t="s">
        <v>921</v>
      </c>
    </row>
    <row r="13" spans="2:9">
      <c r="B13" s="403" t="s">
        <v>909</v>
      </c>
      <c r="C13" s="404"/>
      <c r="D13" s="404">
        <v>2013</v>
      </c>
      <c r="E13" s="404">
        <v>2014</v>
      </c>
      <c r="F13" s="404">
        <v>2015</v>
      </c>
      <c r="G13" s="404">
        <v>2016</v>
      </c>
      <c r="H13" s="404">
        <v>2017</v>
      </c>
      <c r="I13" s="405">
        <v>2018</v>
      </c>
    </row>
    <row r="14" spans="2:9">
      <c r="B14" s="406" t="s">
        <v>913</v>
      </c>
      <c r="C14" s="26" t="s">
        <v>922</v>
      </c>
      <c r="D14" s="407">
        <v>62.45</v>
      </c>
      <c r="E14" s="407">
        <v>36.31</v>
      </c>
      <c r="F14" s="407">
        <v>94.35</v>
      </c>
      <c r="G14" s="407">
        <v>204.77</v>
      </c>
      <c r="H14" s="407">
        <v>538.79999999999995</v>
      </c>
      <c r="I14" s="408">
        <f>资产!W76+资产!W87+资产!W88+资产!W89+资产!W34</f>
        <v>568.76</v>
      </c>
    </row>
    <row r="15" spans="2:9">
      <c r="B15" s="406"/>
      <c r="C15" s="26" t="s">
        <v>910</v>
      </c>
      <c r="D15" s="407">
        <f>125.15-D14</f>
        <v>62.7</v>
      </c>
      <c r="E15" s="407">
        <v>96.46</v>
      </c>
      <c r="F15" s="407">
        <f>348.79+0.25</f>
        <v>349.04</v>
      </c>
      <c r="G15" s="407">
        <f>625.8+7.49</f>
        <v>633.29</v>
      </c>
      <c r="H15" s="26">
        <f>709.62+23.76</f>
        <v>733.38</v>
      </c>
      <c r="I15" s="409">
        <f>资产!W77+资产!W78+资产!W90</f>
        <v>845.2</v>
      </c>
    </row>
    <row r="16" spans="2:9">
      <c r="B16" s="406" t="s">
        <v>914</v>
      </c>
      <c r="C16" s="26" t="s">
        <v>923</v>
      </c>
      <c r="D16" s="407">
        <v>14.26</v>
      </c>
      <c r="E16" s="407">
        <v>320.64</v>
      </c>
      <c r="F16" s="407">
        <v>360.4</v>
      </c>
      <c r="G16" s="407">
        <v>385.16</v>
      </c>
      <c r="H16" s="407">
        <v>609.35</v>
      </c>
      <c r="I16" s="409">
        <v>1306.33</v>
      </c>
    </row>
    <row r="17" spans="2:9">
      <c r="B17" s="406"/>
      <c r="C17" s="26" t="s">
        <v>924</v>
      </c>
      <c r="D17" s="407">
        <v>94.41</v>
      </c>
      <c r="E17" s="407">
        <v>190.67</v>
      </c>
      <c r="F17" s="407">
        <v>241.31</v>
      </c>
      <c r="G17" s="407">
        <v>315.26</v>
      </c>
      <c r="H17" s="407">
        <v>528.44000000000005</v>
      </c>
      <c r="I17" s="409">
        <v>885.82</v>
      </c>
    </row>
    <row r="18" spans="2:9">
      <c r="B18" s="406"/>
      <c r="C18" s="26" t="s">
        <v>587</v>
      </c>
      <c r="D18" s="407">
        <v>11.19</v>
      </c>
      <c r="E18" s="407">
        <v>29.41</v>
      </c>
      <c r="F18" s="407">
        <v>62.3</v>
      </c>
      <c r="G18" s="407">
        <v>96.27</v>
      </c>
      <c r="H18" s="407">
        <v>0</v>
      </c>
      <c r="I18" s="409">
        <v>0</v>
      </c>
    </row>
    <row r="19" spans="2:9">
      <c r="B19" s="406"/>
      <c r="C19" s="26"/>
      <c r="D19" s="26"/>
      <c r="E19" s="26"/>
      <c r="F19" s="26"/>
      <c r="G19" s="26"/>
      <c r="H19" s="26"/>
      <c r="I19" s="408"/>
    </row>
    <row r="20" spans="2:9">
      <c r="B20" s="703" t="s">
        <v>925</v>
      </c>
      <c r="C20" s="704"/>
      <c r="D20" s="416">
        <f>D16*(1+D21)</f>
        <v>18.075948380413333</v>
      </c>
      <c r="E20" s="416">
        <f>E16*(1+E21)</f>
        <v>443.21520423720011</v>
      </c>
      <c r="F20" s="416">
        <f>F16*(1+F21)</f>
        <v>557.2211060338559</v>
      </c>
      <c r="G20" s="407">
        <v>685.65</v>
      </c>
      <c r="H20" s="26">
        <v>1569.68</v>
      </c>
      <c r="I20" s="409">
        <v>1873.39</v>
      </c>
    </row>
    <row r="21" spans="2:9">
      <c r="B21" s="703" t="s">
        <v>926</v>
      </c>
      <c r="C21" s="704"/>
      <c r="D21" s="399">
        <f t="shared" ref="D21:E21" si="4">E21*0.7</f>
        <v>0.26759806314258999</v>
      </c>
      <c r="E21" s="399">
        <f t="shared" si="4"/>
        <v>0.38228294734655716</v>
      </c>
      <c r="F21" s="399">
        <f>G21*0.7</f>
        <v>0.54611849620936737</v>
      </c>
      <c r="G21" s="400">
        <f>G20/G16-1</f>
        <v>0.78016928029909627</v>
      </c>
      <c r="H21" s="400">
        <f>H20/H16-1</f>
        <v>1.5759908098793796</v>
      </c>
      <c r="I21" s="401">
        <f>I20/I16-1</f>
        <v>0.43408633346857251</v>
      </c>
    </row>
    <row r="22" spans="2:9">
      <c r="B22" s="705" t="s">
        <v>927</v>
      </c>
      <c r="C22" s="706"/>
      <c r="D22" s="417">
        <f t="shared" ref="D22:H22" si="5">D17*(1+D21*0.8)</f>
        <v>114.62114651303354</v>
      </c>
      <c r="E22" s="417">
        <f t="shared" si="5"/>
        <v>248.98191165645443</v>
      </c>
      <c r="F22" s="417">
        <f t="shared" si="5"/>
        <v>346.73708345622595</v>
      </c>
      <c r="G22" s="417">
        <f t="shared" si="5"/>
        <v>512.02493384567447</v>
      </c>
      <c r="H22" s="417">
        <f t="shared" si="5"/>
        <v>1194.6932668581276</v>
      </c>
      <c r="I22" s="418">
        <f>I17*(1+I21*0.8)</f>
        <v>1193.4378847305047</v>
      </c>
    </row>
    <row r="24" spans="2:9" ht="27" customHeight="1">
      <c r="B24" s="440" t="s">
        <v>987</v>
      </c>
      <c r="C24" s="441" t="s">
        <v>1056</v>
      </c>
      <c r="D24" s="441" t="s">
        <v>954</v>
      </c>
      <c r="E24" s="441" t="s">
        <v>988</v>
      </c>
      <c r="F24" s="442" t="s">
        <v>1057</v>
      </c>
      <c r="G24" s="442" t="s">
        <v>989</v>
      </c>
    </row>
    <row r="25" spans="2:9">
      <c r="B25" t="s">
        <v>955</v>
      </c>
      <c r="C25" s="432">
        <v>156.4436</v>
      </c>
      <c r="D25" s="432">
        <v>147.66399999999999</v>
      </c>
      <c r="E25" s="433">
        <v>0.38200000000000001</v>
      </c>
      <c r="F25" s="432">
        <f>C25*E25</f>
        <v>59.7614552</v>
      </c>
      <c r="G25" s="432">
        <f>D25*E25</f>
        <v>56.407647999999995</v>
      </c>
    </row>
    <row r="26" spans="2:9">
      <c r="B26" t="s">
        <v>956</v>
      </c>
      <c r="C26" s="432"/>
      <c r="D26" s="432">
        <v>128.13208</v>
      </c>
      <c r="E26" s="433">
        <v>0.38200000000000001</v>
      </c>
      <c r="F26" s="432">
        <f t="shared" ref="F26:F58" si="6">C26*E26</f>
        <v>0</v>
      </c>
      <c r="G26" s="432">
        <f t="shared" ref="G26:G59" si="7">D26*E26</f>
        <v>48.946454559999999</v>
      </c>
    </row>
    <row r="27" spans="2:9">
      <c r="B27" t="s">
        <v>957</v>
      </c>
      <c r="C27" s="432">
        <v>289.37259999999998</v>
      </c>
      <c r="D27" s="432">
        <v>558.57263999999998</v>
      </c>
      <c r="E27" s="433">
        <v>0.34300000000000003</v>
      </c>
      <c r="F27" s="432">
        <f t="shared" si="6"/>
        <v>99.254801799999996</v>
      </c>
      <c r="G27" s="432">
        <f t="shared" si="7"/>
        <v>191.59041552000002</v>
      </c>
    </row>
    <row r="28" spans="2:9">
      <c r="B28" t="s">
        <v>621</v>
      </c>
      <c r="C28" s="432">
        <v>276.3451</v>
      </c>
      <c r="D28" s="432">
        <v>342.37912</v>
      </c>
      <c r="E28" s="433">
        <v>0.32</v>
      </c>
      <c r="F28" s="432">
        <f t="shared" si="6"/>
        <v>88.430431999999996</v>
      </c>
      <c r="G28" s="432">
        <f t="shared" si="7"/>
        <v>109.5613184</v>
      </c>
    </row>
    <row r="29" spans="2:9">
      <c r="B29" t="s">
        <v>958</v>
      </c>
      <c r="C29" s="432">
        <v>608.96370000000002</v>
      </c>
      <c r="D29" s="432">
        <v>614.41647999999998</v>
      </c>
      <c r="E29" s="433">
        <v>0.2283</v>
      </c>
      <c r="F29" s="432">
        <f t="shared" si="6"/>
        <v>139.02641271000002</v>
      </c>
      <c r="G29" s="432">
        <f t="shared" si="7"/>
        <v>140.27128238399999</v>
      </c>
    </row>
    <row r="30" spans="2:9">
      <c r="B30" t="s">
        <v>959</v>
      </c>
      <c r="C30" s="432">
        <v>251.9632</v>
      </c>
      <c r="D30" s="432">
        <v>268.53280000000001</v>
      </c>
      <c r="E30" s="433">
        <v>0.22600000000000001</v>
      </c>
      <c r="F30" s="432">
        <f t="shared" si="6"/>
        <v>56.943683200000002</v>
      </c>
      <c r="G30" s="432">
        <f t="shared" si="7"/>
        <v>60.688412800000002</v>
      </c>
    </row>
    <row r="31" spans="2:9">
      <c r="B31" t="s">
        <v>960</v>
      </c>
      <c r="C31" s="432">
        <v>110.1176</v>
      </c>
      <c r="D31" s="432">
        <v>104.33439999999999</v>
      </c>
      <c r="E31" s="433">
        <v>0.20899999999999999</v>
      </c>
      <c r="F31" s="432">
        <f t="shared" si="6"/>
        <v>23.014578399999998</v>
      </c>
      <c r="G31" s="432">
        <f t="shared" si="7"/>
        <v>21.805889599999997</v>
      </c>
    </row>
    <row r="32" spans="2:9">
      <c r="B32" t="s">
        <v>961</v>
      </c>
      <c r="C32" s="432">
        <v>123.5155</v>
      </c>
      <c r="D32" s="432">
        <v>106.85504</v>
      </c>
      <c r="E32" s="433">
        <v>0.19420000000000001</v>
      </c>
      <c r="F32" s="432">
        <f t="shared" si="6"/>
        <v>23.986710100000003</v>
      </c>
      <c r="G32" s="432">
        <f t="shared" si="7"/>
        <v>20.751248768</v>
      </c>
    </row>
    <row r="33" spans="2:7">
      <c r="B33" s="1" t="s">
        <v>1058</v>
      </c>
      <c r="C33" s="432">
        <v>2069.7982000000002</v>
      </c>
      <c r="D33" s="432">
        <v>2449.7888159999998</v>
      </c>
      <c r="E33" s="433">
        <v>0.19239999999999999</v>
      </c>
      <c r="F33" s="432">
        <f t="shared" si="6"/>
        <v>398.22917368000003</v>
      </c>
      <c r="G33" s="432">
        <f t="shared" si="7"/>
        <v>471.33936819839994</v>
      </c>
    </row>
    <row r="34" spans="2:7">
      <c r="B34" t="s">
        <v>962</v>
      </c>
      <c r="C34" s="432">
        <v>66.501999999999995</v>
      </c>
      <c r="D34" s="432">
        <v>62.326975999999995</v>
      </c>
      <c r="E34" s="433">
        <v>0.18590000000000001</v>
      </c>
      <c r="F34" s="432">
        <f t="shared" si="6"/>
        <v>12.362721799999999</v>
      </c>
      <c r="G34" s="432">
        <f t="shared" si="7"/>
        <v>11.5865848384</v>
      </c>
    </row>
    <row r="35" spans="2:7">
      <c r="B35" t="s">
        <v>963</v>
      </c>
      <c r="C35" s="432">
        <v>2160.4506000000001</v>
      </c>
      <c r="D35" s="432">
        <v>2718.3599999999997</v>
      </c>
      <c r="E35" s="433">
        <v>0.18</v>
      </c>
      <c r="F35" s="432">
        <f t="shared" si="6"/>
        <v>388.88110799999998</v>
      </c>
      <c r="G35" s="432">
        <f t="shared" si="7"/>
        <v>489.30479999999994</v>
      </c>
    </row>
    <row r="36" spans="2:7">
      <c r="B36" t="s">
        <v>964</v>
      </c>
      <c r="C36" s="432"/>
      <c r="D36" s="432"/>
      <c r="E36" s="433">
        <v>0.18</v>
      </c>
      <c r="F36" s="432">
        <f t="shared" si="6"/>
        <v>0</v>
      </c>
      <c r="G36" s="432">
        <f t="shared" si="7"/>
        <v>0</v>
      </c>
    </row>
    <row r="37" spans="2:7">
      <c r="B37" t="s">
        <v>965</v>
      </c>
      <c r="C37" s="432">
        <v>2008.1211000000001</v>
      </c>
      <c r="D37" s="432">
        <v>1812.24</v>
      </c>
      <c r="E37" s="433">
        <v>0.17799999999999999</v>
      </c>
      <c r="F37" s="432">
        <f t="shared" si="6"/>
        <v>357.44555580000002</v>
      </c>
      <c r="G37" s="432">
        <f t="shared" si="7"/>
        <v>322.57871999999998</v>
      </c>
    </row>
    <row r="38" spans="2:7">
      <c r="B38" t="s">
        <v>966</v>
      </c>
      <c r="C38" s="432">
        <v>64.883700000000005</v>
      </c>
      <c r="D38" s="432">
        <v>65.106399999999994</v>
      </c>
      <c r="E38" s="433">
        <v>0.16600000000000001</v>
      </c>
      <c r="F38" s="432">
        <f t="shared" si="6"/>
        <v>10.770694200000001</v>
      </c>
      <c r="G38" s="432">
        <f t="shared" si="7"/>
        <v>10.8076624</v>
      </c>
    </row>
    <row r="39" spans="2:7">
      <c r="B39" t="s">
        <v>967</v>
      </c>
      <c r="C39" s="432">
        <v>14.210699999999999</v>
      </c>
      <c r="D39" s="432">
        <v>16.511520000000001</v>
      </c>
      <c r="E39" s="433">
        <v>0.156</v>
      </c>
      <c r="F39" s="432">
        <f t="shared" si="6"/>
        <v>2.2168692000000001</v>
      </c>
      <c r="G39" s="432">
        <f t="shared" si="7"/>
        <v>2.5757971200000003</v>
      </c>
    </row>
    <row r="40" spans="2:7">
      <c r="B40" t="s">
        <v>968</v>
      </c>
      <c r="C40" s="432">
        <v>456.7765</v>
      </c>
      <c r="D40" s="432">
        <v>387.01391999999998</v>
      </c>
      <c r="E40" s="433">
        <v>0.13400000000000001</v>
      </c>
      <c r="F40" s="432">
        <f t="shared" si="6"/>
        <v>61.208051000000005</v>
      </c>
      <c r="G40" s="432">
        <f t="shared" si="7"/>
        <v>51.859865280000001</v>
      </c>
    </row>
    <row r="41" spans="2:7">
      <c r="B41" t="s">
        <v>969</v>
      </c>
      <c r="C41" s="432">
        <v>301.90469999999999</v>
      </c>
      <c r="D41" s="432">
        <v>321.70616000000001</v>
      </c>
      <c r="E41" s="433">
        <v>0.1227</v>
      </c>
      <c r="F41" s="432">
        <f t="shared" si="6"/>
        <v>37.04370669</v>
      </c>
      <c r="G41" s="432">
        <f t="shared" si="7"/>
        <v>39.473345832</v>
      </c>
    </row>
    <row r="42" spans="2:7">
      <c r="B42" s="1" t="s">
        <v>1059</v>
      </c>
      <c r="C42" s="432">
        <v>527.20600000000002</v>
      </c>
      <c r="D42" s="432">
        <v>951.42599999999993</v>
      </c>
      <c r="E42" s="433">
        <v>0.12</v>
      </c>
      <c r="F42" s="432">
        <f t="shared" si="6"/>
        <v>63.264719999999997</v>
      </c>
      <c r="G42" s="432">
        <f t="shared" si="7"/>
        <v>114.17111999999999</v>
      </c>
    </row>
    <row r="43" spans="2:7">
      <c r="B43" t="s">
        <v>970</v>
      </c>
      <c r="C43" s="432">
        <v>344.89460000000003</v>
      </c>
      <c r="D43" s="432">
        <v>340.36959999999999</v>
      </c>
      <c r="E43" s="433">
        <v>0.10199999999999999</v>
      </c>
      <c r="F43" s="432">
        <f t="shared" si="6"/>
        <v>35.179249200000001</v>
      </c>
      <c r="G43" s="432">
        <f t="shared" si="7"/>
        <v>34.717699199999998</v>
      </c>
    </row>
    <row r="44" spans="2:7">
      <c r="B44" t="s">
        <v>971</v>
      </c>
      <c r="C44" s="432">
        <v>207.68209999999999</v>
      </c>
      <c r="D44" s="432">
        <v>292</v>
      </c>
      <c r="E44" s="433">
        <v>9.74E-2</v>
      </c>
      <c r="F44" s="432">
        <f t="shared" si="6"/>
        <v>20.228236539999997</v>
      </c>
      <c r="G44" s="432">
        <f t="shared" si="7"/>
        <v>28.440799999999999</v>
      </c>
    </row>
    <row r="45" spans="2:7">
      <c r="B45" t="s">
        <v>972</v>
      </c>
      <c r="C45" s="432">
        <v>135.8349</v>
      </c>
      <c r="D45" s="432">
        <v>156</v>
      </c>
      <c r="E45" s="433">
        <v>7.8799999999999995E-2</v>
      </c>
      <c r="F45" s="432">
        <f t="shared" si="6"/>
        <v>10.703790119999999</v>
      </c>
      <c r="G45" s="432">
        <f t="shared" si="7"/>
        <v>12.2928</v>
      </c>
    </row>
    <row r="46" spans="2:7">
      <c r="B46" t="s">
        <v>973</v>
      </c>
      <c r="C46" s="432">
        <v>319.03160000000003</v>
      </c>
      <c r="D46" s="432">
        <v>309.96015999999997</v>
      </c>
      <c r="E46" s="433">
        <v>7.8399999999999997E-2</v>
      </c>
      <c r="F46" s="432">
        <f t="shared" si="6"/>
        <v>25.012077440000002</v>
      </c>
      <c r="G46" s="432">
        <f t="shared" si="7"/>
        <v>24.300876543999998</v>
      </c>
    </row>
    <row r="47" spans="2:7">
      <c r="B47" t="s">
        <v>974</v>
      </c>
      <c r="C47" s="432">
        <v>172.9803</v>
      </c>
      <c r="D47" s="432">
        <v>205.24799999999999</v>
      </c>
      <c r="E47" s="433">
        <v>7.7700000000000005E-2</v>
      </c>
      <c r="F47" s="432">
        <f t="shared" si="6"/>
        <v>13.440569310000001</v>
      </c>
      <c r="G47" s="432">
        <f t="shared" si="7"/>
        <v>15.947769600000001</v>
      </c>
    </row>
    <row r="48" spans="2:7">
      <c r="B48" t="s">
        <v>975</v>
      </c>
      <c r="C48" s="432">
        <v>161.161</v>
      </c>
      <c r="D48" s="432">
        <v>239.21567999999999</v>
      </c>
      <c r="E48" s="433">
        <v>7.6999999999999999E-2</v>
      </c>
      <c r="F48" s="432">
        <f t="shared" si="6"/>
        <v>12.409397</v>
      </c>
      <c r="G48" s="432">
        <f t="shared" si="7"/>
        <v>18.419607360000001</v>
      </c>
    </row>
    <row r="49" spans="2:7">
      <c r="B49" t="s">
        <v>976</v>
      </c>
      <c r="C49" s="432">
        <v>85.680599999999998</v>
      </c>
      <c r="D49" s="432">
        <v>75.509999999999991</v>
      </c>
      <c r="E49" s="433">
        <v>7.5399999999999995E-2</v>
      </c>
      <c r="F49" s="432">
        <f t="shared" si="6"/>
        <v>6.4603172399999993</v>
      </c>
      <c r="G49" s="432">
        <f t="shared" si="7"/>
        <v>5.6934539999999991</v>
      </c>
    </row>
    <row r="50" spans="2:7">
      <c r="B50" s="1" t="s">
        <v>977</v>
      </c>
      <c r="C50" s="432">
        <v>1611.9132</v>
      </c>
      <c r="D50" s="432">
        <v>1685.6516799999999</v>
      </c>
      <c r="E50" s="433">
        <v>7.4999999999999997E-2</v>
      </c>
      <c r="F50" s="432">
        <f t="shared" si="6"/>
        <v>120.89348999999999</v>
      </c>
      <c r="G50" s="432">
        <f t="shared" si="7"/>
        <v>126.42387599999999</v>
      </c>
    </row>
    <row r="51" spans="2:7">
      <c r="B51" t="s">
        <v>978</v>
      </c>
      <c r="C51" s="432">
        <v>71.617599999999996</v>
      </c>
      <c r="D51" s="432">
        <v>83.89</v>
      </c>
      <c r="E51" s="433">
        <v>0.06</v>
      </c>
      <c r="F51" s="432">
        <f t="shared" si="6"/>
        <v>4.2970559999999995</v>
      </c>
      <c r="G51" s="432">
        <f t="shared" si="7"/>
        <v>5.0333999999999994</v>
      </c>
    </row>
    <row r="52" spans="2:7">
      <c r="B52" t="s">
        <v>979</v>
      </c>
      <c r="C52" s="432">
        <v>404.34820000000002</v>
      </c>
      <c r="D52" s="432">
        <v>431</v>
      </c>
      <c r="E52" s="433">
        <v>5.3100000000000001E-2</v>
      </c>
      <c r="F52" s="432">
        <f t="shared" si="6"/>
        <v>21.470889420000002</v>
      </c>
      <c r="G52" s="432">
        <f t="shared" si="7"/>
        <v>22.886099999999999</v>
      </c>
    </row>
    <row r="53" spans="2:7">
      <c r="B53" t="s">
        <v>980</v>
      </c>
      <c r="C53" s="432">
        <v>1684.8101999999999</v>
      </c>
      <c r="D53" s="432">
        <v>2114</v>
      </c>
      <c r="E53" s="433">
        <v>5.21E-2</v>
      </c>
      <c r="F53" s="432">
        <f t="shared" si="6"/>
        <v>87.77861141999999</v>
      </c>
      <c r="G53" s="432">
        <f t="shared" si="7"/>
        <v>110.13939999999999</v>
      </c>
    </row>
    <row r="54" spans="2:7">
      <c r="B54" t="s">
        <v>981</v>
      </c>
      <c r="C54" s="432">
        <v>2386.7718</v>
      </c>
      <c r="D54" s="432">
        <v>2402.8959999999997</v>
      </c>
      <c r="E54" s="433">
        <v>5.0200000000000002E-2</v>
      </c>
      <c r="F54" s="432">
        <f t="shared" si="6"/>
        <v>119.81594436</v>
      </c>
      <c r="G54" s="432">
        <f t="shared" si="7"/>
        <v>120.62537919999998</v>
      </c>
    </row>
    <row r="55" spans="2:7">
      <c r="B55" t="s">
        <v>982</v>
      </c>
      <c r="C55" s="432">
        <v>3356.8957</v>
      </c>
      <c r="D55" s="432">
        <v>3066.7127999999998</v>
      </c>
      <c r="E55" s="433">
        <v>5.0099999999999999E-2</v>
      </c>
      <c r="F55" s="432">
        <f t="shared" si="6"/>
        <v>168.18047457</v>
      </c>
      <c r="G55" s="432">
        <f t="shared" si="7"/>
        <v>153.64231127999997</v>
      </c>
    </row>
    <row r="56" spans="2:7">
      <c r="B56" t="s">
        <v>983</v>
      </c>
      <c r="C56" s="432">
        <v>780.94970000000001</v>
      </c>
      <c r="D56" s="432">
        <v>798</v>
      </c>
      <c r="E56" s="433">
        <v>0.05</v>
      </c>
      <c r="F56" s="432">
        <f t="shared" si="6"/>
        <v>39.047485000000002</v>
      </c>
      <c r="G56" s="432">
        <f t="shared" si="7"/>
        <v>39.900000000000006</v>
      </c>
    </row>
    <row r="57" spans="2:7">
      <c r="B57" t="s">
        <v>984</v>
      </c>
      <c r="C57" s="432">
        <v>682.20249999999999</v>
      </c>
      <c r="D57" s="432">
        <v>646.79499999999996</v>
      </c>
      <c r="E57" s="433">
        <v>0.05</v>
      </c>
      <c r="F57" s="432">
        <f t="shared" si="6"/>
        <v>34.110125000000004</v>
      </c>
      <c r="G57" s="432">
        <f t="shared" si="7"/>
        <v>32.339750000000002</v>
      </c>
    </row>
    <row r="58" spans="2:7">
      <c r="B58" t="s">
        <v>985</v>
      </c>
      <c r="C58" s="432">
        <v>549.34370000000001</v>
      </c>
      <c r="D58" s="432">
        <v>609.75760000000002</v>
      </c>
      <c r="E58" s="433">
        <v>4.9500000000000002E-2</v>
      </c>
      <c r="F58" s="432">
        <f t="shared" si="6"/>
        <v>27.192513150000003</v>
      </c>
      <c r="G58" s="432">
        <f t="shared" si="7"/>
        <v>30.183001200000003</v>
      </c>
    </row>
    <row r="59" spans="2:7">
      <c r="B59" t="s">
        <v>986</v>
      </c>
      <c r="C59" s="432">
        <v>48.500599999999999</v>
      </c>
      <c r="D59" s="432">
        <v>70.348752000000005</v>
      </c>
      <c r="E59" s="433">
        <v>3.1E-2</v>
      </c>
      <c r="G59" s="432">
        <f t="shared" si="7"/>
        <v>2.1808113120000003</v>
      </c>
    </row>
    <row r="60" spans="2:7">
      <c r="B60" s="434" t="s">
        <v>76</v>
      </c>
      <c r="C60" s="435">
        <f t="shared" ref="C60:D60" si="8">SUM(C25:C59)</f>
        <v>22491.1931</v>
      </c>
      <c r="D60" s="435">
        <f t="shared" si="8"/>
        <v>24582.721624000002</v>
      </c>
      <c r="E60" s="435"/>
      <c r="F60" s="435">
        <f>SUM(F25:F59)</f>
        <v>2568.0608995499997</v>
      </c>
      <c r="G60" s="435">
        <f>SUM(G25:G59)</f>
        <v>2946.8869693967999</v>
      </c>
    </row>
    <row r="61" spans="2:7">
      <c r="E61" s="436"/>
    </row>
    <row r="62" spans="2:7">
      <c r="F62" s="554" t="s">
        <v>1041</v>
      </c>
      <c r="G62" s="432">
        <f>SUM(G25:G59)-G26</f>
        <v>2897.9405148368</v>
      </c>
    </row>
    <row r="63" spans="2:7">
      <c r="F63" s="554" t="s">
        <v>1060</v>
      </c>
      <c r="G63" s="437">
        <f>G62/F60-1</f>
        <v>0.12845474783896482</v>
      </c>
    </row>
    <row r="66" spans="2:14">
      <c r="B66" s="419" t="s">
        <v>928</v>
      </c>
      <c r="C66" s="420"/>
      <c r="D66" s="420"/>
      <c r="E66" s="421"/>
      <c r="G66" s="419" t="s">
        <v>929</v>
      </c>
      <c r="H66" s="420"/>
      <c r="I66" s="421"/>
      <c r="J66" s="26"/>
      <c r="K66" s="26"/>
      <c r="L66" s="26"/>
      <c r="M66" s="26"/>
      <c r="N66" s="26"/>
    </row>
    <row r="67" spans="2:14">
      <c r="B67" s="406"/>
      <c r="C67" s="26"/>
      <c r="D67" s="26"/>
      <c r="E67" s="408"/>
      <c r="G67" s="406" t="s">
        <v>915</v>
      </c>
      <c r="H67" s="26"/>
      <c r="I67" s="408"/>
      <c r="J67" s="26"/>
      <c r="K67" s="26"/>
      <c r="L67" s="26"/>
      <c r="M67" s="26"/>
      <c r="N67" s="26"/>
    </row>
    <row r="68" spans="2:14">
      <c r="B68" s="406"/>
      <c r="C68" s="26"/>
      <c r="D68" s="26"/>
      <c r="E68" s="408"/>
      <c r="G68" s="422" t="s">
        <v>930</v>
      </c>
      <c r="H68" s="423">
        <v>1145.47</v>
      </c>
      <c r="I68" s="424"/>
      <c r="J68" s="26"/>
      <c r="K68" s="26"/>
      <c r="L68" s="26"/>
      <c r="M68" s="26"/>
      <c r="N68" s="26"/>
    </row>
    <row r="69" spans="2:14">
      <c r="B69" s="406"/>
      <c r="C69" s="26"/>
      <c r="D69" s="26"/>
      <c r="E69" s="408"/>
      <c r="G69" s="425" t="s">
        <v>931</v>
      </c>
      <c r="H69" s="426">
        <v>839</v>
      </c>
      <c r="I69" s="424"/>
      <c r="J69" s="26"/>
      <c r="K69" s="26"/>
      <c r="L69" s="26"/>
      <c r="M69" s="26"/>
      <c r="N69" s="26"/>
    </row>
    <row r="70" spans="2:14">
      <c r="B70" s="406"/>
      <c r="C70" s="26"/>
      <c r="D70" s="26"/>
      <c r="E70" s="408"/>
      <c r="G70" s="425" t="s">
        <v>906</v>
      </c>
      <c r="H70" s="402">
        <v>-0.6</v>
      </c>
      <c r="I70" s="424"/>
      <c r="J70" s="26"/>
      <c r="K70" s="26"/>
      <c r="L70" s="26"/>
      <c r="M70" s="26"/>
      <c r="N70" s="26"/>
    </row>
    <row r="71" spans="2:14">
      <c r="B71" s="406"/>
      <c r="C71" s="26"/>
      <c r="D71" s="26"/>
      <c r="E71" s="408"/>
      <c r="G71" s="427"/>
      <c r="H71" s="428"/>
      <c r="I71" s="429"/>
      <c r="J71" s="26"/>
      <c r="K71" s="26"/>
      <c r="L71" s="26"/>
      <c r="M71" s="26"/>
      <c r="N71" s="26"/>
    </row>
    <row r="72" spans="2:14">
      <c r="B72" s="406"/>
      <c r="C72" s="26"/>
      <c r="D72" s="26"/>
      <c r="E72" s="408"/>
      <c r="G72" s="26"/>
      <c r="H72" s="26"/>
      <c r="I72" s="26"/>
      <c r="J72" s="26"/>
      <c r="K72" s="26"/>
      <c r="L72" s="26"/>
      <c r="M72" s="26"/>
      <c r="N72" s="26"/>
    </row>
    <row r="73" spans="2:14">
      <c r="B73" s="406"/>
      <c r="C73" s="26"/>
      <c r="D73" s="26"/>
      <c r="E73" s="408"/>
      <c r="G73" s="26"/>
      <c r="H73" s="26"/>
      <c r="I73" s="26"/>
      <c r="J73" s="26"/>
      <c r="K73" s="26"/>
      <c r="L73" s="26"/>
      <c r="M73" s="26"/>
      <c r="N73" s="26"/>
    </row>
    <row r="74" spans="2:14">
      <c r="B74" s="406"/>
      <c r="C74" s="26"/>
      <c r="D74" s="26"/>
      <c r="E74" s="408"/>
      <c r="G74" s="26"/>
      <c r="H74" s="26"/>
      <c r="I74" s="26"/>
      <c r="J74" s="26"/>
      <c r="K74" s="26"/>
      <c r="L74" s="26"/>
      <c r="M74" s="26"/>
      <c r="N74" s="26"/>
    </row>
    <row r="75" spans="2:14">
      <c r="B75" s="406"/>
      <c r="C75" s="26"/>
      <c r="D75" s="26"/>
      <c r="E75" s="408"/>
      <c r="G75" s="26"/>
      <c r="H75" s="26"/>
      <c r="I75" s="26"/>
      <c r="J75" s="26"/>
      <c r="K75" s="26"/>
      <c r="L75" s="26"/>
      <c r="M75" s="26"/>
      <c r="N75" s="26"/>
    </row>
    <row r="76" spans="2:14">
      <c r="B76" s="406"/>
      <c r="C76" s="26"/>
      <c r="D76" s="26"/>
      <c r="E76" s="408"/>
      <c r="G76" s="26"/>
      <c r="H76" s="26"/>
      <c r="I76" s="26"/>
      <c r="J76" s="26"/>
      <c r="K76" s="26"/>
      <c r="L76" s="26"/>
      <c r="M76" s="26"/>
      <c r="N76" s="26"/>
    </row>
    <row r="77" spans="2:14">
      <c r="B77" s="406"/>
      <c r="C77" s="26"/>
      <c r="D77" s="26"/>
      <c r="E77" s="408"/>
      <c r="G77" s="26"/>
      <c r="H77" s="26"/>
      <c r="I77" s="26"/>
      <c r="J77" s="26"/>
      <c r="K77" s="26"/>
      <c r="L77" s="26"/>
      <c r="M77" s="26"/>
      <c r="N77" s="26"/>
    </row>
    <row r="78" spans="2:14">
      <c r="B78" s="406"/>
      <c r="C78" s="26"/>
      <c r="D78" s="26"/>
      <c r="E78" s="408"/>
      <c r="G78" s="26"/>
      <c r="H78" s="26"/>
      <c r="I78" s="26"/>
      <c r="J78" s="26"/>
      <c r="K78" s="26"/>
      <c r="L78" s="26"/>
      <c r="M78" s="26"/>
      <c r="N78" s="26"/>
    </row>
    <row r="79" spans="2:14">
      <c r="B79" s="406"/>
      <c r="C79" s="26"/>
      <c r="D79" s="26"/>
      <c r="E79" s="408"/>
      <c r="G79" s="26"/>
      <c r="H79" s="26"/>
      <c r="I79" s="26"/>
      <c r="J79" s="26"/>
      <c r="K79" s="26"/>
      <c r="L79" s="26"/>
      <c r="M79" s="26"/>
      <c r="N79" s="26"/>
    </row>
    <row r="80" spans="2:14">
      <c r="B80" s="406"/>
      <c r="C80" s="26"/>
      <c r="D80" s="26"/>
      <c r="E80" s="408"/>
      <c r="G80" s="26"/>
      <c r="H80" s="26"/>
      <c r="I80" s="26"/>
      <c r="J80" s="26"/>
      <c r="K80" s="26"/>
      <c r="L80" s="26"/>
      <c r="M80" s="26"/>
      <c r="N80" s="26"/>
    </row>
    <row r="81" spans="2:14">
      <c r="B81" s="406"/>
      <c r="C81" s="26"/>
      <c r="D81" s="26"/>
      <c r="E81" s="408"/>
      <c r="G81" s="26"/>
      <c r="H81" s="26"/>
      <c r="I81" s="26"/>
      <c r="J81" s="26"/>
      <c r="K81" s="26"/>
      <c r="L81" s="26"/>
      <c r="M81" s="26"/>
      <c r="N81" s="26"/>
    </row>
    <row r="82" spans="2:14">
      <c r="B82" s="406"/>
      <c r="C82" s="26"/>
      <c r="D82" s="26"/>
      <c r="E82" s="408"/>
    </row>
    <row r="83" spans="2:14">
      <c r="B83" s="406"/>
      <c r="C83" s="26"/>
      <c r="D83" s="26"/>
      <c r="E83" s="408"/>
    </row>
    <row r="84" spans="2:14">
      <c r="B84" s="406"/>
      <c r="C84" s="26"/>
      <c r="D84" s="26"/>
      <c r="E84" s="408"/>
    </row>
    <row r="85" spans="2:14">
      <c r="B85" s="406"/>
      <c r="C85" s="26"/>
      <c r="D85" s="26"/>
      <c r="E85" s="408"/>
    </row>
    <row r="86" spans="2:14">
      <c r="B86" s="406"/>
      <c r="C86" s="26"/>
      <c r="D86" s="26"/>
      <c r="E86" s="408"/>
    </row>
    <row r="87" spans="2:14">
      <c r="B87" s="406"/>
      <c r="C87" s="26"/>
      <c r="D87" s="26"/>
      <c r="E87" s="408"/>
    </row>
    <row r="88" spans="2:14">
      <c r="B88" s="406"/>
      <c r="C88" s="26"/>
      <c r="D88" s="26"/>
      <c r="E88" s="408"/>
    </row>
    <row r="89" spans="2:14">
      <c r="B89" s="406"/>
      <c r="C89" s="26"/>
      <c r="D89" s="26"/>
      <c r="E89" s="408"/>
    </row>
    <row r="90" spans="2:14">
      <c r="B90" s="406"/>
      <c r="C90" s="26"/>
      <c r="D90" s="26"/>
      <c r="E90" s="408"/>
    </row>
    <row r="91" spans="2:14">
      <c r="B91" s="406"/>
      <c r="C91" s="26"/>
      <c r="D91" s="26"/>
      <c r="E91" s="408"/>
    </row>
    <row r="92" spans="2:14">
      <c r="B92" s="406"/>
      <c r="C92" s="26"/>
      <c r="D92" s="26"/>
      <c r="E92" s="408"/>
    </row>
    <row r="93" spans="2:14">
      <c r="B93" s="406"/>
      <c r="C93" s="26"/>
      <c r="D93" s="26"/>
      <c r="E93" s="408"/>
    </row>
    <row r="94" spans="2:14">
      <c r="B94" s="406"/>
      <c r="C94" s="26"/>
      <c r="D94" s="26"/>
      <c r="E94" s="408"/>
    </row>
    <row r="95" spans="2:14">
      <c r="B95" s="406"/>
      <c r="C95" s="26"/>
      <c r="D95" s="26"/>
      <c r="E95" s="408"/>
    </row>
    <row r="96" spans="2:14">
      <c r="B96" s="406"/>
      <c r="C96" s="26"/>
      <c r="D96" s="26"/>
      <c r="E96" s="408"/>
    </row>
    <row r="97" spans="2:5">
      <c r="B97" s="406"/>
      <c r="C97" s="26"/>
      <c r="D97" s="26"/>
      <c r="E97" s="408"/>
    </row>
    <row r="98" spans="2:5">
      <c r="B98" s="406"/>
      <c r="C98" s="26"/>
      <c r="D98" s="26"/>
      <c r="E98" s="408"/>
    </row>
    <row r="99" spans="2:5">
      <c r="B99" s="406"/>
      <c r="C99" s="26"/>
      <c r="D99" s="26"/>
      <c r="E99" s="408"/>
    </row>
    <row r="100" spans="2:5">
      <c r="B100" s="406"/>
      <c r="C100" s="26"/>
      <c r="D100" s="26"/>
      <c r="E100" s="408"/>
    </row>
    <row r="101" spans="2:5">
      <c r="B101" s="406"/>
      <c r="C101" s="26"/>
      <c r="D101" s="26"/>
      <c r="E101" s="408"/>
    </row>
    <row r="102" spans="2:5">
      <c r="B102" s="406"/>
      <c r="C102" s="26"/>
      <c r="D102" s="26"/>
      <c r="E102" s="408"/>
    </row>
    <row r="103" spans="2:5">
      <c r="B103" s="406"/>
      <c r="C103" s="26"/>
      <c r="D103" s="26"/>
      <c r="E103" s="408"/>
    </row>
    <row r="104" spans="2:5">
      <c r="B104" s="406"/>
      <c r="C104" s="26"/>
      <c r="D104" s="26"/>
      <c r="E104" s="408"/>
    </row>
    <row r="105" spans="2:5">
      <c r="B105" s="406"/>
      <c r="C105" s="26"/>
      <c r="D105" s="26"/>
      <c r="E105" s="408"/>
    </row>
    <row r="106" spans="2:5">
      <c r="B106" s="406"/>
      <c r="C106" s="26"/>
      <c r="D106" s="26"/>
      <c r="E106" s="408"/>
    </row>
    <row r="107" spans="2:5">
      <c r="B107" s="406"/>
      <c r="C107" s="26"/>
      <c r="D107" s="26"/>
      <c r="E107" s="408"/>
    </row>
    <row r="108" spans="2:5">
      <c r="B108" s="406"/>
      <c r="C108" s="26"/>
      <c r="D108" s="26"/>
      <c r="E108" s="408"/>
    </row>
    <row r="109" spans="2:5">
      <c r="B109" s="413" t="s">
        <v>916</v>
      </c>
      <c r="C109" s="428"/>
      <c r="D109" s="428"/>
      <c r="E109" s="429"/>
    </row>
  </sheetData>
  <mergeCells count="3">
    <mergeCell ref="B20:C20"/>
    <mergeCell ref="B21:C21"/>
    <mergeCell ref="B22:C22"/>
  </mergeCells>
  <phoneticPr fontId="7" type="noConversion"/>
  <pageMargins left="0.7" right="0.7" top="0.75" bottom="0.75" header="0.3" footer="0.3"/>
  <drawing r:id="rId1"/>
  <legacy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FF00"/>
  </sheetPr>
  <dimension ref="A1:S64"/>
  <sheetViews>
    <sheetView showGridLines="0" zoomScale="85" zoomScaleNormal="85" workbookViewId="0">
      <pane ySplit="5" topLeftCell="A33" activePane="bottomLeft" state="frozen"/>
      <selection pane="bottomLeft" activeCell="H44" sqref="H44"/>
    </sheetView>
  </sheetViews>
  <sheetFormatPr defaultRowHeight="13.5"/>
  <cols>
    <col min="1" max="1" width="4.125" customWidth="1"/>
    <col min="2" max="2" width="1" customWidth="1"/>
    <col min="3" max="3" width="34.5" style="4" customWidth="1"/>
    <col min="4" max="12" width="13.5" customWidth="1"/>
    <col min="13" max="13" width="12.875" customWidth="1"/>
    <col min="14" max="14" width="1" customWidth="1"/>
  </cols>
  <sheetData>
    <row r="1" spans="2:19" s="25" customFormat="1" ht="12" customHeight="1">
      <c r="C1" s="88"/>
    </row>
    <row r="2" spans="2:19" s="19" customFormat="1" ht="12" customHeight="1">
      <c r="C2" s="46"/>
      <c r="F2" s="47"/>
      <c r="K2" s="48"/>
      <c r="L2" s="48"/>
      <c r="M2" s="48"/>
    </row>
    <row r="3" spans="2:19" s="19" customFormat="1" ht="12" customHeight="1">
      <c r="C3" s="49"/>
      <c r="D3" s="50"/>
      <c r="E3" s="50"/>
      <c r="F3" s="50"/>
      <c r="G3" s="51"/>
      <c r="H3" s="51"/>
      <c r="I3" s="51"/>
      <c r="J3" s="51"/>
      <c r="K3" s="45"/>
      <c r="L3" s="45"/>
      <c r="M3" s="45"/>
      <c r="N3" s="51"/>
      <c r="O3" s="51"/>
      <c r="P3" s="51"/>
      <c r="Q3" s="51"/>
      <c r="R3" s="51"/>
      <c r="S3" s="51"/>
    </row>
    <row r="4" spans="2:19" s="11" customFormat="1" ht="23.1" customHeight="1">
      <c r="C4" s="12"/>
      <c r="D4" s="13"/>
      <c r="E4" s="13"/>
      <c r="F4" s="13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2:19" s="11" customFormat="1" ht="6" customHeight="1">
      <c r="B5" s="19"/>
      <c r="C5" s="49"/>
      <c r="D5" s="50"/>
      <c r="E5" s="50"/>
      <c r="F5" s="50"/>
      <c r="G5" s="51"/>
      <c r="H5" s="51"/>
      <c r="I5" s="51"/>
      <c r="J5" s="51"/>
      <c r="K5" s="51"/>
      <c r="L5" s="51"/>
      <c r="M5" s="51"/>
      <c r="N5" s="51"/>
      <c r="O5" s="14"/>
      <c r="P5" s="14"/>
      <c r="Q5" s="14"/>
      <c r="R5" s="14"/>
      <c r="S5" s="14"/>
    </row>
    <row r="6" spans="2:19" s="113" customFormat="1" ht="24.95" customHeight="1">
      <c r="B6" s="109"/>
      <c r="C6" s="161" t="s">
        <v>807</v>
      </c>
      <c r="D6" s="163">
        <v>2017</v>
      </c>
      <c r="E6" s="163">
        <v>2018</v>
      </c>
      <c r="F6" s="163">
        <v>2019</v>
      </c>
      <c r="G6" s="163">
        <v>2020</v>
      </c>
      <c r="H6" s="163">
        <v>2021</v>
      </c>
      <c r="I6" s="163">
        <v>2022</v>
      </c>
      <c r="J6" s="163">
        <v>2023</v>
      </c>
      <c r="K6" s="241"/>
      <c r="L6" s="241"/>
      <c r="M6" s="241"/>
      <c r="N6" s="109"/>
    </row>
    <row r="7" spans="2:19" s="113" customFormat="1" ht="24.95" customHeight="1">
      <c r="B7" s="109"/>
      <c r="C7" s="116" t="s">
        <v>1006</v>
      </c>
      <c r="D7" s="118">
        <f>IS!H37-IS!H21*0.74-IS!H31</f>
        <v>56746.400000000001</v>
      </c>
      <c r="E7" s="118">
        <f>IS!I37-IS!I21*0.8-IS!I31</f>
        <v>69897.380999999994</v>
      </c>
      <c r="F7" s="118">
        <f ca="1">IS!J37-IS!J21*0.8-IS!J31</f>
        <v>64833.562049149747</v>
      </c>
      <c r="G7" s="118">
        <f ca="1">IS!K37-IS!K21*0.8-IS!K31</f>
        <v>77733.738136637636</v>
      </c>
      <c r="H7" s="118">
        <f ca="1">IS!L37-IS!L21*0.8-IS!L31</f>
        <v>93319.907036882432</v>
      </c>
      <c r="I7" s="118">
        <f ca="1">IS!M37-IS!M21*0.8-IS!M31</f>
        <v>111926.75455274789</v>
      </c>
      <c r="J7" s="118">
        <f ca="1">IS!N37-IS!N21*0.8-IS!N31</f>
        <v>130861.49949111533</v>
      </c>
      <c r="K7" s="231"/>
      <c r="L7" s="231"/>
      <c r="M7" s="231"/>
      <c r="N7" s="109"/>
    </row>
    <row r="8" spans="2:19" s="113" customFormat="1" ht="24.95" customHeight="1">
      <c r="B8" s="109"/>
      <c r="C8" s="116" t="s">
        <v>50</v>
      </c>
      <c r="D8" s="118">
        <f>-IS!H35</f>
        <v>15744</v>
      </c>
      <c r="E8" s="118">
        <f>-IS!I35</f>
        <v>14482</v>
      </c>
      <c r="F8" s="118">
        <f ca="1">-IS!J35</f>
        <v>14373.472151202099</v>
      </c>
      <c r="G8" s="118">
        <f ca="1">-IS!K35</f>
        <v>16957.428901845189</v>
      </c>
      <c r="H8" s="118">
        <f ca="1">-IS!L35</f>
        <v>20053.217205477209</v>
      </c>
      <c r="I8" s="118">
        <f ca="1">-IS!M35</f>
        <v>23729.456769943881</v>
      </c>
      <c r="J8" s="118">
        <f ca="1">-IS!N35</f>
        <v>27896.345906237195</v>
      </c>
      <c r="K8" s="231"/>
      <c r="L8" s="231"/>
      <c r="M8" s="231"/>
      <c r="N8" s="109"/>
    </row>
    <row r="9" spans="2:19" s="113" customFormat="1" ht="24.95" customHeight="1">
      <c r="B9" s="109"/>
      <c r="C9" s="116" t="s">
        <v>51</v>
      </c>
      <c r="D9" s="118">
        <f>-(IS!H30)</f>
        <v>2908</v>
      </c>
      <c r="E9" s="118">
        <f>CS!J118</f>
        <v>0</v>
      </c>
      <c r="F9" s="118">
        <f ca="1">CS!K118</f>
        <v>422.92176731011841</v>
      </c>
      <c r="G9" s="118">
        <f ca="1">CS!L118</f>
        <v>-215.18092836000596</v>
      </c>
      <c r="H9" s="118">
        <f ca="1">CS!M118</f>
        <v>-230.96069289761544</v>
      </c>
      <c r="I9" s="118">
        <f ca="1">CS!N118</f>
        <v>47.415123502622009</v>
      </c>
      <c r="J9" s="118">
        <f ca="1">CS!O118</f>
        <v>774.25929377631837</v>
      </c>
      <c r="K9" s="231"/>
      <c r="L9" s="231"/>
      <c r="M9" s="231"/>
      <c r="N9" s="109"/>
    </row>
    <row r="10" spans="2:19" s="113" customFormat="1" ht="24.95" customHeight="1">
      <c r="B10" s="109"/>
      <c r="C10" s="116" t="s">
        <v>112</v>
      </c>
      <c r="D10" s="118">
        <f>SUM(D7:D9)</f>
        <v>75398.399999999994</v>
      </c>
      <c r="E10" s="118">
        <f>SUM(E7:E9)</f>
        <v>84379.380999999994</v>
      </c>
      <c r="F10" s="118">
        <f ca="1">SUM(F7:F9)</f>
        <v>79629.955967661968</v>
      </c>
      <c r="G10" s="118">
        <f t="shared" ref="G10:I10" ca="1" si="0">SUM(G7:G9)</f>
        <v>94475.986110122816</v>
      </c>
      <c r="H10" s="118">
        <f t="shared" ca="1" si="0"/>
        <v>113142.16354946203</v>
      </c>
      <c r="I10" s="118">
        <f t="shared" ca="1" si="0"/>
        <v>135703.62644619442</v>
      </c>
      <c r="J10" s="118">
        <f t="shared" ref="J10" ca="1" si="1">SUM(J7:J9)</f>
        <v>159532.10469112886</v>
      </c>
      <c r="K10" s="231"/>
      <c r="L10" s="231"/>
      <c r="M10" s="231"/>
      <c r="N10" s="109"/>
    </row>
    <row r="11" spans="2:19" s="113" customFormat="1" ht="24.95" customHeight="1">
      <c r="B11" s="109"/>
      <c r="C11" s="116" t="s">
        <v>58</v>
      </c>
      <c r="D11" s="117"/>
      <c r="E11" s="119">
        <f t="shared" ref="E11:J11" si="2">E10/D10-1</f>
        <v>0.1191136814574314</v>
      </c>
      <c r="F11" s="119">
        <f t="shared" ca="1" si="2"/>
        <v>-5.6286559299813188E-2</v>
      </c>
      <c r="G11" s="119">
        <f t="shared" ca="1" si="2"/>
        <v>0.18643775400918061</v>
      </c>
      <c r="H11" s="119">
        <f t="shared" ca="1" si="2"/>
        <v>0.19757589423392319</v>
      </c>
      <c r="I11" s="119">
        <f t="shared" ca="1" si="2"/>
        <v>0.19940809145716276</v>
      </c>
      <c r="J11" s="119">
        <f t="shared" ca="1" si="2"/>
        <v>0.17559205209878659</v>
      </c>
      <c r="K11" s="231"/>
      <c r="L11" s="231"/>
      <c r="M11" s="231"/>
      <c r="N11" s="109"/>
    </row>
    <row r="12" spans="2:19" s="113" customFormat="1" ht="24.95" customHeight="1">
      <c r="B12" s="109"/>
      <c r="C12" s="116" t="s">
        <v>52</v>
      </c>
      <c r="D12" s="118">
        <f>-D10*IS!H35/IS!H33</f>
        <v>13456.582322734228</v>
      </c>
      <c r="E12" s="118">
        <f>-E10*IS!I35/IS!I33</f>
        <v>12313.703975130149</v>
      </c>
      <c r="F12" s="118">
        <f ca="1">-F10*IS!J35/IS!J33</f>
        <v>13234.216595051599</v>
      </c>
      <c r="G12" s="118">
        <f ca="1">-G10*IS!K35/IS!K33</f>
        <v>15645.130816090164</v>
      </c>
      <c r="H12" s="118">
        <f ca="1">-H10*IS!L35/IS!L33</f>
        <v>18669.195929615544</v>
      </c>
      <c r="I12" s="118">
        <f ca="1">-I10*IS!M35/IS!M33</f>
        <v>22319.913736618764</v>
      </c>
      <c r="J12" s="118">
        <f ca="1">-J10*IS!N35/IS!N33</f>
        <v>26513.669175910385</v>
      </c>
      <c r="K12" s="231"/>
      <c r="L12" s="231"/>
      <c r="M12" s="231"/>
      <c r="N12" s="109"/>
    </row>
    <row r="13" spans="2:19" s="113" customFormat="1" ht="24.95" customHeight="1">
      <c r="B13" s="109"/>
      <c r="C13" s="116" t="s">
        <v>53</v>
      </c>
      <c r="D13" s="118">
        <f>D10-D12</f>
        <v>61941.817677265768</v>
      </c>
      <c r="E13" s="118">
        <f>E10-E12</f>
        <v>72065.677024869845</v>
      </c>
      <c r="F13" s="118">
        <f t="shared" ref="F13:I13" ca="1" si="3">F10-F12</f>
        <v>66395.739372610376</v>
      </c>
      <c r="G13" s="118">
        <f t="shared" ca="1" si="3"/>
        <v>78830.855294032648</v>
      </c>
      <c r="H13" s="118">
        <f t="shared" ca="1" si="3"/>
        <v>94472.967619846488</v>
      </c>
      <c r="I13" s="118">
        <f t="shared" ca="1" si="3"/>
        <v>113383.71270957566</v>
      </c>
      <c r="J13" s="118">
        <f t="shared" ref="J13" ca="1" si="4">J10-J12</f>
        <v>133018.43551521847</v>
      </c>
      <c r="K13" s="231"/>
      <c r="L13" s="231"/>
      <c r="M13" s="231"/>
      <c r="N13" s="109"/>
    </row>
    <row r="14" spans="2:19" s="113" customFormat="1" ht="24.95" customHeight="1">
      <c r="B14" s="109"/>
      <c r="C14" s="116" t="s">
        <v>54</v>
      </c>
      <c r="D14" s="118">
        <f>资本开支假设!F62</f>
        <v>4850</v>
      </c>
      <c r="E14" s="118">
        <f>资本开支假设!G62</f>
        <v>8131.2849179845216</v>
      </c>
      <c r="F14" s="118">
        <f ca="1">资本开支假设!H62</f>
        <v>11418.89030203268</v>
      </c>
      <c r="G14" s="118">
        <f ca="1">资本开支假设!I62</f>
        <v>15105.424865744064</v>
      </c>
      <c r="H14" s="118">
        <f ca="1">资本开支假设!J62</f>
        <v>19202.845519474875</v>
      </c>
      <c r="I14" s="118">
        <f ca="1">资本开支假设!K62</f>
        <v>23722.800477797617</v>
      </c>
      <c r="J14" s="118">
        <f ca="1">资本开支假设!L62</f>
        <v>28738.272469396466</v>
      </c>
      <c r="K14" s="231"/>
      <c r="L14" s="231"/>
      <c r="M14" s="231"/>
      <c r="N14" s="109"/>
    </row>
    <row r="15" spans="2:19" s="113" customFormat="1" ht="24.95" customHeight="1">
      <c r="B15" s="109"/>
      <c r="C15" s="116" t="s">
        <v>55</v>
      </c>
      <c r="D15" s="118">
        <f>资本开支假设!F63+资本开支假设!F64</f>
        <v>18731</v>
      </c>
      <c r="E15" s="118">
        <f>资本开支假设!G63+资本开支假设!G64</f>
        <v>24136.786169681738</v>
      </c>
      <c r="F15" s="118">
        <f ca="1">资本开支假设!H63+资本开支假设!H64</f>
        <v>25697.041460671258</v>
      </c>
      <c r="G15" s="118">
        <f ca="1">资本开支假设!I63+资本开支假设!I64</f>
        <v>31885.626041073865</v>
      </c>
      <c r="H15" s="118">
        <f ca="1">资本开支假设!J63+资本开支假设!J64</f>
        <v>37689.923432446456</v>
      </c>
      <c r="I15" s="118">
        <f ca="1">资本开支假设!K63+资本开支假设!K64</f>
        <v>43610.87461780553</v>
      </c>
      <c r="J15" s="118">
        <f ca="1">资本开支假设!L63+资本开支假设!L64</f>
        <v>49959.903600022742</v>
      </c>
      <c r="K15" s="231"/>
      <c r="L15" s="231"/>
      <c r="M15" s="231"/>
      <c r="N15" s="109"/>
    </row>
    <row r="16" spans="2:19" s="113" customFormat="1" ht="24.95" customHeight="1">
      <c r="B16" s="109"/>
      <c r="C16" s="116" t="s">
        <v>56</v>
      </c>
      <c r="D16" s="118">
        <f>BS!G66-BS!F66</f>
        <v>-37704</v>
      </c>
      <c r="E16" s="118">
        <f>BS!H66-BS!G66</f>
        <v>-25067</v>
      </c>
      <c r="F16" s="118">
        <f ca="1">BS!I66-BS!H66</f>
        <v>-31861.411380311329</v>
      </c>
      <c r="G16" s="118">
        <f ca="1">BS!J66-BS!I66</f>
        <v>-34143.001073360821</v>
      </c>
      <c r="H16" s="118">
        <f ca="1">BS!K66-BS!J66</f>
        <v>-35316.806173820456</v>
      </c>
      <c r="I16" s="118">
        <f ca="1">BS!L66-BS!K66</f>
        <v>-39198.313871029241</v>
      </c>
      <c r="J16" s="118">
        <f ca="1">BS!M66-BS!L66</f>
        <v>-44203.370551076834</v>
      </c>
      <c r="K16" s="231"/>
      <c r="L16" s="231"/>
      <c r="M16" s="231"/>
      <c r="N16" s="109"/>
    </row>
    <row r="17" spans="2:14" s="113" customFormat="1" ht="24.95" customHeight="1">
      <c r="B17" s="109"/>
      <c r="C17" s="116" t="s">
        <v>57</v>
      </c>
      <c r="D17" s="118">
        <f>资本开支假设!F10</f>
        <v>37014</v>
      </c>
      <c r="E17" s="118">
        <f>资本开支假设!G10</f>
        <v>48205.807323351284</v>
      </c>
      <c r="F17" s="118">
        <f ca="1">资本开支假设!H10</f>
        <v>58462.111871629328</v>
      </c>
      <c r="G17" s="118">
        <f ca="1">资本开支假设!I10</f>
        <v>69799.229592925549</v>
      </c>
      <c r="H17" s="118">
        <f ca="1">资本开支假设!J10</f>
        <v>81526.633913007739</v>
      </c>
      <c r="I17" s="118">
        <f ca="1">资本开支假设!K10</f>
        <v>94452.383995799333</v>
      </c>
      <c r="J17" s="118">
        <f ca="1">资本开支假设!L10</f>
        <v>108794.55531738617</v>
      </c>
      <c r="K17" s="231"/>
      <c r="L17" s="231"/>
      <c r="M17" s="231"/>
      <c r="N17" s="109"/>
    </row>
    <row r="18" spans="2:14" s="113" customFormat="1" ht="24.95" customHeight="1">
      <c r="B18" s="109"/>
      <c r="C18" s="116" t="s">
        <v>59</v>
      </c>
      <c r="D18" s="118">
        <f t="shared" ref="D18:H18" si="5">D13+D14+D15-D16-D17</f>
        <v>86212.817677265761</v>
      </c>
      <c r="E18" s="118">
        <f t="shared" si="5"/>
        <v>81194.940789184824</v>
      </c>
      <c r="F18" s="118">
        <f t="shared" ca="1" si="5"/>
        <v>76910.970643996305</v>
      </c>
      <c r="G18" s="118">
        <f t="shared" ca="1" si="5"/>
        <v>90165.677681285859</v>
      </c>
      <c r="H18" s="118">
        <f t="shared" ca="1" si="5"/>
        <v>105155.90883258055</v>
      </c>
      <c r="I18" s="118">
        <f ca="1">I13+I14+I15-I16-I17</f>
        <v>125463.31768040873</v>
      </c>
      <c r="J18" s="118">
        <f ca="1">J13+J14+J15-J16-J17</f>
        <v>147125.42681832836</v>
      </c>
      <c r="K18" s="230"/>
      <c r="L18" s="230"/>
      <c r="M18" s="230"/>
      <c r="N18" s="109"/>
    </row>
    <row r="19" spans="2:14" s="113" customFormat="1" ht="24.95" customHeight="1">
      <c r="B19" s="109"/>
      <c r="C19" s="116" t="s">
        <v>58</v>
      </c>
      <c r="D19" s="117"/>
      <c r="E19" s="119">
        <f>E18/D18-1</f>
        <v>-5.8203374199706115E-2</v>
      </c>
      <c r="F19" s="119">
        <f ca="1">F18/E18-1</f>
        <v>-5.2761540356454639E-2</v>
      </c>
      <c r="G19" s="119">
        <f t="shared" ref="G19:J19" ca="1" si="6">G18/F18-1</f>
        <v>0.17233831436925473</v>
      </c>
      <c r="H19" s="119">
        <f t="shared" ca="1" si="6"/>
        <v>0.1662520765859663</v>
      </c>
      <c r="I19" s="119">
        <f t="shared" ca="1" si="6"/>
        <v>0.19311714456445572</v>
      </c>
      <c r="J19" s="119">
        <f t="shared" ca="1" si="6"/>
        <v>0.17265691309948683</v>
      </c>
      <c r="K19" s="232"/>
      <c r="L19" s="232"/>
      <c r="M19" s="232"/>
      <c r="N19" s="109"/>
    </row>
    <row r="20" spans="2:14" s="233" customFormat="1" ht="24.95" customHeight="1">
      <c r="B20" s="234"/>
      <c r="C20" s="235"/>
      <c r="D20" s="235"/>
      <c r="E20" s="236"/>
      <c r="F20" s="236"/>
      <c r="G20" s="236"/>
      <c r="H20" s="236"/>
      <c r="I20" s="236"/>
      <c r="J20" s="235"/>
      <c r="K20" s="235"/>
      <c r="L20" s="235"/>
      <c r="M20" s="235"/>
      <c r="N20" s="234"/>
    </row>
    <row r="21" spans="2:14" s="233" customFormat="1" ht="24.95" customHeight="1">
      <c r="B21" s="234"/>
      <c r="C21" s="237" t="s">
        <v>808</v>
      </c>
      <c r="D21" s="238" t="s">
        <v>1087</v>
      </c>
      <c r="E21" s="238" t="s">
        <v>206</v>
      </c>
      <c r="F21" s="238" t="s">
        <v>207</v>
      </c>
      <c r="G21" s="238" t="s">
        <v>208</v>
      </c>
      <c r="H21" s="238" t="s">
        <v>209</v>
      </c>
      <c r="I21" s="238" t="s">
        <v>210</v>
      </c>
      <c r="J21" s="238" t="s">
        <v>211</v>
      </c>
      <c r="K21" s="238" t="s">
        <v>1088</v>
      </c>
      <c r="L21" s="235"/>
      <c r="M21" s="235"/>
      <c r="N21" s="234"/>
    </row>
    <row r="22" spans="2:14" s="233" customFormat="1" ht="24.95" customHeight="1">
      <c r="B22" s="234"/>
      <c r="C22" s="239" t="s">
        <v>212</v>
      </c>
      <c r="D22" s="240">
        <f ca="1">J18*(1+14%)</f>
        <v>167722.98657289436</v>
      </c>
      <c r="E22" s="240">
        <f ca="1">D22*(1+12%)</f>
        <v>187849.7449616417</v>
      </c>
      <c r="F22" s="240">
        <f ca="1">E22*(1+10%)</f>
        <v>206634.71945780588</v>
      </c>
      <c r="G22" s="240">
        <f ca="1">F22*(1+10%)</f>
        <v>227298.1914035865</v>
      </c>
      <c r="H22" s="240">
        <f ca="1">G22*(1+10%)</f>
        <v>250028.01054394519</v>
      </c>
      <c r="I22" s="240">
        <f ca="1">H22*(1+8%)</f>
        <v>270030.2513874608</v>
      </c>
      <c r="J22" s="240">
        <f ca="1">I22*(1+8%)</f>
        <v>291632.67149845767</v>
      </c>
      <c r="K22" s="240">
        <f ca="1">J22*(1+5%)</f>
        <v>306214.30507338059</v>
      </c>
      <c r="L22" s="235"/>
      <c r="M22" s="235"/>
      <c r="N22" s="234"/>
    </row>
    <row r="23" spans="2:14" s="113" customFormat="1" ht="24.95" customHeight="1">
      <c r="B23" s="109"/>
      <c r="C23" s="114"/>
      <c r="N23" s="109"/>
    </row>
    <row r="24" spans="2:14" s="113" customFormat="1" ht="24.95" customHeight="1">
      <c r="B24" s="109"/>
      <c r="C24" s="713" t="s">
        <v>92</v>
      </c>
      <c r="D24" s="714"/>
      <c r="E24" s="714"/>
      <c r="F24" s="714"/>
      <c r="G24" s="715"/>
      <c r="N24" s="109"/>
    </row>
    <row r="25" spans="2:14" s="113" customFormat="1" ht="24.95" customHeight="1">
      <c r="B25" s="109"/>
      <c r="C25" s="116" t="s">
        <v>60</v>
      </c>
      <c r="D25" s="120">
        <f>D28*(1-D32)+D27*D32</f>
        <v>9.7824999999999995E-2</v>
      </c>
      <c r="E25" s="121"/>
      <c r="F25" s="117" t="s">
        <v>150</v>
      </c>
      <c r="G25" s="117" t="s">
        <v>136</v>
      </c>
      <c r="K25" s="115"/>
      <c r="L25" s="115"/>
      <c r="M25" s="115"/>
      <c r="N25" s="109"/>
    </row>
    <row r="26" spans="2:14" s="113" customFormat="1" ht="24.95" customHeight="1">
      <c r="B26" s="109"/>
      <c r="C26" s="116" t="s">
        <v>61</v>
      </c>
      <c r="D26" s="122">
        <v>2.5000000000000001E-2</v>
      </c>
      <c r="E26" s="121"/>
      <c r="F26" s="123">
        <v>43646</v>
      </c>
      <c r="G26" s="124">
        <f ca="1">TODAY()</f>
        <v>43817</v>
      </c>
      <c r="N26" s="109"/>
    </row>
    <row r="27" spans="2:14" s="113" customFormat="1" ht="24.95" customHeight="1">
      <c r="B27" s="109"/>
      <c r="C27" s="116" t="s">
        <v>62</v>
      </c>
      <c r="D27" s="125">
        <f>5%*(1-25%)</f>
        <v>3.7500000000000006E-2</v>
      </c>
      <c r="E27" s="119"/>
      <c r="F27" s="117"/>
      <c r="G27" s="117"/>
      <c r="N27" s="109"/>
    </row>
    <row r="28" spans="2:14" s="113" customFormat="1" ht="24.95" customHeight="1">
      <c r="B28" s="109"/>
      <c r="C28" s="116" t="s">
        <v>63</v>
      </c>
      <c r="D28" s="126">
        <f>D29+D31*D30</f>
        <v>0.10099999999999999</v>
      </c>
      <c r="E28" s="127"/>
      <c r="F28" s="117" t="s">
        <v>135</v>
      </c>
      <c r="G28" s="117"/>
      <c r="N28" s="109"/>
    </row>
    <row r="29" spans="2:14" s="113" customFormat="1" ht="24.95" customHeight="1">
      <c r="B29" s="109"/>
      <c r="C29" s="116" t="s">
        <v>64</v>
      </c>
      <c r="D29" s="122">
        <v>2.5999999999999999E-2</v>
      </c>
      <c r="E29" s="121"/>
      <c r="F29" s="128">
        <v>0.85</v>
      </c>
      <c r="G29" s="129" t="s">
        <v>237</v>
      </c>
      <c r="N29" s="109"/>
    </row>
    <row r="30" spans="2:14" s="113" customFormat="1" ht="24.95" customHeight="1">
      <c r="B30" s="109"/>
      <c r="C30" s="116" t="s">
        <v>65</v>
      </c>
      <c r="D30" s="122">
        <v>0.06</v>
      </c>
      <c r="E30" s="121"/>
      <c r="F30" s="117" t="s">
        <v>15</v>
      </c>
      <c r="G30" s="117"/>
      <c r="N30" s="109"/>
    </row>
    <row r="31" spans="2:14" s="113" customFormat="1" ht="24.95" customHeight="1">
      <c r="B31" s="109"/>
      <c r="C31" s="116" t="s">
        <v>66</v>
      </c>
      <c r="D31" s="251">
        <v>1.25</v>
      </c>
      <c r="E31" s="130"/>
      <c r="F31" s="117" t="s">
        <v>133</v>
      </c>
      <c r="G31" s="117"/>
      <c r="H31" s="216"/>
      <c r="I31" s="216"/>
      <c r="J31" s="216"/>
      <c r="N31" s="109"/>
    </row>
    <row r="32" spans="2:14" s="113" customFormat="1" ht="24.95" customHeight="1">
      <c r="B32" s="109"/>
      <c r="C32" s="116" t="s">
        <v>67</v>
      </c>
      <c r="D32" s="122">
        <v>0.05</v>
      </c>
      <c r="E32" s="121"/>
      <c r="F32" s="215" t="s">
        <v>259</v>
      </c>
      <c r="G32" s="117"/>
      <c r="N32" s="109"/>
    </row>
    <row r="33" spans="2:14" s="233" customFormat="1" ht="24.95" customHeight="1">
      <c r="B33" s="234"/>
      <c r="C33" s="235"/>
      <c r="D33" s="242"/>
      <c r="E33" s="242"/>
      <c r="N33" s="234"/>
    </row>
    <row r="34" spans="2:14" s="233" customFormat="1" ht="24.95" customHeight="1">
      <c r="B34" s="234"/>
      <c r="C34" s="716" t="s">
        <v>93</v>
      </c>
      <c r="D34" s="717"/>
      <c r="E34" s="717"/>
      <c r="F34" s="717"/>
      <c r="G34" s="717"/>
      <c r="H34" s="717"/>
      <c r="I34" s="718"/>
      <c r="N34" s="234"/>
    </row>
    <row r="35" spans="2:14" s="233" customFormat="1" ht="24.95" customHeight="1">
      <c r="B35" s="234"/>
      <c r="C35" s="239" t="s">
        <v>213</v>
      </c>
      <c r="D35" s="239"/>
      <c r="E35" s="243">
        <f>1/(1+$D$25)^(LEFT(F6,4)-LEFT($F$6,4))</f>
        <v>1</v>
      </c>
      <c r="F35" s="243">
        <f t="shared" ref="F35:I35" si="7">1/(1+$D$25)^(LEFT(G6,4)-LEFT($F$6,4))</f>
        <v>0.91089199098216922</v>
      </c>
      <c r="G35" s="243">
        <f t="shared" si="7"/>
        <v>0.82972421923546036</v>
      </c>
      <c r="H35" s="243">
        <f t="shared" si="7"/>
        <v>0.75578914602551428</v>
      </c>
      <c r="I35" s="243">
        <f t="shared" si="7"/>
        <v>0.68844227998589425</v>
      </c>
      <c r="N35" s="234"/>
    </row>
    <row r="36" spans="2:14" s="233" customFormat="1" ht="24.95" customHeight="1">
      <c r="B36" s="234"/>
      <c r="C36" s="239" t="s">
        <v>1090</v>
      </c>
      <c r="D36" s="239"/>
      <c r="E36" s="240">
        <f ca="1">F18*E35</f>
        <v>76910.970643996305</v>
      </c>
      <c r="F36" s="240">
        <f t="shared" ref="F36:I36" ca="1" si="8">G18*F35</f>
        <v>82131.19366136301</v>
      </c>
      <c r="G36" s="240">
        <f t="shared" ca="1" si="8"/>
        <v>87250.404354108148</v>
      </c>
      <c r="H36" s="240">
        <f t="shared" ca="1" si="8"/>
        <v>94823.813727203917</v>
      </c>
      <c r="I36" s="240">
        <f t="shared" ca="1" si="8"/>
        <v>101287.3642827078</v>
      </c>
      <c r="N36" s="234"/>
    </row>
    <row r="37" spans="2:14" s="233" customFormat="1" ht="24.95" customHeight="1">
      <c r="B37" s="234"/>
      <c r="C37" s="239" t="s">
        <v>101</v>
      </c>
      <c r="D37" s="235"/>
      <c r="E37" s="244">
        <f>1/(1+$D$25)^(LEFT(D21,4)-LEFT($F$6,4))</f>
        <v>0.62709655909265516</v>
      </c>
      <c r="F37" s="244">
        <f t="shared" ref="F37:L37" si="9">1/(1+$D$25)^(LEFT(E21,4)-LEFT($F$6,4))</f>
        <v>0.57121723324997631</v>
      </c>
      <c r="G37" s="244">
        <f t="shared" si="9"/>
        <v>0.520317202878397</v>
      </c>
      <c r="H37" s="244">
        <f t="shared" si="9"/>
        <v>0.47395277287217641</v>
      </c>
      <c r="I37" s="244">
        <f t="shared" si="9"/>
        <v>0.43171978491305663</v>
      </c>
      <c r="J37" s="244">
        <f t="shared" si="9"/>
        <v>0.39325009442584807</v>
      </c>
      <c r="K37" s="244">
        <f t="shared" si="9"/>
        <v>0.35820836146548674</v>
      </c>
      <c r="L37" s="244">
        <f t="shared" si="9"/>
        <v>0.32628912756175782</v>
      </c>
      <c r="N37" s="234"/>
    </row>
    <row r="38" spans="2:14" s="233" customFormat="1" ht="24.95" customHeight="1">
      <c r="B38" s="234"/>
      <c r="C38" s="239" t="s">
        <v>1089</v>
      </c>
      <c r="D38" s="239"/>
      <c r="E38" s="240">
        <f t="shared" ref="E38:L38" ca="1" si="10">E37*D22</f>
        <v>105178.50776060566</v>
      </c>
      <c r="F38" s="240">
        <f t="shared" ca="1" si="10"/>
        <v>107303.01158370265</v>
      </c>
      <c r="G38" s="240">
        <f t="shared" ca="1" si="10"/>
        <v>107515.59924584783</v>
      </c>
      <c r="H38" s="240">
        <f t="shared" ca="1" si="10"/>
        <v>107728.60808456052</v>
      </c>
      <c r="I38" s="240">
        <f t="shared" ca="1" si="10"/>
        <v>107942.03893427148</v>
      </c>
      <c r="J38" s="240">
        <f t="shared" ca="1" si="10"/>
        <v>106189.42185595445</v>
      </c>
      <c r="K38" s="240">
        <f t="shared" ca="1" si="10"/>
        <v>104465.26140726508</v>
      </c>
      <c r="L38" s="240">
        <f t="shared" ca="1" si="10"/>
        <v>99914.3984493233</v>
      </c>
      <c r="N38" s="234"/>
    </row>
    <row r="39" spans="2:14" s="113" customFormat="1" ht="24.95" customHeight="1">
      <c r="B39" s="109"/>
      <c r="C39" s="114"/>
      <c r="E39" s="115"/>
      <c r="F39" s="115"/>
      <c r="G39" s="115"/>
      <c r="H39" s="115"/>
      <c r="I39" s="115"/>
      <c r="J39" s="115"/>
      <c r="N39" s="109"/>
    </row>
    <row r="40" spans="2:14" s="113" customFormat="1" ht="24.95" customHeight="1">
      <c r="B40" s="109"/>
      <c r="C40" s="710" t="s">
        <v>932</v>
      </c>
      <c r="D40" s="711"/>
      <c r="E40" s="711"/>
      <c r="F40" s="712"/>
      <c r="G40" s="115"/>
      <c r="H40" s="115"/>
      <c r="I40" s="115"/>
      <c r="J40" s="115"/>
      <c r="N40" s="109"/>
    </row>
    <row r="41" spans="2:14" s="113" customFormat="1" ht="24.95" customHeight="1">
      <c r="B41" s="109"/>
      <c r="C41" s="710" t="s">
        <v>214</v>
      </c>
      <c r="D41" s="711"/>
      <c r="E41" s="712"/>
      <c r="F41" s="245">
        <f ca="1">(SUM(E36:I36)+SUM(E38:L38))/100</f>
        <v>12886.4059399091</v>
      </c>
      <c r="G41" s="115"/>
      <c r="H41" s="115"/>
      <c r="I41" s="115"/>
      <c r="J41" s="115"/>
      <c r="N41" s="109"/>
    </row>
    <row r="42" spans="2:14" s="113" customFormat="1" ht="24.95" customHeight="1">
      <c r="B42" s="109"/>
      <c r="C42" s="710" t="s">
        <v>215</v>
      </c>
      <c r="D42" s="711"/>
      <c r="E42" s="712"/>
      <c r="F42" s="245">
        <f ca="1">K22/(D25-D26)*L37/100</f>
        <v>13719.793813844601</v>
      </c>
      <c r="G42" s="115"/>
      <c r="H42" s="115"/>
      <c r="I42" s="115"/>
      <c r="J42" s="115"/>
      <c r="N42" s="109"/>
    </row>
    <row r="43" spans="2:14" s="113" customFormat="1" ht="24.95" customHeight="1">
      <c r="B43" s="109"/>
      <c r="C43" s="710" t="s">
        <v>216</v>
      </c>
      <c r="D43" s="711"/>
      <c r="E43" s="712"/>
      <c r="F43" s="246">
        <f ca="1">(F41+F42)*(1+$D$25)^((G26-F26)/365)</f>
        <v>27795.362014226062</v>
      </c>
      <c r="G43" s="115"/>
      <c r="H43" s="115"/>
      <c r="I43" s="115"/>
      <c r="J43" s="115"/>
      <c r="N43" s="109"/>
    </row>
    <row r="44" spans="2:14" s="113" customFormat="1" ht="24.95" customHeight="1">
      <c r="B44" s="109"/>
      <c r="C44" s="710" t="s">
        <v>217</v>
      </c>
      <c r="D44" s="711"/>
      <c r="E44" s="712"/>
      <c r="F44" s="246">
        <f ca="1">(-BS!H7+BS!H35+BS!H44)*(1+$D$25)^((G26-F26)/365)/100</f>
        <v>171.92544478419265</v>
      </c>
      <c r="G44" s="115"/>
      <c r="H44" s="115"/>
      <c r="I44" s="115"/>
      <c r="J44" s="115"/>
      <c r="N44" s="109"/>
    </row>
    <row r="45" spans="2:14" s="113" customFormat="1" ht="24.95" customHeight="1">
      <c r="B45" s="109"/>
      <c r="C45" s="710" t="s">
        <v>218</v>
      </c>
      <c r="D45" s="711"/>
      <c r="E45" s="712"/>
      <c r="F45" s="246">
        <f ca="1">BS!H60*(1+$D$25)^((G26-F26)/365)/100</f>
        <v>341.58390156825351</v>
      </c>
      <c r="G45" s="115"/>
      <c r="H45" s="115"/>
      <c r="I45" s="115"/>
      <c r="J45" s="115"/>
      <c r="N45" s="109"/>
    </row>
    <row r="46" spans="2:14" s="113" customFormat="1" ht="24.95" customHeight="1">
      <c r="B46" s="109"/>
      <c r="C46" s="710" t="s">
        <v>938</v>
      </c>
      <c r="D46" s="711"/>
      <c r="E46" s="712"/>
      <c r="F46" s="246">
        <f ca="1">F43-(F44+F45)</f>
        <v>27281.852667873616</v>
      </c>
      <c r="G46" s="115"/>
      <c r="H46" s="115"/>
      <c r="I46" s="115"/>
      <c r="J46" s="115"/>
      <c r="N46" s="109"/>
    </row>
    <row r="47" spans="2:14" s="113" customFormat="1" ht="24.95" customHeight="1">
      <c r="B47" s="109"/>
      <c r="C47" s="710" t="s">
        <v>933</v>
      </c>
      <c r="D47" s="711"/>
      <c r="E47" s="711"/>
      <c r="F47" s="712"/>
      <c r="G47" s="115"/>
      <c r="H47" s="115"/>
      <c r="I47" s="115"/>
      <c r="J47" s="115"/>
      <c r="N47" s="109"/>
    </row>
    <row r="48" spans="2:14" s="113" customFormat="1" ht="24.95" customHeight="1">
      <c r="B48" s="109"/>
      <c r="C48" s="710" t="s">
        <v>934</v>
      </c>
      <c r="D48" s="711"/>
      <c r="E48" s="712"/>
      <c r="F48" s="246">
        <f>投资业务NAV估值!H4</f>
        <v>4073.0603077844044</v>
      </c>
      <c r="G48" s="115"/>
      <c r="H48" s="115"/>
      <c r="I48" s="115"/>
      <c r="J48" s="115"/>
      <c r="N48" s="109"/>
    </row>
    <row r="49" spans="1:14" s="113" customFormat="1" ht="24.95" customHeight="1">
      <c r="B49" s="109"/>
      <c r="C49" s="710" t="s">
        <v>935</v>
      </c>
      <c r="D49" s="711"/>
      <c r="E49" s="711"/>
      <c r="F49" s="712"/>
      <c r="G49" s="115"/>
      <c r="H49" s="115"/>
      <c r="I49" s="115"/>
      <c r="J49" s="115"/>
      <c r="N49" s="109"/>
    </row>
    <row r="50" spans="1:14" s="113" customFormat="1" ht="24.95" customHeight="1">
      <c r="B50" s="109"/>
      <c r="C50" s="710" t="s">
        <v>937</v>
      </c>
      <c r="D50" s="711"/>
      <c r="E50" s="712"/>
      <c r="F50" s="246">
        <f ca="1">F46+F48</f>
        <v>31354.912975658022</v>
      </c>
      <c r="G50" s="115"/>
      <c r="H50" s="115"/>
      <c r="I50" s="115"/>
      <c r="J50" s="115"/>
      <c r="N50" s="109"/>
    </row>
    <row r="51" spans="1:14" s="113" customFormat="1" ht="24.95" customHeight="1">
      <c r="B51" s="109"/>
      <c r="C51" s="710" t="s">
        <v>936</v>
      </c>
      <c r="D51" s="711"/>
      <c r="E51" s="712"/>
      <c r="F51" s="246">
        <f ca="1">F50/F29</f>
        <v>36888.132912538851</v>
      </c>
      <c r="G51" s="115"/>
      <c r="H51" s="115"/>
      <c r="I51" s="115"/>
      <c r="J51" s="115"/>
      <c r="N51" s="109"/>
    </row>
    <row r="52" spans="1:14" s="113" customFormat="1" ht="24.95" customHeight="1">
      <c r="B52" s="109"/>
      <c r="C52" s="710" t="s">
        <v>240</v>
      </c>
      <c r="D52" s="711"/>
      <c r="E52" s="712"/>
      <c r="F52" s="658">
        <v>33683.096935902002</v>
      </c>
      <c r="N52" s="109"/>
    </row>
    <row r="53" spans="1:14" s="113" customFormat="1" ht="24.95" customHeight="1">
      <c r="B53" s="109"/>
      <c r="C53" s="713" t="s">
        <v>238</v>
      </c>
      <c r="D53" s="714"/>
      <c r="E53" s="715"/>
      <c r="F53" s="247">
        <f ca="1">F54*F51/F52</f>
        <v>387.46500802144107</v>
      </c>
      <c r="N53" s="109"/>
    </row>
    <row r="54" spans="1:14" s="113" customFormat="1" ht="24.95" customHeight="1">
      <c r="B54" s="109"/>
      <c r="C54" s="710" t="s">
        <v>239</v>
      </c>
      <c r="D54" s="711"/>
      <c r="E54" s="712"/>
      <c r="F54" s="659">
        <v>353.8</v>
      </c>
      <c r="G54" s="192"/>
      <c r="I54"/>
      <c r="J54"/>
      <c r="N54" s="109"/>
    </row>
    <row r="55" spans="1:14" s="113" customFormat="1" ht="24.95" customHeight="1">
      <c r="B55" s="109"/>
      <c r="N55" s="109"/>
    </row>
    <row r="56" spans="1:14" s="113" customFormat="1" ht="24.95" customHeight="1">
      <c r="B56" s="109"/>
      <c r="C56" s="713" t="s">
        <v>69</v>
      </c>
      <c r="D56" s="714"/>
      <c r="E56" s="714"/>
      <c r="F56" s="714"/>
      <c r="G56" s="714"/>
      <c r="H56" s="715"/>
      <c r="N56" s="109"/>
    </row>
    <row r="57" spans="1:14" s="113" customFormat="1" ht="24.95" customHeight="1">
      <c r="B57" s="109"/>
      <c r="C57" s="181" t="s">
        <v>68</v>
      </c>
      <c r="D57" s="707"/>
      <c r="E57" s="708"/>
      <c r="F57" s="708"/>
      <c r="G57" s="708"/>
      <c r="H57" s="709"/>
      <c r="N57" s="109"/>
    </row>
    <row r="58" spans="1:14" s="113" customFormat="1" ht="24.95" customHeight="1">
      <c r="B58" s="109"/>
      <c r="C58" s="193">
        <f ca="1">F53</f>
        <v>387.46500802144107</v>
      </c>
      <c r="D58" s="187">
        <v>1.4999999999999999E-2</v>
      </c>
      <c r="E58" s="187">
        <v>0.02</v>
      </c>
      <c r="F58" s="187">
        <v>2.5000000000000001E-2</v>
      </c>
      <c r="G58" s="187">
        <v>0.03</v>
      </c>
      <c r="H58" s="187">
        <v>3.5000000000000003E-2</v>
      </c>
      <c r="N58" s="109"/>
    </row>
    <row r="59" spans="1:14" s="113" customFormat="1" ht="24.95" customHeight="1">
      <c r="B59" s="109"/>
      <c r="C59" s="186">
        <v>7.9899999999999999E-2</v>
      </c>
      <c r="D59" s="194">
        <f t="dataTable" ref="D59:H63" dt2D="1" dtr="1" r1="D26" r2="D25" ca="1"/>
        <v>467.76231330956574</v>
      </c>
      <c r="E59" s="194">
        <v>487.82034506123057</v>
      </c>
      <c r="F59" s="194">
        <v>511.53193450900915</v>
      </c>
      <c r="G59" s="194">
        <v>539.99534548940846</v>
      </c>
      <c r="H59" s="194">
        <v>574.7980462204539</v>
      </c>
      <c r="N59" s="109"/>
    </row>
    <row r="60" spans="1:14" s="113" customFormat="1" ht="24.95" customHeight="1">
      <c r="B60" s="109"/>
      <c r="C60" s="186">
        <v>8.9899999999999994E-2</v>
      </c>
      <c r="D60" s="194">
        <v>404.81774866267222</v>
      </c>
      <c r="E60" s="194">
        <v>418.20954801047475</v>
      </c>
      <c r="F60" s="194">
        <v>433.66479872157487</v>
      </c>
      <c r="G60" s="194">
        <v>451.70022484354325</v>
      </c>
      <c r="H60" s="194">
        <v>473.02079233563325</v>
      </c>
      <c r="N60" s="109"/>
    </row>
    <row r="61" spans="1:14" s="113" customFormat="1" ht="24.95" customHeight="1">
      <c r="B61" s="109"/>
      <c r="C61" s="186">
        <v>9.7824999999999995E-2</v>
      </c>
      <c r="D61" s="194">
        <v>366.08033986820328</v>
      </c>
      <c r="E61" s="194">
        <v>376.08572668644638</v>
      </c>
      <c r="F61" s="201">
        <v>387.46500802144107</v>
      </c>
      <c r="G61" s="194">
        <v>400.52203079911817</v>
      </c>
      <c r="H61" s="194">
        <v>415.65736997594809</v>
      </c>
      <c r="N61" s="109"/>
    </row>
    <row r="62" spans="1:14" s="70" customFormat="1" ht="24.95" customHeight="1">
      <c r="B62" s="69"/>
      <c r="C62" s="186">
        <v>0.1099</v>
      </c>
      <c r="D62" s="194">
        <v>319.97491406017019</v>
      </c>
      <c r="E62" s="194">
        <v>326.63846037553657</v>
      </c>
      <c r="F62" s="194">
        <v>334.08687669271279</v>
      </c>
      <c r="G62" s="194">
        <v>342.46751032117533</v>
      </c>
      <c r="H62" s="194">
        <v>351.96705364636182</v>
      </c>
      <c r="N62" s="69"/>
    </row>
    <row r="63" spans="1:14" s="70" customFormat="1" ht="24.95" customHeight="1">
      <c r="B63" s="69"/>
      <c r="C63" s="186">
        <v>0.11990000000000001</v>
      </c>
      <c r="D63" s="194">
        <v>290.19177081415665</v>
      </c>
      <c r="E63" s="194">
        <v>295.08359223495233</v>
      </c>
      <c r="F63" s="194">
        <v>300.4908848275918</v>
      </c>
      <c r="G63" s="194">
        <v>306.49965601785499</v>
      </c>
      <c r="H63" s="194">
        <v>313.21617410920931</v>
      </c>
      <c r="N63" s="69"/>
    </row>
    <row r="64" spans="1:14" ht="6" customHeight="1">
      <c r="A64" s="2"/>
      <c r="B64" s="25"/>
      <c r="C64" s="88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</row>
  </sheetData>
  <mergeCells count="19">
    <mergeCell ref="C24:G24"/>
    <mergeCell ref="C34:I34"/>
    <mergeCell ref="C40:F40"/>
    <mergeCell ref="D57:H57"/>
    <mergeCell ref="C41:E41"/>
    <mergeCell ref="C42:E42"/>
    <mergeCell ref="C44:E44"/>
    <mergeCell ref="C45:E45"/>
    <mergeCell ref="C51:E51"/>
    <mergeCell ref="C52:E52"/>
    <mergeCell ref="C53:E53"/>
    <mergeCell ref="C56:H56"/>
    <mergeCell ref="C54:E54"/>
    <mergeCell ref="C43:E43"/>
    <mergeCell ref="C46:E46"/>
    <mergeCell ref="C47:F47"/>
    <mergeCell ref="C48:E48"/>
    <mergeCell ref="C49:F49"/>
    <mergeCell ref="C50:E50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FF9900"/>
  </sheetPr>
  <dimension ref="B1:U23"/>
  <sheetViews>
    <sheetView showGridLines="0" zoomScale="85" zoomScaleNormal="85" workbookViewId="0">
      <pane ySplit="3" topLeftCell="A4" activePane="bottomLeft" state="frozen"/>
      <selection pane="bottomLeft" activeCell="N15" sqref="N15"/>
    </sheetView>
  </sheetViews>
  <sheetFormatPr defaultRowHeight="13.5"/>
  <cols>
    <col min="1" max="1" width="4.125" customWidth="1"/>
    <col min="2" max="2" width="1" customWidth="1"/>
    <col min="3" max="3" width="23.375" customWidth="1"/>
    <col min="4" max="4" width="11.625" customWidth="1"/>
    <col min="5" max="5" width="16.125" customWidth="1"/>
    <col min="6" max="6" width="11.375" customWidth="1"/>
    <col min="7" max="11" width="10.375" customWidth="1"/>
    <col min="12" max="12" width="1" customWidth="1"/>
  </cols>
  <sheetData>
    <row r="1" spans="2:21" s="19" customFormat="1" ht="12" customHeight="1">
      <c r="C1" s="46"/>
      <c r="F1" s="47"/>
    </row>
    <row r="2" spans="2:21" s="19" customFormat="1" ht="12" customHeight="1">
      <c r="C2" s="46"/>
      <c r="F2" s="47"/>
      <c r="K2" s="78"/>
    </row>
    <row r="3" spans="2:21" s="19" customFormat="1" ht="12" customHeight="1">
      <c r="C3" s="49"/>
      <c r="D3" s="50"/>
      <c r="E3" s="50"/>
      <c r="F3" s="50"/>
      <c r="G3" s="51"/>
      <c r="H3" s="51"/>
      <c r="I3" s="51"/>
      <c r="K3" s="45"/>
      <c r="L3" s="86"/>
      <c r="M3" s="51"/>
      <c r="N3" s="51"/>
      <c r="O3" s="51"/>
      <c r="P3" s="51"/>
      <c r="Q3" s="51"/>
      <c r="R3" s="51"/>
      <c r="S3" s="51"/>
      <c r="T3" s="51"/>
      <c r="U3" s="51"/>
    </row>
    <row r="4" spans="2:21" s="11" customFormat="1" ht="23.1" customHeight="1">
      <c r="C4" s="12"/>
      <c r="D4" s="13"/>
      <c r="E4" s="13"/>
      <c r="F4" s="13"/>
      <c r="G4" s="14"/>
      <c r="H4" s="14"/>
      <c r="I4" s="14"/>
      <c r="K4" s="41"/>
      <c r="L4" s="41"/>
      <c r="M4" s="14"/>
      <c r="N4" s="14"/>
      <c r="O4" s="14"/>
      <c r="P4" s="14"/>
      <c r="Q4" s="14"/>
      <c r="R4" s="14"/>
      <c r="S4" s="14"/>
      <c r="T4" s="14"/>
      <c r="U4" s="14"/>
    </row>
    <row r="5" spans="2:21" ht="6" customHeight="1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2:21" ht="24.95" customHeight="1">
      <c r="B6" s="25"/>
      <c r="C6" s="42" t="s">
        <v>86</v>
      </c>
      <c r="D6" s="43"/>
      <c r="E6" s="719"/>
      <c r="F6" s="720"/>
      <c r="G6" s="720"/>
      <c r="H6" s="720"/>
      <c r="I6" s="720"/>
      <c r="J6" s="720"/>
      <c r="K6" s="721"/>
      <c r="L6" s="25"/>
    </row>
    <row r="7" spans="2:21" ht="24.95" customHeight="1">
      <c r="B7" s="25"/>
      <c r="C7" s="154" t="s">
        <v>22</v>
      </c>
      <c r="D7" s="172">
        <f>DCF估值!D25</f>
        <v>9.7824999999999995E-2</v>
      </c>
      <c r="E7" s="722"/>
      <c r="F7" s="723"/>
      <c r="G7" s="723"/>
      <c r="H7" s="723"/>
      <c r="I7" s="723"/>
      <c r="J7" s="723"/>
      <c r="K7" s="724"/>
      <c r="L7" s="25"/>
    </row>
    <row r="8" spans="2:21" ht="24.95" customHeight="1">
      <c r="B8" s="25"/>
      <c r="C8" s="154" t="s">
        <v>23</v>
      </c>
      <c r="D8" s="172">
        <f>DCF估值!D26</f>
        <v>2.5000000000000001E-2</v>
      </c>
      <c r="E8" s="722"/>
      <c r="F8" s="723"/>
      <c r="G8" s="723"/>
      <c r="H8" s="723"/>
      <c r="I8" s="723"/>
      <c r="J8" s="723"/>
      <c r="K8" s="724"/>
      <c r="L8" s="25"/>
    </row>
    <row r="9" spans="2:21" ht="24.95" customHeight="1">
      <c r="B9" s="25"/>
      <c r="C9" s="154" t="s">
        <v>24</v>
      </c>
      <c r="D9" s="172">
        <f>DCF估值!D27</f>
        <v>3.7500000000000006E-2</v>
      </c>
      <c r="E9" s="722"/>
      <c r="F9" s="723"/>
      <c r="G9" s="723"/>
      <c r="H9" s="723"/>
      <c r="I9" s="723"/>
      <c r="J9" s="723"/>
      <c r="K9" s="724"/>
      <c r="L9" s="25"/>
    </row>
    <row r="10" spans="2:21" ht="24.95" customHeight="1">
      <c r="B10" s="25"/>
      <c r="C10" s="154" t="s">
        <v>25</v>
      </c>
      <c r="D10" s="172">
        <f>DCF估值!D28</f>
        <v>0.10099999999999999</v>
      </c>
      <c r="E10" s="722"/>
      <c r="F10" s="723"/>
      <c r="G10" s="723"/>
      <c r="H10" s="723"/>
      <c r="I10" s="723"/>
      <c r="J10" s="723"/>
      <c r="K10" s="724"/>
      <c r="L10" s="25"/>
    </row>
    <row r="11" spans="2:21" ht="24.95" customHeight="1">
      <c r="B11" s="25"/>
      <c r="C11" s="154" t="s">
        <v>26</v>
      </c>
      <c r="D11" s="172">
        <f>DCF估值!D29</f>
        <v>2.5999999999999999E-2</v>
      </c>
      <c r="E11" s="722"/>
      <c r="F11" s="723"/>
      <c r="G11" s="723"/>
      <c r="H11" s="723"/>
      <c r="I11" s="723"/>
      <c r="J11" s="723"/>
      <c r="K11" s="724"/>
      <c r="L11" s="25"/>
    </row>
    <row r="12" spans="2:21" ht="24.95" customHeight="1">
      <c r="B12" s="25"/>
      <c r="C12" s="154" t="s">
        <v>27</v>
      </c>
      <c r="D12" s="172">
        <f>DCF估值!D30</f>
        <v>0.06</v>
      </c>
      <c r="E12" s="722"/>
      <c r="F12" s="723"/>
      <c r="G12" s="723"/>
      <c r="H12" s="723"/>
      <c r="I12" s="723"/>
      <c r="J12" s="723"/>
      <c r="K12" s="724"/>
      <c r="L12" s="25"/>
    </row>
    <row r="13" spans="2:21" ht="24.95" customHeight="1">
      <c r="B13" s="25"/>
      <c r="C13" s="154" t="s">
        <v>28</v>
      </c>
      <c r="D13" s="198">
        <f>DCF估值!D31</f>
        <v>1.25</v>
      </c>
      <c r="E13" s="722"/>
      <c r="F13" s="723"/>
      <c r="G13" s="723"/>
      <c r="H13" s="723"/>
      <c r="I13" s="723"/>
      <c r="J13" s="723"/>
      <c r="K13" s="724"/>
      <c r="L13" s="25"/>
    </row>
    <row r="14" spans="2:21" ht="24.95" customHeight="1">
      <c r="B14" s="25"/>
      <c r="C14" s="154" t="s">
        <v>29</v>
      </c>
      <c r="D14" s="172">
        <f>DCF估值!D32</f>
        <v>0.05</v>
      </c>
      <c r="E14" s="725"/>
      <c r="F14" s="726"/>
      <c r="G14" s="726"/>
      <c r="H14" s="726"/>
      <c r="I14" s="726"/>
      <c r="J14" s="726"/>
      <c r="K14" s="727"/>
      <c r="L14" s="25"/>
    </row>
    <row r="15" spans="2:21" ht="24.95" customHeight="1">
      <c r="B15" s="25"/>
      <c r="C15" s="673"/>
      <c r="D15" s="674"/>
      <c r="E15" s="674"/>
      <c r="F15" s="674"/>
      <c r="G15" s="674"/>
      <c r="H15" s="674"/>
      <c r="I15" s="674"/>
      <c r="J15" s="674"/>
      <c r="K15" s="675"/>
      <c r="L15" s="25"/>
      <c r="Q15" s="2"/>
    </row>
    <row r="16" spans="2:21" ht="24.95" customHeight="1">
      <c r="B16" s="25"/>
      <c r="C16" s="42" t="s">
        <v>85</v>
      </c>
      <c r="D16" s="43"/>
      <c r="E16" s="43"/>
      <c r="F16" s="44" t="s">
        <v>81</v>
      </c>
      <c r="G16" s="43"/>
      <c r="H16" s="43"/>
      <c r="I16" s="43"/>
      <c r="J16" s="43"/>
      <c r="K16" s="43"/>
      <c r="L16" s="25"/>
    </row>
    <row r="17" spans="2:12" ht="24.95" customHeight="1">
      <c r="B17" s="25"/>
      <c r="C17" s="154" t="s">
        <v>82</v>
      </c>
      <c r="D17" s="217">
        <f ca="1">DCF估值!F43/DCF估值!$F$29</f>
        <v>32700.425899089485</v>
      </c>
      <c r="E17" s="85" t="s">
        <v>255</v>
      </c>
      <c r="F17" s="155" t="s">
        <v>94</v>
      </c>
      <c r="G17" s="156">
        <f>DCF估值!D58</f>
        <v>1.4999999999999999E-2</v>
      </c>
      <c r="H17" s="156">
        <f>DCF估值!E58</f>
        <v>0.02</v>
      </c>
      <c r="I17" s="156">
        <f>DCF估值!F58</f>
        <v>2.5000000000000001E-2</v>
      </c>
      <c r="J17" s="156">
        <f>DCF估值!G58</f>
        <v>0.03</v>
      </c>
      <c r="K17" s="156">
        <f>DCF估值!H58</f>
        <v>3.5000000000000003E-2</v>
      </c>
      <c r="L17" s="25"/>
    </row>
    <row r="18" spans="2:12" ht="24.95" customHeight="1">
      <c r="B18" s="25"/>
      <c r="C18" s="154" t="s">
        <v>83</v>
      </c>
      <c r="D18" s="217">
        <f ca="1">DCF估值!F44/DCF估值!$F$29</f>
        <v>202.2652291578737</v>
      </c>
      <c r="E18" s="85" t="s">
        <v>255</v>
      </c>
      <c r="F18" s="156">
        <f>DCF估值!C59</f>
        <v>7.9899999999999999E-2</v>
      </c>
      <c r="G18" s="195">
        <f>DCF估值!D59</f>
        <v>467.76231330956574</v>
      </c>
      <c r="H18" s="195">
        <f>DCF估值!E59</f>
        <v>487.82034506123057</v>
      </c>
      <c r="I18" s="195">
        <f>DCF估值!F59</f>
        <v>511.53193450900915</v>
      </c>
      <c r="J18" s="195">
        <f>DCF估值!G59</f>
        <v>539.99534548940846</v>
      </c>
      <c r="K18" s="195">
        <f>DCF估值!H59</f>
        <v>574.7980462204539</v>
      </c>
      <c r="L18" s="25"/>
    </row>
    <row r="19" spans="2:12" ht="24.95" customHeight="1">
      <c r="B19" s="25"/>
      <c r="C19" s="154" t="s">
        <v>84</v>
      </c>
      <c r="D19" s="217">
        <f ca="1">DCF估值!F45/DCF估值!$F$29</f>
        <v>401.86341360970999</v>
      </c>
      <c r="E19" s="85" t="s">
        <v>255</v>
      </c>
      <c r="F19" s="156">
        <f>DCF估值!C60</f>
        <v>8.9899999999999994E-2</v>
      </c>
      <c r="G19" s="195">
        <f>DCF估值!D60</f>
        <v>404.81774866267222</v>
      </c>
      <c r="H19" s="195">
        <f>DCF估值!E60</f>
        <v>418.20954801047475</v>
      </c>
      <c r="I19" s="195">
        <f>DCF估值!F60</f>
        <v>433.66479872157487</v>
      </c>
      <c r="J19" s="195">
        <f>DCF估值!G60</f>
        <v>451.70022484354325</v>
      </c>
      <c r="K19" s="195">
        <f>DCF估值!H60</f>
        <v>473.02079233563325</v>
      </c>
      <c r="L19" s="25"/>
    </row>
    <row r="20" spans="2:12" ht="24.95" customHeight="1">
      <c r="B20" s="25"/>
      <c r="C20" s="154" t="s">
        <v>117</v>
      </c>
      <c r="D20" s="217">
        <f ca="1">DCF估值!F51</f>
        <v>36888.132912538851</v>
      </c>
      <c r="E20" s="85" t="s">
        <v>255</v>
      </c>
      <c r="F20" s="156">
        <f>DCF估值!C61</f>
        <v>9.7824999999999995E-2</v>
      </c>
      <c r="G20" s="195">
        <f>DCF估值!D61</f>
        <v>366.08033986820328</v>
      </c>
      <c r="H20" s="195">
        <f>DCF估值!E61</f>
        <v>376.08572668644638</v>
      </c>
      <c r="I20" s="196">
        <f>DCF估值!F61</f>
        <v>387.46500802144107</v>
      </c>
      <c r="J20" s="195">
        <f>DCF估值!G61</f>
        <v>400.52203079911817</v>
      </c>
      <c r="K20" s="195">
        <f>DCF估值!H61</f>
        <v>415.65736997594809</v>
      </c>
      <c r="L20" s="25"/>
    </row>
    <row r="21" spans="2:12" ht="24.95" customHeight="1">
      <c r="B21" s="25"/>
      <c r="C21" s="157" t="s">
        <v>110</v>
      </c>
      <c r="D21" s="195">
        <f ca="1">DCF估值!F53</f>
        <v>387.46500802144107</v>
      </c>
      <c r="E21" s="85" t="s">
        <v>256</v>
      </c>
      <c r="F21" s="156">
        <f>DCF估值!C62</f>
        <v>0.1099</v>
      </c>
      <c r="G21" s="195">
        <f>DCF估值!D62</f>
        <v>319.97491406017019</v>
      </c>
      <c r="H21" s="195">
        <f>DCF估值!E62</f>
        <v>326.63846037553657</v>
      </c>
      <c r="I21" s="195">
        <f>DCF估值!F62</f>
        <v>334.08687669271279</v>
      </c>
      <c r="J21" s="195">
        <f>DCF估值!G62</f>
        <v>342.46751032117533</v>
      </c>
      <c r="K21" s="195">
        <f>DCF估值!H62</f>
        <v>351.96705364636182</v>
      </c>
      <c r="L21" s="25"/>
    </row>
    <row r="22" spans="2:12" ht="24.75" customHeight="1">
      <c r="B22" s="25"/>
      <c r="C22" s="154" t="s">
        <v>109</v>
      </c>
      <c r="D22" s="195">
        <f>DCF估值!F54</f>
        <v>353.8</v>
      </c>
      <c r="E22" s="85" t="s">
        <v>257</v>
      </c>
      <c r="F22" s="156">
        <f>DCF估值!C63</f>
        <v>0.11990000000000001</v>
      </c>
      <c r="G22" s="195">
        <f>DCF估值!D63</f>
        <v>290.19177081415665</v>
      </c>
      <c r="H22" s="195">
        <f>DCF估值!E63</f>
        <v>295.08359223495233</v>
      </c>
      <c r="I22" s="195">
        <f>DCF估值!F63</f>
        <v>300.4908848275918</v>
      </c>
      <c r="J22" s="195">
        <f>DCF估值!G63</f>
        <v>306.49965601785499</v>
      </c>
      <c r="K22" s="195">
        <f>DCF估值!H63</f>
        <v>313.21617410920931</v>
      </c>
      <c r="L22" s="25"/>
    </row>
    <row r="23" spans="2:12" ht="6" customHeight="1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</row>
  </sheetData>
  <mergeCells count="2">
    <mergeCell ref="C15:K15"/>
    <mergeCell ref="E6:K14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FF9900"/>
  </sheetPr>
  <dimension ref="B1:V19"/>
  <sheetViews>
    <sheetView showGridLines="0" tabSelected="1" zoomScale="85" zoomScaleNormal="85" workbookViewId="0">
      <pane ySplit="3" topLeftCell="A4" activePane="bottomLeft" state="frozen"/>
      <selection pane="bottomLeft" activeCell="N20" sqref="N20"/>
    </sheetView>
  </sheetViews>
  <sheetFormatPr defaultColWidth="8.875" defaultRowHeight="13.5"/>
  <cols>
    <col min="1" max="1" width="4.125" style="5" customWidth="1"/>
    <col min="2" max="2" width="1" style="5" customWidth="1"/>
    <col min="3" max="3" width="20.625" style="5" customWidth="1"/>
    <col min="4" max="4" width="12.625" style="5" customWidth="1"/>
    <col min="5" max="5" width="10.5" style="5" customWidth="1"/>
    <col min="6" max="6" width="11.5" style="5" customWidth="1"/>
    <col min="7" max="10" width="10.375" style="5" customWidth="1"/>
    <col min="11" max="11" width="10.5" style="5" customWidth="1"/>
    <col min="12" max="12" width="1" style="5" customWidth="1"/>
    <col min="13" max="14" width="8.625" style="5" customWidth="1"/>
    <col min="15" max="16384" width="8.875" style="5"/>
  </cols>
  <sheetData>
    <row r="1" spans="2:22" s="19" customFormat="1" ht="12" customHeight="1">
      <c r="C1" s="46"/>
      <c r="G1" s="47"/>
      <c r="K1" s="48"/>
    </row>
    <row r="2" spans="2:22" s="19" customFormat="1" ht="12" customHeight="1">
      <c r="C2" s="46"/>
      <c r="G2" s="47"/>
      <c r="K2" s="48"/>
    </row>
    <row r="3" spans="2:22" s="19" customFormat="1" ht="12" customHeight="1">
      <c r="C3" s="49"/>
      <c r="D3" s="50"/>
      <c r="E3" s="50"/>
      <c r="F3" s="50"/>
      <c r="G3" s="50"/>
      <c r="H3" s="51"/>
      <c r="I3" s="51"/>
      <c r="K3" s="86"/>
      <c r="M3" s="51"/>
      <c r="N3" s="51"/>
      <c r="O3" s="51"/>
      <c r="P3" s="51"/>
      <c r="Q3" s="51"/>
      <c r="R3" s="51"/>
      <c r="S3" s="51"/>
      <c r="T3" s="51"/>
      <c r="U3" s="51"/>
      <c r="V3" s="51"/>
    </row>
    <row r="4" spans="2:22" s="11" customFormat="1" ht="23.1" customHeight="1">
      <c r="C4" s="12"/>
      <c r="D4" s="13"/>
      <c r="E4" s="13"/>
      <c r="F4" s="13"/>
      <c r="G4" s="13"/>
      <c r="H4" s="14"/>
      <c r="I4" s="14"/>
      <c r="L4" s="41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2:22" s="11" customFormat="1" ht="6" customHeight="1">
      <c r="B5" s="19"/>
      <c r="C5" s="49"/>
      <c r="D5" s="50"/>
      <c r="E5" s="50"/>
      <c r="F5" s="50"/>
      <c r="G5" s="50"/>
      <c r="H5" s="51"/>
      <c r="I5" s="51"/>
      <c r="J5" s="19"/>
      <c r="K5" s="19"/>
      <c r="L5" s="40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2:22" ht="24.95" customHeight="1">
      <c r="B6" s="52"/>
      <c r="C6" s="729" t="s">
        <v>258</v>
      </c>
      <c r="D6" s="729" t="s">
        <v>16</v>
      </c>
      <c r="E6" s="728" t="s">
        <v>939</v>
      </c>
      <c r="F6" s="728" t="s">
        <v>940</v>
      </c>
      <c r="G6" s="729" t="s">
        <v>17</v>
      </c>
      <c r="H6" s="729"/>
      <c r="I6" s="729"/>
      <c r="J6" s="729"/>
      <c r="K6" s="728" t="s">
        <v>87</v>
      </c>
      <c r="L6" s="52"/>
    </row>
    <row r="7" spans="2:22" ht="24.95" customHeight="1">
      <c r="B7" s="52"/>
      <c r="C7" s="729"/>
      <c r="D7" s="729"/>
      <c r="E7" s="729"/>
      <c r="F7" s="729"/>
      <c r="G7" s="639">
        <v>2018</v>
      </c>
      <c r="H7" s="639" t="s">
        <v>38</v>
      </c>
      <c r="I7" s="639" t="s">
        <v>128</v>
      </c>
      <c r="J7" s="639" t="s">
        <v>151</v>
      </c>
      <c r="K7" s="728"/>
      <c r="L7" s="52"/>
    </row>
    <row r="8" spans="2:22" ht="24.95" customHeight="1">
      <c r="B8" s="52"/>
      <c r="C8" s="56" t="s">
        <v>944</v>
      </c>
      <c r="D8" s="54" t="str">
        <f>DCF估值!F32</f>
        <v>0700.HK</v>
      </c>
      <c r="E8" s="182">
        <v>330.2</v>
      </c>
      <c r="F8" s="183">
        <v>31436.054014481997</v>
      </c>
      <c r="G8" s="184">
        <f>$F$8*DCF估值!$F$29*100/IS!H39</f>
        <v>37.366306687609701</v>
      </c>
      <c r="H8" s="184">
        <f>$F$8*DCF估值!$F$29*100/IS!I39</f>
        <v>33.944341153101156</v>
      </c>
      <c r="I8" s="184">
        <f ca="1">$F$8*DCF估值!$F$29*100/IS!J39</f>
        <v>39.158934936030207</v>
      </c>
      <c r="J8" s="184">
        <f ca="1">$F$8*DCF估值!$F$29*100/IS!K39</f>
        <v>33.223346933286841</v>
      </c>
      <c r="K8" s="172">
        <f ca="1">(G8/J8)^(1/3)-1</f>
        <v>3.9949532987989977E-2</v>
      </c>
      <c r="L8" s="52"/>
    </row>
    <row r="9" spans="2:22" ht="24.95" customHeight="1">
      <c r="B9" s="52"/>
      <c r="C9" s="729" t="s">
        <v>258</v>
      </c>
      <c r="D9" s="729" t="s">
        <v>16</v>
      </c>
      <c r="E9" s="728" t="s">
        <v>147</v>
      </c>
      <c r="F9" s="728" t="s">
        <v>146</v>
      </c>
      <c r="G9" s="729" t="s">
        <v>17</v>
      </c>
      <c r="H9" s="729"/>
      <c r="I9" s="729"/>
      <c r="J9" s="729"/>
      <c r="K9" s="728" t="s">
        <v>87</v>
      </c>
      <c r="L9" s="52"/>
    </row>
    <row r="10" spans="2:22" ht="24.95" customHeight="1">
      <c r="B10" s="52"/>
      <c r="C10" s="729"/>
      <c r="D10" s="729"/>
      <c r="E10" s="729"/>
      <c r="F10" s="729"/>
      <c r="G10" s="639">
        <v>2018</v>
      </c>
      <c r="H10" s="639" t="s">
        <v>38</v>
      </c>
      <c r="I10" s="639" t="s">
        <v>128</v>
      </c>
      <c r="J10" s="639" t="s">
        <v>151</v>
      </c>
      <c r="K10" s="728"/>
      <c r="L10" s="52"/>
    </row>
    <row r="11" spans="2:22" ht="24.95" customHeight="1">
      <c r="B11" s="52"/>
      <c r="C11" s="54" t="s">
        <v>945</v>
      </c>
      <c r="D11" s="54" t="s">
        <v>943</v>
      </c>
      <c r="E11" s="182">
        <v>233.74</v>
      </c>
      <c r="F11" s="183">
        <v>306.967656632</v>
      </c>
      <c r="G11" s="182">
        <v>34.243190039227613</v>
      </c>
      <c r="H11" s="182">
        <v>31.88348550518398</v>
      </c>
      <c r="I11" s="182">
        <v>28.502474366197184</v>
      </c>
      <c r="J11" s="182">
        <v>24.532279868606288</v>
      </c>
      <c r="K11" s="172">
        <f>(G11/J11)^(1/3)-1</f>
        <v>0.11758037924353082</v>
      </c>
      <c r="L11" s="52"/>
    </row>
    <row r="12" spans="2:22" ht="24.95" customHeight="1">
      <c r="B12" s="52"/>
      <c r="C12" s="54" t="s">
        <v>946</v>
      </c>
      <c r="D12" s="54" t="s">
        <v>941</v>
      </c>
      <c r="E12" s="182">
        <v>178.77</v>
      </c>
      <c r="F12" s="183">
        <v>4597.8389803311002</v>
      </c>
      <c r="G12" s="182"/>
      <c r="H12" s="182">
        <v>37.035545339183223</v>
      </c>
      <c r="I12" s="182">
        <v>27.433571020167321</v>
      </c>
      <c r="J12" s="182"/>
      <c r="K12" s="172"/>
      <c r="L12" s="52"/>
    </row>
    <row r="13" spans="2:22" ht="24.95" customHeight="1">
      <c r="B13" s="52"/>
      <c r="C13" s="54" t="s">
        <v>947</v>
      </c>
      <c r="D13" s="54" t="s">
        <v>942</v>
      </c>
      <c r="E13" s="182">
        <v>166.29</v>
      </c>
      <c r="F13" s="183">
        <v>4745.89963842</v>
      </c>
      <c r="G13" s="182">
        <v>21.463004877080319</v>
      </c>
      <c r="H13" s="182">
        <v>22.78538249681424</v>
      </c>
      <c r="I13" s="182">
        <v>19.601117436967357</v>
      </c>
      <c r="J13" s="182">
        <v>17.164179104477611</v>
      </c>
      <c r="K13" s="172">
        <f>(G13/J13)^(1/3)-1</f>
        <v>7.7347551243997614E-2</v>
      </c>
      <c r="L13" s="52"/>
    </row>
    <row r="14" spans="2:22" ht="6" customHeight="1">
      <c r="B14" s="52"/>
      <c r="C14" s="57"/>
      <c r="D14" s="58"/>
      <c r="E14" s="59"/>
      <c r="F14" s="59"/>
      <c r="G14" s="60"/>
      <c r="H14" s="60"/>
      <c r="I14" s="60"/>
      <c r="J14" s="60"/>
      <c r="K14" s="61"/>
      <c r="L14" s="53"/>
      <c r="M14" s="7"/>
      <c r="N14" s="7"/>
    </row>
    <row r="15" spans="2:22" ht="16.5">
      <c r="C15" s="62"/>
      <c r="D15" s="62"/>
      <c r="E15" s="63"/>
      <c r="F15" s="63"/>
      <c r="G15" s="64"/>
      <c r="H15" s="65"/>
      <c r="I15" s="66"/>
      <c r="J15" s="66"/>
      <c r="K15" s="67"/>
      <c r="L15" s="7"/>
      <c r="M15" s="7"/>
      <c r="N15" s="7"/>
    </row>
    <row r="16" spans="2:22">
      <c r="F16" s="8"/>
      <c r="G16" s="9"/>
      <c r="H16" s="9"/>
      <c r="I16" s="9"/>
      <c r="J16" s="9"/>
      <c r="K16" s="7"/>
      <c r="L16" s="7"/>
      <c r="M16" s="7"/>
      <c r="N16" s="7"/>
    </row>
    <row r="17" spans="3:14">
      <c r="C17" s="6"/>
      <c r="D17" s="6"/>
      <c r="E17" s="8"/>
      <c r="F17" s="8"/>
      <c r="G17" s="9"/>
      <c r="H17" s="9"/>
      <c r="I17" s="9"/>
      <c r="J17" s="9"/>
      <c r="K17" s="7"/>
      <c r="L17" s="7"/>
      <c r="M17" s="7"/>
      <c r="N17" s="7"/>
    </row>
    <row r="18" spans="3:14">
      <c r="C18" s="6"/>
      <c r="D18" s="6"/>
      <c r="E18" s="8"/>
      <c r="F18" s="8"/>
      <c r="G18" s="9"/>
      <c r="H18" s="9"/>
      <c r="I18" s="9"/>
      <c r="J18" s="9"/>
      <c r="K18" s="7"/>
      <c r="L18" s="7"/>
      <c r="M18" s="7"/>
      <c r="N18" s="7"/>
    </row>
    <row r="19" spans="3:14">
      <c r="C19" s="6"/>
      <c r="D19" s="6"/>
      <c r="E19" s="8"/>
      <c r="F19" s="8"/>
      <c r="G19" s="9"/>
      <c r="H19" s="9"/>
      <c r="I19" s="9"/>
      <c r="J19" s="9"/>
      <c r="K19" s="7"/>
      <c r="L19" s="7"/>
      <c r="M19" s="7"/>
      <c r="N19" s="7"/>
    </row>
  </sheetData>
  <mergeCells count="12">
    <mergeCell ref="K9:K10"/>
    <mergeCell ref="C9:C10"/>
    <mergeCell ref="D9:D10"/>
    <mergeCell ref="E9:E10"/>
    <mergeCell ref="F9:F10"/>
    <mergeCell ref="G9:J9"/>
    <mergeCell ref="K6:K7"/>
    <mergeCell ref="C6:C7"/>
    <mergeCell ref="D6:D7"/>
    <mergeCell ref="E6:E7"/>
    <mergeCell ref="F6:F7"/>
    <mergeCell ref="G6:J6"/>
  </mergeCells>
  <phoneticPr fontId="7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封面</vt:lpstr>
      <vt:lpstr>使用说明</vt:lpstr>
      <vt:lpstr>核心数据模型</vt:lpstr>
      <vt:lpstr>业务表-季度</vt:lpstr>
      <vt:lpstr>业务表-年度</vt:lpstr>
      <vt:lpstr>资产</vt:lpstr>
      <vt:lpstr>手游</vt:lpstr>
      <vt:lpstr>阅文</vt:lpstr>
      <vt:lpstr>音乐</vt:lpstr>
      <vt:lpstr>广告相关</vt:lpstr>
      <vt:lpstr>资产负债假设</vt:lpstr>
      <vt:lpstr>资本开支假设</vt:lpstr>
      <vt:lpstr>IS</vt:lpstr>
      <vt:lpstr>BS</vt:lpstr>
      <vt:lpstr>CS</vt:lpstr>
      <vt:lpstr>投资业务NAV估值</vt:lpstr>
      <vt:lpstr>DCF估值</vt:lpstr>
      <vt:lpstr>DCF估值结果</vt:lpstr>
      <vt:lpstr>PE估值结果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2019-12-17T23:50:25Z</dcterms:modified>
</cp:coreProperties>
</file>